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FLX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<sst xmlns="http://schemas.openxmlformats.org/spreadsheetml/2006/main" count="164" uniqueCount="125">
  <si>
    <t xml:space="preserve">Netflix (NFLX):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</si>
  <si>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</si>
  <si>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</si>
  <si>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</si>
  <si>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</si>
  <si>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</si>
  <si>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</si>
  <si>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</si>
  <si>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</si>
  <si>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</si>
  <si>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</si>
  <si>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</si>
  <si>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Netflix (NFLX)</t>
  </si>
  <si>
    <t xml:space="preserve">10-year DCF</t>
  </si>
  <si>
    <t xml:space="preserve">Not a holding. Buy below is the base value, rounded</t>
  </si>
  <si>
    <t xml:space="preserve">Buy below (base value, rounded)</t>
  </si>
  <si>
    <t xml:space="preserve">Netflix (NFLX):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</si>
  <si>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</si>
  <si>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</si>
  <si>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27, 2026 close (Stock Analysis)</t>
  </si>
  <si>
    <t xml:space="preserve">Price date</t>
  </si>
  <si>
    <t xml:space="preserve">Text</t>
  </si>
  <si>
    <t xml:space="preserve">Shares outstanding (billions)</t>
  </si>
  <si>
    <t xml:space="preserve">Market cap $259.11B / price $63.10, Stock Analysis statistics, Oct 27, 2026</t>
  </si>
  <si>
    <t xml:space="preserve">Net cash, negative = net debt</t>
  </si>
  <si>
    <t xml:space="preserve">Q3 2026 letter: cash $8.2B less gross debt about $15.3B</t>
  </si>
  <si>
    <t xml:space="preserve">Other non-operating assets, less outside claims</t>
  </si>
  <si>
    <t xml:space="preserve">None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</si>
  <si>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</si>
  <si>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</si>
  <si>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</si>
  <si>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</si>
  <si>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</si>
  <si>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</si>
  <si>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</si>
  <si>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 guide: revenue $51.1B, 31.5% operating margin, about $12.0B FCF (Q3 2026 letter). Reinvestment includes cash content spend above amortization (about 1.1x) plus capex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</si>
  <si>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</si>
  <si>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</si>
  <si>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</si>
  <si>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</si>
  <si>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</si>
  <si>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</si>
  <si>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</si>
  <si>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</si>
  <si>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</si>
  <si>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</si>
  <si>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</si>
  <si>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</si>
  <si>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</si>
  <si>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</si>
  <si>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</si>
  <si>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</si>
  <si>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engagement keeps sliding to YouTube and AI video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</si>
  <si>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</si>
  <si>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</si>
  <si>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</si>
  <si>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</si>
  <si>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</si>
  <si>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</si>
  <si>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</si>
  <si>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</si>
  <si>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</si>
  <si>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</si>
  <si>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</si>
  <si>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</si>
  <si>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</si>
  <si>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</si>
  <si>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</si>
  <si>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</si>
  <si>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growth slows to about 7%, margins edge up</t>
  </si>
  <si>
    <t xml:space="preserve">Bull: ads and pricing compound, margins near 39%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</si>
  <si>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</si>
  <si>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</si>
  <si>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</si>
  <si>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</si>
  <si>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</si>
  <si>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</si>
  <si>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</si>
  <si>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</si>
  <si>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</si>
  <si>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</si>
  <si>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</si>
  <si>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</si>
  <si>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</si>
  <si>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</si>
  <si>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</si>
  <si>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</si>
  <si>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</si>
  <si>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</si>
  <si>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</si>
  <si>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</si>
  <si>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</si>
  <si>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</si>
  <si>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</si>
  <si>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NFLX</t>
  </si>
  <si>
    <t xml:space="preserve">Source / note</t>
  </si>
  <si>
    <t xml:space="preserve">Raw beta (5-year)</t>
  </si>
  <si>
    <t xml:space="preserve">Stock Analysis statistics, Oct 23, 2026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</si>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</sst>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NFLX!B4</f>
        <v>62.52</v>
      </c>
      <c r="D5" s="6" t="n">
        <f aca="false">NFLX!B10</f>
        <v>0.095</v>
      </c>
      <c r="E5" s="5" t="n">
        <f aca="false">NFLX!B75</f>
        <v>39.4904962015914</v>
      </c>
      <c r="F5" s="5" t="n">
        <f aca="false">NFLX!B76</f>
        <v>65.9073399804366</v>
      </c>
      <c r="G5" s="5" t="n">
        <f aca="false">NFLX!B77</f>
        <v>90.8578346328677</v>
      </c>
      <c r="H5" s="7" t="n">
        <f aca="false">F5/C5-1</f>
        <v>0.0541801020543284</v>
      </c>
      <c r="I5" s="6" t="n">
        <f aca="false">NFLX!B86</f>
        <v>0.098412404453534</v>
      </c>
      <c r="J5" s="8" t="n">
        <f aca="false">IF(F5&lt;10,ROUND(F5*4,0)/4,IF(F5&lt;100,ROUND(F5,0),ROUND(F5/5,0)*5))</f>
        <v>66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15</v>
      </c>
      <c r="C9" s="8" t="n">
        <f aca="false">J5</f>
        <v>66</v>
      </c>
    </row>
    <row r="10" customFormat="false" ht="15" hidden="false" customHeight="true" outlineLevel="0" collapsed="false">
      <c r="A10" s="1" t="s">
        <v>8</v>
      </c>
      <c r="C10" s="8" t="n">
        <f aca="false">G5</f>
        <v>90.8578346328677</v>
      </c>
    </row>
    <row r="11" customFormat="false" ht="15" hidden="false" customHeight="true" outlineLevel="0" collapsed="false">
      <c r="A11" s="1" t="s">
        <v>6</v>
      </c>
      <c r="C11" s="8" t="n">
        <f aca="false">E5</f>
        <v>39.4904962015914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4" customFormat="false" ht="15" hidden="false" customHeight="true" outlineLevel="0" collapsed="false">
      <c r="A4" s="1" t="s">
        <v>18</v>
      </c>
      <c r="B4" s="10" t="n">
        <v>62.52</v>
      </c>
      <c r="C4" s="3" t="s">
        <v>19</v>
      </c>
    </row>
    <row r="5" customFormat="false" ht="15" hidden="false" customHeight="true" outlineLevel="0" collapsed="false">
      <c r="A5" s="1" t="s">
        <v>20</v>
      </c>
      <c r="B5" s="11" t="s">
        <v>19</v>
      </c>
      <c r="C5" s="3" t="s">
        <v>21</v>
      </c>
    </row>
    <row r="6" customFormat="false" ht="15" hidden="false" customHeight="true" outlineLevel="0" collapsed="false">
      <c r="A6" s="1" t="s">
        <v>22</v>
      </c>
      <c r="B6" s="12" t="n">
        <v>4.106</v>
      </c>
      <c r="C6" s="3" t="s">
        <v>23</v>
      </c>
    </row>
    <row r="7" customFormat="false" ht="15" hidden="false" customHeight="true" outlineLevel="0" collapsed="false">
      <c r="A7" s="1" t="s">
        <v>24</v>
      </c>
      <c r="B7" s="13" t="n">
        <v>-7.1</v>
      </c>
      <c r="C7" s="3" t="s">
        <v>25</v>
      </c>
    </row>
    <row r="8" customFormat="false" ht="15" hidden="false" customHeight="true" outlineLevel="0" collapsed="false">
      <c r="A8" s="1" t="s">
        <v>26</v>
      </c>
      <c r="B8" s="13" t="n">
        <v>0</v>
      </c>
      <c r="C8" s="3" t="s">
        <v>27</v>
      </c>
    </row>
    <row r="9" customFormat="false" ht="15" hidden="false" customHeight="true" outlineLevel="0" collapsed="false">
      <c r="A9" s="1" t="s">
        <v>28</v>
      </c>
      <c r="B9" s="14" t="n">
        <v>0.165</v>
      </c>
      <c r="C9" s="3" t="s">
        <v>29</v>
      </c>
    </row>
    <row r="10" customFormat="false" ht="15" hidden="false" customHeight="true" outlineLevel="0" collapsed="false">
      <c r="A10" s="1" t="s">
        <v>30</v>
      </c>
      <c r="B10" s="15" t="n">
        <f aca="false">WACC!B29</f>
        <v>0.095</v>
      </c>
      <c r="C10" s="3" t="s">
        <v>31</v>
      </c>
    </row>
    <row r="11" customFormat="false" ht="15" hidden="false" customHeight="true" outlineLevel="0" collapsed="false">
      <c r="A11" s="1" t="s">
        <v>32</v>
      </c>
      <c r="B11" s="14" t="n">
        <v>0</v>
      </c>
      <c r="C11" s="3" t="s">
        <v>33</v>
      </c>
    </row>
    <row r="12" customFormat="false" ht="15" hidden="false" customHeight="true" outlineLevel="0" collapsed="false">
      <c r="A12" s="1" t="s">
        <v>34</v>
      </c>
      <c r="B12" s="13" t="n">
        <v>51.1</v>
      </c>
      <c r="C12" s="3" t="s">
        <v>35</v>
      </c>
    </row>
    <row r="13" customFormat="false" ht="15" hidden="false" customHeight="true" outlineLevel="0" collapsed="false">
      <c r="A13" s="1" t="s">
        <v>36</v>
      </c>
      <c r="B13" s="16" t="n">
        <v>2</v>
      </c>
      <c r="C13" s="3" t="s">
        <v>37</v>
      </c>
    </row>
    <row r="15" customFormat="false" ht="15" hidden="false" customHeight="true" outlineLevel="0" collapsed="false">
      <c r="A15" s="9" t="s">
        <v>38</v>
      </c>
      <c r="B15" s="17" t="s">
        <v>39</v>
      </c>
      <c r="C15" s="17" t="s">
        <v>40</v>
      </c>
      <c r="D15" s="17" t="s">
        <v>41</v>
      </c>
      <c r="E15" s="17" t="s">
        <v>42</v>
      </c>
      <c r="F15" s="17" t="s">
        <v>43</v>
      </c>
      <c r="G15" s="17" t="s">
        <v>44</v>
      </c>
      <c r="H15" s="17" t="s">
        <v>45</v>
      </c>
      <c r="I15" s="17" t="s">
        <v>46</v>
      </c>
      <c r="J15" s="17" t="s">
        <v>47</v>
      </c>
      <c r="K15" s="17" t="s">
        <v>48</v>
      </c>
      <c r="L15" s="9" t="s">
        <v>49</v>
      </c>
    </row>
    <row r="16" customFormat="false" ht="15" hidden="false" customHeight="true" outlineLevel="0" collapsed="false">
      <c r="A16" s="1" t="s">
        <v>50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53</v>
      </c>
      <c r="B20" s="13" t="n">
        <v>54</v>
      </c>
      <c r="C20" s="13" t="n">
        <v>56.5</v>
      </c>
      <c r="D20" s="13" t="n">
        <v>59</v>
      </c>
      <c r="E20" s="13" t="n">
        <v>61</v>
      </c>
      <c r="F20" s="13" t="n">
        <v>63</v>
      </c>
      <c r="G20" s="20" t="n">
        <f aca="false">F20*(1+$F21+($L21-$F21)*G$17/5)</f>
        <v>64.9674590163935</v>
      </c>
      <c r="H20" s="20" t="n">
        <f aca="false">G20*(1+$F21+($L21-$F21)*H$17/5)</f>
        <v>66.8951819806504</v>
      </c>
      <c r="I20" s="20" t="n">
        <f aca="false">H20*(1+$F21+($L21-$F21)*I$17/5)</f>
        <v>68.7759235724014</v>
      </c>
      <c r="J20" s="20" t="n">
        <f aca="false">I20*(1+$F21+($L21-$F21)*J$17/5)</f>
        <v>70.6024317066193</v>
      </c>
      <c r="K20" s="20" t="n">
        <f aca="false">J20*(1+$F21+($L21-$F21)*K$17/5)</f>
        <v>72.3674924992848</v>
      </c>
      <c r="L20" s="20" t="n">
        <f aca="false">K20*(1+L21)</f>
        <v>74.1766798117669</v>
      </c>
    </row>
    <row r="21" customFormat="false" ht="15" hidden="false" customHeight="true" outlineLevel="0" collapsed="false">
      <c r="A21" s="1" t="s">
        <v>54</v>
      </c>
      <c r="B21" s="7" t="n">
        <f aca="false">B20/$B$12-1</f>
        <v>0.0567514677103718</v>
      </c>
      <c r="C21" s="7" t="n">
        <f aca="false">C20/B20-1</f>
        <v>0.0462962962962963</v>
      </c>
      <c r="D21" s="7" t="n">
        <f aca="false">D20/C20-1</f>
        <v>0.0442477876106195</v>
      </c>
      <c r="E21" s="7" t="n">
        <f aca="false">E20/D20-1</f>
        <v>0.0338983050847457</v>
      </c>
      <c r="F21" s="7" t="n">
        <f aca="false">F20/E20-1</f>
        <v>0.0327868852459017</v>
      </c>
      <c r="G21" s="7" t="n">
        <f aca="false">G20/F20-1</f>
        <v>0.0312295081967213</v>
      </c>
      <c r="H21" s="7" t="n">
        <f aca="false">H20/G20-1</f>
        <v>0.029672131147541</v>
      </c>
      <c r="I21" s="7" t="n">
        <f aca="false">I20/H20-1</f>
        <v>0.0281147540983606</v>
      </c>
      <c r="J21" s="7" t="n">
        <f aca="false">J20/I20-1</f>
        <v>0.0265573770491803</v>
      </c>
      <c r="K21" s="7" t="n">
        <f aca="false">K20/J20-1</f>
        <v>0.0249999999999999</v>
      </c>
      <c r="L21" s="21" t="n">
        <v>0.025</v>
      </c>
    </row>
    <row r="22" customFormat="false" ht="15" hidden="false" customHeight="true" outlineLevel="0" collapsed="false">
      <c r="A22" s="1" t="s">
        <v>55</v>
      </c>
      <c r="B22" s="22" t="n">
        <v>0.3</v>
      </c>
      <c r="C22" s="22" t="n">
        <v>0.3</v>
      </c>
      <c r="D22" s="22" t="n">
        <v>0.3</v>
      </c>
      <c r="E22" s="22" t="n">
        <v>0.3</v>
      </c>
      <c r="F22" s="22" t="n">
        <v>0.3</v>
      </c>
      <c r="G22" s="7" t="n">
        <f aca="false">$F22+($L22-$F22)*G$17/5</f>
        <v>0.294</v>
      </c>
      <c r="H22" s="7" t="n">
        <f aca="false">$F22+($L22-$F22)*H$17/5</f>
        <v>0.288</v>
      </c>
      <c r="I22" s="7" t="n">
        <f aca="false">$F22+($L22-$F22)*I$17/5</f>
        <v>0.282</v>
      </c>
      <c r="J22" s="7" t="n">
        <f aca="false">$F22+($L22-$F22)*J$17/5</f>
        <v>0.276</v>
      </c>
      <c r="K22" s="7" t="n">
        <f aca="false">$F22+($L22-$F22)*K$17/5</f>
        <v>0.27</v>
      </c>
      <c r="L22" s="21" t="n">
        <v>0.27</v>
      </c>
    </row>
    <row r="23" customFormat="false" ht="15" hidden="false" customHeight="true" outlineLevel="0" collapsed="false">
      <c r="A23" s="1" t="s">
        <v>56</v>
      </c>
      <c r="B23" s="20" t="n">
        <f aca="false">B20*B22</f>
        <v>16.2</v>
      </c>
      <c r="C23" s="20" t="n">
        <f aca="false">C20*C22</f>
        <v>16.95</v>
      </c>
      <c r="D23" s="20" t="n">
        <f aca="false">D20*D22</f>
        <v>17.7</v>
      </c>
      <c r="E23" s="20" t="n">
        <f aca="false">E20*E22</f>
        <v>18.3</v>
      </c>
      <c r="F23" s="20" t="n">
        <f aca="false">F20*F22</f>
        <v>18.9</v>
      </c>
      <c r="G23" s="20" t="n">
        <f aca="false">G20*G22</f>
        <v>19.1004329508197</v>
      </c>
      <c r="H23" s="20" t="n">
        <f aca="false">H20*H22</f>
        <v>19.2658124104273</v>
      </c>
      <c r="I23" s="20" t="n">
        <f aca="false">I20*I22</f>
        <v>19.3948104474172</v>
      </c>
      <c r="J23" s="20" t="n">
        <f aca="false">J20*J22</f>
        <v>19.4862711510269</v>
      </c>
      <c r="K23" s="20" t="n">
        <f aca="false">K20*K22</f>
        <v>19.5392229748069</v>
      </c>
      <c r="L23" s="20" t="n">
        <f aca="false">L20*L22</f>
        <v>20.0277035491771</v>
      </c>
    </row>
    <row r="24" customFormat="false" ht="15" hidden="false" customHeight="true" outlineLevel="0" collapsed="false">
      <c r="A24" s="1" t="s">
        <v>57</v>
      </c>
      <c r="B24" s="20" t="n">
        <f aca="false">B23*(1-$B$9)</f>
        <v>13.527</v>
      </c>
      <c r="C24" s="20" t="n">
        <f aca="false">C23*(1-$B$9)</f>
        <v>14.15325</v>
      </c>
      <c r="D24" s="20" t="n">
        <f aca="false">D23*(1-$B$9)</f>
        <v>14.7795</v>
      </c>
      <c r="E24" s="20" t="n">
        <f aca="false">E23*(1-$B$9)</f>
        <v>15.2805</v>
      </c>
      <c r="F24" s="20" t="n">
        <f aca="false">F23*(1-$B$9)</f>
        <v>15.7815</v>
      </c>
      <c r="G24" s="20" t="n">
        <f aca="false">G23*(1-$B$9)</f>
        <v>15.9488615139344</v>
      </c>
      <c r="H24" s="20" t="n">
        <f aca="false">H23*(1-$B$9)</f>
        <v>16.0869533627068</v>
      </c>
      <c r="I24" s="20" t="n">
        <f aca="false">I23*(1-$B$9)</f>
        <v>16.1946667235934</v>
      </c>
      <c r="J24" s="20" t="n">
        <f aca="false">J23*(1-$B$9)</f>
        <v>16.2710364111075</v>
      </c>
      <c r="K24" s="20" t="n">
        <f aca="false">K23*(1-$B$9)</f>
        <v>16.3152511839638</v>
      </c>
      <c r="L24" s="20" t="n">
        <f aca="false">L23*(1-$B$9)</f>
        <v>16.7231324635628</v>
      </c>
    </row>
    <row r="25" customFormat="false" ht="15" hidden="false" customHeight="true" outlineLevel="0" collapsed="false">
      <c r="A25" s="1" t="s">
        <v>58</v>
      </c>
      <c r="B25" s="22" t="n">
        <v>0.04</v>
      </c>
      <c r="C25" s="22" t="n">
        <v>0.04</v>
      </c>
      <c r="D25" s="22" t="n">
        <v>0.04</v>
      </c>
      <c r="E25" s="22" t="n">
        <v>0.04</v>
      </c>
      <c r="F25" s="22" t="n">
        <v>0.04</v>
      </c>
      <c r="G25" s="7" t="n">
        <f aca="false">$F25+($L25-$F25)*G$17/5</f>
        <v>0.039</v>
      </c>
      <c r="H25" s="7" t="n">
        <f aca="false">$F25+($L25-$F25)*H$17/5</f>
        <v>0.038</v>
      </c>
      <c r="I25" s="7" t="n">
        <f aca="false">$F25+($L25-$F25)*I$17/5</f>
        <v>0.037</v>
      </c>
      <c r="J25" s="7" t="n">
        <f aca="false">$F25+($L25-$F25)*J$17/5</f>
        <v>0.036</v>
      </c>
      <c r="K25" s="7" t="n">
        <f aca="false">$F25+($L25-$F25)*K$17/5</f>
        <v>0.035</v>
      </c>
      <c r="L25" s="21" t="n">
        <v>0.035</v>
      </c>
    </row>
    <row r="26" customFormat="false" ht="15" hidden="false" customHeight="true" outlineLevel="0" collapsed="false">
      <c r="A26" s="1" t="s">
        <v>59</v>
      </c>
      <c r="B26" s="20" t="n">
        <f aca="false">B20*B25</f>
        <v>2.16</v>
      </c>
      <c r="C26" s="20" t="n">
        <f aca="false">C20*C25</f>
        <v>2.26</v>
      </c>
      <c r="D26" s="20" t="n">
        <f aca="false">D20*D25</f>
        <v>2.36</v>
      </c>
      <c r="E26" s="20" t="n">
        <f aca="false">E20*E25</f>
        <v>2.44</v>
      </c>
      <c r="F26" s="20" t="n">
        <f aca="false">F20*F25</f>
        <v>2.52</v>
      </c>
      <c r="G26" s="20" t="n">
        <f aca="false">G20*G25</f>
        <v>2.53373090163934</v>
      </c>
      <c r="H26" s="20" t="n">
        <f aca="false">H20*H25</f>
        <v>2.54201691526471</v>
      </c>
      <c r="I26" s="20" t="n">
        <f aca="false">I20*I25</f>
        <v>2.54470917217885</v>
      </c>
      <c r="J26" s="20" t="n">
        <f aca="false">J20*J25</f>
        <v>2.5416875414383</v>
      </c>
      <c r="K26" s="20" t="n">
        <f aca="false">K20*K25</f>
        <v>2.53286223747497</v>
      </c>
      <c r="L26" s="20" t="n">
        <f aca="false">L20*L25</f>
        <v>2.59618379341184</v>
      </c>
    </row>
    <row r="27" customFormat="false" ht="15" hidden="false" customHeight="true" outlineLevel="0" collapsed="false">
      <c r="A27" s="1" t="s">
        <v>60</v>
      </c>
      <c r="B27" s="20" t="n">
        <f aca="false">$B$11*(B20-$B$12)</f>
        <v>0</v>
      </c>
      <c r="C27" s="20" t="n">
        <f aca="false">$B$11*(C20-B20)</f>
        <v>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61</v>
      </c>
      <c r="B28" s="20" t="n">
        <f aca="false">B24-B26-B27</f>
        <v>11.367</v>
      </c>
      <c r="C28" s="20" t="n">
        <f aca="false">C24-C26-C27</f>
        <v>11.89325</v>
      </c>
      <c r="D28" s="20" t="n">
        <f aca="false">D24-D26-D27</f>
        <v>12.4195</v>
      </c>
      <c r="E28" s="20" t="n">
        <f aca="false">E24-E26-E27</f>
        <v>12.8405</v>
      </c>
      <c r="F28" s="20" t="n">
        <f aca="false">F24-F26-F27</f>
        <v>13.2615</v>
      </c>
      <c r="G28" s="20" t="n">
        <f aca="false">G24-G26-G27</f>
        <v>13.4151306122951</v>
      </c>
      <c r="H28" s="20" t="n">
        <f aca="false">H24-H26-H27</f>
        <v>13.5449364474421</v>
      </c>
      <c r="I28" s="20" t="n">
        <f aca="false">I24-I26-I27</f>
        <v>13.6499575514145</v>
      </c>
      <c r="J28" s="20" t="n">
        <f aca="false">J24-J26-J27</f>
        <v>13.7293488696692</v>
      </c>
      <c r="K28" s="20" t="n">
        <f aca="false">K24-K26-K27</f>
        <v>13.7823889464888</v>
      </c>
      <c r="L28" s="20" t="n">
        <f aca="false">L24-L26-L27</f>
        <v>14.126948670151</v>
      </c>
    </row>
    <row r="29" customFormat="false" ht="15" hidden="false" customHeight="true" outlineLevel="0" collapsed="false">
      <c r="A29" s="1" t="s">
        <v>62</v>
      </c>
      <c r="B29" s="23" t="n">
        <f aca="false">1/(1+$B$10)^B$16</f>
        <v>0.955636965134993</v>
      </c>
      <c r="C29" s="23" t="n">
        <f aca="false">1/(1+$B$10)^C$16</f>
        <v>0.87272782204109</v>
      </c>
      <c r="D29" s="23" t="n">
        <f aca="false">1/(1+$B$10)^D$16</f>
        <v>0.797011709626566</v>
      </c>
      <c r="E29" s="23" t="n">
        <f aca="false">1/(1+$B$10)^E$16</f>
        <v>0.72786457500143</v>
      </c>
      <c r="F29" s="23" t="n">
        <f aca="false">1/(1+$B$10)^F$16</f>
        <v>0.664716506850621</v>
      </c>
      <c r="G29" s="23" t="n">
        <f aca="false">1/(1+$B$10)^G$16</f>
        <v>0.607047038219745</v>
      </c>
      <c r="H29" s="23" t="n">
        <f aca="false">1/(1+$B$10)^H$16</f>
        <v>0.554380856821685</v>
      </c>
      <c r="I29" s="23" t="n">
        <f aca="false">1/(1+$B$10)^I$16</f>
        <v>0.506283887508388</v>
      </c>
      <c r="J29" s="23" t="n">
        <f aca="false">1/(1+$B$10)^J$16</f>
        <v>0.462359714619533</v>
      </c>
      <c r="K29" s="23" t="n">
        <f aca="false">1/(1+$B$10)^K$16</f>
        <v>0.422246314721034</v>
      </c>
    </row>
    <row r="30" customFormat="false" ht="15" hidden="false" customHeight="true" outlineLevel="0" collapsed="false">
      <c r="A30" s="1" t="s">
        <v>63</v>
      </c>
      <c r="B30" s="20" t="n">
        <f aca="false">B28*B29</f>
        <v>10.8627253826895</v>
      </c>
      <c r="C30" s="20" t="n">
        <f aca="false">C28*C29</f>
        <v>10.3795701694902</v>
      </c>
      <c r="D30" s="20" t="n">
        <f aca="false">D28*D29</f>
        <v>9.89848692770714</v>
      </c>
      <c r="E30" s="20" t="n">
        <f aca="false">E28*E29</f>
        <v>9.34614507530586</v>
      </c>
      <c r="F30" s="20" t="n">
        <f aca="false">F28*F29</f>
        <v>8.81513795559951</v>
      </c>
      <c r="G30" s="20" t="n">
        <f aca="false">G28*G29</f>
        <v>8.14361530552477</v>
      </c>
      <c r="H30" s="20" t="n">
        <f aca="false">H28*H29</f>
        <v>7.50905347332822</v>
      </c>
      <c r="I30" s="20" t="n">
        <f aca="false">I28*I29</f>
        <v>6.91075357345462</v>
      </c>
      <c r="J30" s="20" t="n">
        <f aca="false">J28*J29</f>
        <v>6.34789782529225</v>
      </c>
      <c r="K30" s="20" t="n">
        <f aca="false">K28*K29</f>
        <v>5.81956294070681</v>
      </c>
      <c r="L30" s="20"/>
    </row>
    <row r="31" customFormat="false" ht="15" hidden="false" customHeight="true" outlineLevel="0" collapsed="false">
      <c r="A31" s="1" t="s">
        <v>64</v>
      </c>
      <c r="B31" s="20" t="n">
        <f aca="false">L28/($B$10-L21)</f>
        <v>201.813552430729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65</v>
      </c>
      <c r="B32" s="20" t="n">
        <f aca="false">B31/(1+$B$10)^$K$16</f>
        <v>85.2150287746354</v>
      </c>
    </row>
    <row r="33" customFormat="false" ht="15" hidden="false" customHeight="true" outlineLevel="0" collapsed="false">
      <c r="A33" s="1" t="s">
        <v>66</v>
      </c>
      <c r="B33" s="20" t="n">
        <f aca="false">SUM(B30:K30)+B32+$B$7+$B$8</f>
        <v>162.147977403734</v>
      </c>
    </row>
    <row r="34" customFormat="false" ht="15" hidden="false" customHeight="true" outlineLevel="0" collapsed="false">
      <c r="A34" s="1" t="s">
        <v>67</v>
      </c>
      <c r="B34" s="24" t="n">
        <f aca="false">B33/$B$6</f>
        <v>39.4904962015914</v>
      </c>
    </row>
    <row r="35" customFormat="false" ht="15" hidden="false" customHeight="true" outlineLevel="0" collapsed="false">
      <c r="A35" s="1" t="s">
        <v>68</v>
      </c>
      <c r="B35" s="7" t="n">
        <f aca="false">B34/$B$4-1</f>
        <v>-0.368354187434559</v>
      </c>
    </row>
    <row r="37" customFormat="false" ht="15" hidden="false" customHeight="true" outlineLevel="0" collapsed="false">
      <c r="A37" s="18" t="s">
        <v>69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53</v>
      </c>
      <c r="B38" s="13" t="n">
        <v>55.5</v>
      </c>
      <c r="C38" s="13" t="n">
        <v>60</v>
      </c>
      <c r="D38" s="13" t="n">
        <v>64.5</v>
      </c>
      <c r="E38" s="13" t="n">
        <v>69</v>
      </c>
      <c r="F38" s="13" t="n">
        <v>73.5</v>
      </c>
      <c r="G38" s="20" t="n">
        <f aca="false">F38*(1+$F39+($L39-$F39)*G$17/5)</f>
        <v>77.8492826086957</v>
      </c>
      <c r="H38" s="20" t="n">
        <f aca="false">G38*(1+$F39+($L39-$F39)*H$17/5)</f>
        <v>81.9854488412098</v>
      </c>
      <c r="I38" s="20" t="n">
        <f aca="false">H38*(1+$F39+($L39-$F39)*I$17/5)</f>
        <v>85.8458941062112</v>
      </c>
      <c r="J38" s="20" t="n">
        <f aca="false">I38*(1+$F39+($L39-$F39)*J$17/5)</f>
        <v>89.3693081947444</v>
      </c>
      <c r="K38" s="20" t="n">
        <f aca="false">J38*(1+$F39+($L39-$F39)*K$17/5)</f>
        <v>92.4972339815604</v>
      </c>
      <c r="L38" s="20" t="n">
        <f aca="false">K38*(1+L39)</f>
        <v>95.734637170915</v>
      </c>
    </row>
    <row r="39" customFormat="false" ht="15" hidden="false" customHeight="true" outlineLevel="0" collapsed="false">
      <c r="A39" s="1" t="s">
        <v>54</v>
      </c>
      <c r="B39" s="7" t="n">
        <f aca="false">B38/$B$12-1</f>
        <v>0.086105675146771</v>
      </c>
      <c r="C39" s="7" t="n">
        <f aca="false">C38/B38-1</f>
        <v>0.0810810810810811</v>
      </c>
      <c r="D39" s="7" t="n">
        <f aca="false">D38/C38-1</f>
        <v>0.075</v>
      </c>
      <c r="E39" s="7" t="n">
        <f aca="false">E38/D38-1</f>
        <v>0.069767441860465</v>
      </c>
      <c r="F39" s="7" t="n">
        <f aca="false">F38/E38-1</f>
        <v>0.0652173913043479</v>
      </c>
      <c r="G39" s="7" t="n">
        <f aca="false">G38/F38-1</f>
        <v>0.0591739130434783</v>
      </c>
      <c r="H39" s="7" t="n">
        <f aca="false">H38/G38-1</f>
        <v>0.0531304347826087</v>
      </c>
      <c r="I39" s="7" t="n">
        <f aca="false">I38/H38-1</f>
        <v>0.0470869565217391</v>
      </c>
      <c r="J39" s="7" t="n">
        <f aca="false">J38/I38-1</f>
        <v>0.0410434782608695</v>
      </c>
      <c r="K39" s="7" t="n">
        <f aca="false">K38/J38-1</f>
        <v>0.0349999999999999</v>
      </c>
      <c r="L39" s="21" t="n">
        <v>0.035</v>
      </c>
    </row>
    <row r="40" customFormat="false" ht="15" hidden="false" customHeight="true" outlineLevel="0" collapsed="false">
      <c r="A40" s="1" t="s">
        <v>55</v>
      </c>
      <c r="B40" s="22" t="n">
        <v>0.32</v>
      </c>
      <c r="C40" s="22" t="n">
        <v>0.33</v>
      </c>
      <c r="D40" s="22" t="n">
        <v>0.34</v>
      </c>
      <c r="E40" s="22" t="n">
        <v>0.35</v>
      </c>
      <c r="F40" s="22" t="n">
        <v>0.355</v>
      </c>
      <c r="G40" s="7" t="n">
        <f aca="false">$F40+($L40-$F40)*G$17/5</f>
        <v>0.35</v>
      </c>
      <c r="H40" s="7" t="n">
        <f aca="false">$F40+($L40-$F40)*H$17/5</f>
        <v>0.345</v>
      </c>
      <c r="I40" s="7" t="n">
        <f aca="false">$F40+($L40-$F40)*I$17/5</f>
        <v>0.34</v>
      </c>
      <c r="J40" s="7" t="n">
        <f aca="false">$F40+($L40-$F40)*J$17/5</f>
        <v>0.335</v>
      </c>
      <c r="K40" s="7" t="n">
        <f aca="false">$F40+($L40-$F40)*K$17/5</f>
        <v>0.33</v>
      </c>
      <c r="L40" s="21" t="n">
        <v>0.33</v>
      </c>
    </row>
    <row r="41" customFormat="false" ht="15" hidden="false" customHeight="true" outlineLevel="0" collapsed="false">
      <c r="A41" s="1" t="s">
        <v>56</v>
      </c>
      <c r="B41" s="20" t="n">
        <f aca="false">B38*B40</f>
        <v>17.76</v>
      </c>
      <c r="C41" s="20" t="n">
        <f aca="false">C38*C40</f>
        <v>19.8</v>
      </c>
      <c r="D41" s="20" t="n">
        <f aca="false">D38*D40</f>
        <v>21.93</v>
      </c>
      <c r="E41" s="20" t="n">
        <f aca="false">E38*E40</f>
        <v>24.15</v>
      </c>
      <c r="F41" s="20" t="n">
        <f aca="false">F38*F40</f>
        <v>26.0925</v>
      </c>
      <c r="G41" s="20" t="n">
        <f aca="false">G38*G40</f>
        <v>27.2472489130435</v>
      </c>
      <c r="H41" s="20" t="n">
        <f aca="false">H38*H40</f>
        <v>28.2849798502174</v>
      </c>
      <c r="I41" s="20" t="n">
        <f aca="false">I38*I40</f>
        <v>29.1876039961118</v>
      </c>
      <c r="J41" s="20" t="n">
        <f aca="false">J38*J40</f>
        <v>29.9387182452394</v>
      </c>
      <c r="K41" s="20" t="n">
        <f aca="false">K38*K40</f>
        <v>30.5240872139149</v>
      </c>
      <c r="L41" s="20" t="n">
        <f aca="false">L38*L40</f>
        <v>31.592430266402</v>
      </c>
    </row>
    <row r="42" customFormat="false" ht="15" hidden="false" customHeight="true" outlineLevel="0" collapsed="false">
      <c r="A42" s="1" t="s">
        <v>57</v>
      </c>
      <c r="B42" s="20" t="n">
        <f aca="false">B41*(1-$B$9)</f>
        <v>14.8296</v>
      </c>
      <c r="C42" s="20" t="n">
        <f aca="false">C41*(1-$B$9)</f>
        <v>16.533</v>
      </c>
      <c r="D42" s="20" t="n">
        <f aca="false">D41*(1-$B$9)</f>
        <v>18.31155</v>
      </c>
      <c r="E42" s="20" t="n">
        <f aca="false">E41*(1-$B$9)</f>
        <v>20.16525</v>
      </c>
      <c r="F42" s="20" t="n">
        <f aca="false">F41*(1-$B$9)</f>
        <v>21.7872375</v>
      </c>
      <c r="G42" s="20" t="n">
        <f aca="false">G41*(1-$B$9)</f>
        <v>22.7514528423913</v>
      </c>
      <c r="H42" s="20" t="n">
        <f aca="false">H41*(1-$B$9)</f>
        <v>23.6179581749315</v>
      </c>
      <c r="I42" s="20" t="n">
        <f aca="false">I41*(1-$B$9)</f>
        <v>24.3716493367534</v>
      </c>
      <c r="J42" s="20" t="n">
        <f aca="false">J41*(1-$B$9)</f>
        <v>24.9988297347749</v>
      </c>
      <c r="K42" s="20" t="n">
        <f aca="false">K41*(1-$B$9)</f>
        <v>25.487612823619</v>
      </c>
      <c r="L42" s="20" t="n">
        <f aca="false">L41*(1-$B$9)</f>
        <v>26.3796792724456</v>
      </c>
    </row>
    <row r="43" customFormat="false" ht="15" hidden="false" customHeight="true" outlineLevel="0" collapsed="false">
      <c r="A43" s="1" t="s">
        <v>58</v>
      </c>
      <c r="B43" s="22" t="n">
        <v>0.04</v>
      </c>
      <c r="C43" s="22" t="n">
        <v>0.04</v>
      </c>
      <c r="D43" s="22" t="n">
        <v>0.04</v>
      </c>
      <c r="E43" s="22" t="n">
        <v>0.04</v>
      </c>
      <c r="F43" s="22" t="n">
        <v>0.04</v>
      </c>
      <c r="G43" s="7" t="n">
        <f aca="false">$F43+($L43-$F43)*G$17/5</f>
        <v>0.039</v>
      </c>
      <c r="H43" s="7" t="n">
        <f aca="false">$F43+($L43-$F43)*H$17/5</f>
        <v>0.038</v>
      </c>
      <c r="I43" s="7" t="n">
        <f aca="false">$F43+($L43-$F43)*I$17/5</f>
        <v>0.037</v>
      </c>
      <c r="J43" s="7" t="n">
        <f aca="false">$F43+($L43-$F43)*J$17/5</f>
        <v>0.036</v>
      </c>
      <c r="K43" s="7" t="n">
        <f aca="false">$F43+($L43-$F43)*K$17/5</f>
        <v>0.035</v>
      </c>
      <c r="L43" s="21" t="n">
        <v>0.035</v>
      </c>
    </row>
    <row r="44" customFormat="false" ht="15" hidden="false" customHeight="true" outlineLevel="0" collapsed="false">
      <c r="A44" s="1" t="s">
        <v>59</v>
      </c>
      <c r="B44" s="20" t="n">
        <f aca="false">B38*B43</f>
        <v>2.22</v>
      </c>
      <c r="C44" s="20" t="n">
        <f aca="false">C38*C43</f>
        <v>2.4</v>
      </c>
      <c r="D44" s="20" t="n">
        <f aca="false">D38*D43</f>
        <v>2.58</v>
      </c>
      <c r="E44" s="20" t="n">
        <f aca="false">E38*E43</f>
        <v>2.76</v>
      </c>
      <c r="F44" s="20" t="n">
        <f aca="false">F38*F43</f>
        <v>2.94</v>
      </c>
      <c r="G44" s="20" t="n">
        <f aca="false">G38*G43</f>
        <v>3.03612202173913</v>
      </c>
      <c r="H44" s="20" t="n">
        <f aca="false">H38*H43</f>
        <v>3.11544705596597</v>
      </c>
      <c r="I44" s="20" t="n">
        <f aca="false">I38*I43</f>
        <v>3.17629808192981</v>
      </c>
      <c r="J44" s="20" t="n">
        <f aca="false">J38*J43</f>
        <v>3.2172950950108</v>
      </c>
      <c r="K44" s="20" t="n">
        <f aca="false">K38*K43</f>
        <v>3.23740318935461</v>
      </c>
      <c r="L44" s="20" t="n">
        <f aca="false">L38*L43</f>
        <v>3.35071230098203</v>
      </c>
    </row>
    <row r="45" customFormat="false" ht="15" hidden="false" customHeight="true" outlineLevel="0" collapsed="false">
      <c r="A45" s="1" t="s">
        <v>60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61</v>
      </c>
      <c r="B46" s="20" t="n">
        <f aca="false">B42-B44-B45</f>
        <v>12.6096</v>
      </c>
      <c r="C46" s="20" t="n">
        <f aca="false">C42-C44-C45</f>
        <v>14.133</v>
      </c>
      <c r="D46" s="20" t="n">
        <f aca="false">D42-D44-D45</f>
        <v>15.73155</v>
      </c>
      <c r="E46" s="20" t="n">
        <f aca="false">E42-E44-E45</f>
        <v>17.40525</v>
      </c>
      <c r="F46" s="20" t="n">
        <f aca="false">F42-F44-F45</f>
        <v>18.8472375</v>
      </c>
      <c r="G46" s="20" t="n">
        <f aca="false">G42-G44-G45</f>
        <v>19.7153308206522</v>
      </c>
      <c r="H46" s="20" t="n">
        <f aca="false">H42-H44-H45</f>
        <v>20.5025111189656</v>
      </c>
      <c r="I46" s="20" t="n">
        <f aca="false">I42-I44-I45</f>
        <v>21.1953512548235</v>
      </c>
      <c r="J46" s="20" t="n">
        <f aca="false">J42-J44-J45</f>
        <v>21.7815346397641</v>
      </c>
      <c r="K46" s="20" t="n">
        <f aca="false">K42-K44-K45</f>
        <v>22.2502096342644</v>
      </c>
      <c r="L46" s="20" t="n">
        <f aca="false">L42-L44-L45</f>
        <v>23.0289669714636</v>
      </c>
    </row>
    <row r="47" customFormat="false" ht="15" hidden="false" customHeight="true" outlineLevel="0" collapsed="false">
      <c r="A47" s="1" t="s">
        <v>62</v>
      </c>
      <c r="B47" s="23" t="n">
        <f aca="false">1/(1+$B$10)^B$16</f>
        <v>0.955636965134993</v>
      </c>
      <c r="C47" s="23" t="n">
        <f aca="false">1/(1+$B$10)^C$16</f>
        <v>0.87272782204109</v>
      </c>
      <c r="D47" s="23" t="n">
        <f aca="false">1/(1+$B$10)^D$16</f>
        <v>0.797011709626566</v>
      </c>
      <c r="E47" s="23" t="n">
        <f aca="false">1/(1+$B$10)^E$16</f>
        <v>0.72786457500143</v>
      </c>
      <c r="F47" s="23" t="n">
        <f aca="false">1/(1+$B$10)^F$16</f>
        <v>0.664716506850621</v>
      </c>
      <c r="G47" s="23" t="n">
        <f aca="false">1/(1+$B$10)^G$16</f>
        <v>0.607047038219745</v>
      </c>
      <c r="H47" s="23" t="n">
        <f aca="false">1/(1+$B$10)^H$16</f>
        <v>0.554380856821685</v>
      </c>
      <c r="I47" s="23" t="n">
        <f aca="false">1/(1+$B$10)^I$16</f>
        <v>0.506283887508388</v>
      </c>
      <c r="J47" s="23" t="n">
        <f aca="false">1/(1+$B$10)^J$16</f>
        <v>0.462359714619533</v>
      </c>
      <c r="K47" s="23" t="n">
        <f aca="false">1/(1+$B$10)^K$16</f>
        <v>0.422246314721034</v>
      </c>
    </row>
    <row r="48" customFormat="false" ht="15" hidden="false" customHeight="true" outlineLevel="0" collapsed="false">
      <c r="A48" s="1" t="s">
        <v>63</v>
      </c>
      <c r="B48" s="20" t="n">
        <f aca="false">B46*B47</f>
        <v>12.0501998755662</v>
      </c>
      <c r="C48" s="20" t="n">
        <f aca="false">C46*C47</f>
        <v>12.3342623089067</v>
      </c>
      <c r="D48" s="20" t="n">
        <f aca="false">D46*D47</f>
        <v>12.5382295605758</v>
      </c>
      <c r="E48" s="20" t="n">
        <f aca="false">E46*E47</f>
        <v>12.6686648940436</v>
      </c>
      <c r="F48" s="20" t="n">
        <f aca="false">F46*F47</f>
        <v>12.528069874784</v>
      </c>
      <c r="G48" s="20" t="n">
        <f aca="false">G46*G47</f>
        <v>11.9681331821994</v>
      </c>
      <c r="H48" s="20" t="n">
        <f aca="false">H46*H47</f>
        <v>11.3661996811283</v>
      </c>
      <c r="I48" s="20" t="n">
        <f aca="false">I46*I47</f>
        <v>10.7308648303979</v>
      </c>
      <c r="J48" s="20" t="n">
        <f aca="false">J46*J47</f>
        <v>10.0709041400168</v>
      </c>
      <c r="K48" s="20" t="n">
        <f aca="false">K46*K47</f>
        <v>9.39506901983858</v>
      </c>
      <c r="L48" s="20"/>
    </row>
    <row r="49" customFormat="false" ht="15" hidden="false" customHeight="true" outlineLevel="0" collapsed="false">
      <c r="A49" s="1" t="s">
        <v>64</v>
      </c>
      <c r="B49" s="20" t="n">
        <f aca="false">L46/($B$10-L39)</f>
        <v>383.81611619106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65</v>
      </c>
      <c r="B50" s="20" t="n">
        <f aca="false">B49/(1+$B$10)^$K$16</f>
        <v>162.064940592216</v>
      </c>
    </row>
    <row r="51" customFormat="false" ht="15" hidden="false" customHeight="true" outlineLevel="0" collapsed="false">
      <c r="A51" s="1" t="s">
        <v>66</v>
      </c>
      <c r="B51" s="20" t="n">
        <f aca="false">SUM(B48:K48)+B50+$B$7+$B$8</f>
        <v>270.615537959673</v>
      </c>
    </row>
    <row r="52" customFormat="false" ht="15" hidden="false" customHeight="true" outlineLevel="0" collapsed="false">
      <c r="A52" s="1" t="s">
        <v>67</v>
      </c>
      <c r="B52" s="24" t="n">
        <f aca="false">B51/$B$6</f>
        <v>65.9073399804366</v>
      </c>
    </row>
    <row r="53" customFormat="false" ht="15" hidden="false" customHeight="true" outlineLevel="0" collapsed="false">
      <c r="A53" s="1" t="s">
        <v>68</v>
      </c>
      <c r="B53" s="7" t="n">
        <f aca="false">B52/$B$4-1</f>
        <v>0.0541801020543284</v>
      </c>
    </row>
    <row r="55" customFormat="false" ht="15" hidden="false" customHeight="true" outlineLevel="0" collapsed="false">
      <c r="A55" s="18" t="s">
        <v>70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53</v>
      </c>
      <c r="B56" s="13" t="n">
        <v>56.5</v>
      </c>
      <c r="C56" s="13" t="n">
        <v>62.5</v>
      </c>
      <c r="D56" s="13" t="n">
        <v>69</v>
      </c>
      <c r="E56" s="13" t="n">
        <v>75.5</v>
      </c>
      <c r="F56" s="13" t="n">
        <v>82</v>
      </c>
      <c r="G56" s="20" t="n">
        <f aca="false">F56*(1+$F57+($L57-$F57)*G$17/5)</f>
        <v>88.3036821192053</v>
      </c>
      <c r="H56" s="20" t="n">
        <f aca="false">G56*(1+$F57+($L57-$F57)*H$17/5)</f>
        <v>94.2779232882768</v>
      </c>
      <c r="I56" s="20" t="n">
        <f aca="false">H56*(1+$F57+($L57-$F57)*I$17/5)</f>
        <v>99.7872504081163</v>
      </c>
      <c r="J56" s="20" t="n">
        <f aca="false">I56*(1+$F57+($L57-$F57)*J$17/5)</f>
        <v>104.698633487806</v>
      </c>
      <c r="K56" s="20" t="n">
        <f aca="false">J56*(1+$F57+($L57-$F57)*K$17/5)</f>
        <v>108.886578827318</v>
      </c>
      <c r="L56" s="20" t="n">
        <f aca="false">K56*(1+L57)</f>
        <v>113.242041980411</v>
      </c>
    </row>
    <row r="57" customFormat="false" ht="15" hidden="false" customHeight="true" outlineLevel="0" collapsed="false">
      <c r="A57" s="1" t="s">
        <v>54</v>
      </c>
      <c r="B57" s="7" t="n">
        <f aca="false">B56/$B$12-1</f>
        <v>0.105675146771037</v>
      </c>
      <c r="C57" s="7" t="n">
        <f aca="false">C56/B56-1</f>
        <v>0.106194690265487</v>
      </c>
      <c r="D57" s="7" t="n">
        <f aca="false">D56/C56-1</f>
        <v>0.104</v>
      </c>
      <c r="E57" s="7" t="n">
        <f aca="false">E56/D56-1</f>
        <v>0.0942028985507246</v>
      </c>
      <c r="F57" s="7" t="n">
        <f aca="false">F56/E56-1</f>
        <v>0.0860927152317881</v>
      </c>
      <c r="G57" s="7" t="n">
        <f aca="false">G56/F56-1</f>
        <v>0.0768741721854305</v>
      </c>
      <c r="H57" s="7" t="n">
        <f aca="false">H56/G56-1</f>
        <v>0.0676556291390729</v>
      </c>
      <c r="I57" s="7" t="n">
        <f aca="false">I56/H56-1</f>
        <v>0.0584370860927153</v>
      </c>
      <c r="J57" s="7" t="n">
        <f aca="false">J56/I56-1</f>
        <v>0.0492185430463576</v>
      </c>
      <c r="K57" s="7" t="n">
        <f aca="false">K56/J56-1</f>
        <v>0.04</v>
      </c>
      <c r="L57" s="21" t="n">
        <v>0.04</v>
      </c>
    </row>
    <row r="58" customFormat="false" ht="15" hidden="false" customHeight="true" outlineLevel="0" collapsed="false">
      <c r="A58" s="1" t="s">
        <v>55</v>
      </c>
      <c r="B58" s="22" t="n">
        <v>0.33</v>
      </c>
      <c r="C58" s="22" t="n">
        <v>0.35</v>
      </c>
      <c r="D58" s="22" t="n">
        <v>0.37</v>
      </c>
      <c r="E58" s="22" t="n">
        <v>0.38</v>
      </c>
      <c r="F58" s="22" t="n">
        <v>0.39</v>
      </c>
      <c r="G58" s="7" t="n">
        <f aca="false">$F58+($L58-$F58)*G$17/5</f>
        <v>0.386</v>
      </c>
      <c r="H58" s="7" t="n">
        <f aca="false">$F58+($L58-$F58)*H$17/5</f>
        <v>0.382</v>
      </c>
      <c r="I58" s="7" t="n">
        <f aca="false">$F58+($L58-$F58)*I$17/5</f>
        <v>0.378</v>
      </c>
      <c r="J58" s="7" t="n">
        <f aca="false">$F58+($L58-$F58)*J$17/5</f>
        <v>0.374</v>
      </c>
      <c r="K58" s="7" t="n">
        <f aca="false">$F58+($L58-$F58)*K$17/5</f>
        <v>0.37</v>
      </c>
      <c r="L58" s="21" t="n">
        <v>0.37</v>
      </c>
    </row>
    <row r="59" customFormat="false" ht="15" hidden="false" customHeight="true" outlineLevel="0" collapsed="false">
      <c r="A59" s="1" t="s">
        <v>56</v>
      </c>
      <c r="B59" s="20" t="n">
        <f aca="false">B56*B58</f>
        <v>18.645</v>
      </c>
      <c r="C59" s="20" t="n">
        <f aca="false">C56*C58</f>
        <v>21.875</v>
      </c>
      <c r="D59" s="20" t="n">
        <f aca="false">D56*D58</f>
        <v>25.53</v>
      </c>
      <c r="E59" s="20" t="n">
        <f aca="false">E56*E58</f>
        <v>28.69</v>
      </c>
      <c r="F59" s="20" t="n">
        <f aca="false">F56*F58</f>
        <v>31.98</v>
      </c>
      <c r="G59" s="20" t="n">
        <f aca="false">G56*G58</f>
        <v>34.0852212980132</v>
      </c>
      <c r="H59" s="20" t="n">
        <f aca="false">H56*H58</f>
        <v>36.0141666961218</v>
      </c>
      <c r="I59" s="20" t="n">
        <f aca="false">I56*I58</f>
        <v>37.719580654268</v>
      </c>
      <c r="J59" s="20" t="n">
        <f aca="false">J56*J58</f>
        <v>39.1572889244394</v>
      </c>
      <c r="K59" s="20" t="n">
        <f aca="false">K56*K58</f>
        <v>40.2880341661077</v>
      </c>
      <c r="L59" s="20" t="n">
        <f aca="false">L56*L58</f>
        <v>41.899555532752</v>
      </c>
    </row>
    <row r="60" customFormat="false" ht="15" hidden="false" customHeight="true" outlineLevel="0" collapsed="false">
      <c r="A60" s="1" t="s">
        <v>57</v>
      </c>
      <c r="B60" s="20" t="n">
        <f aca="false">B59*(1-$B$9)</f>
        <v>15.568575</v>
      </c>
      <c r="C60" s="20" t="n">
        <f aca="false">C59*(1-$B$9)</f>
        <v>18.265625</v>
      </c>
      <c r="D60" s="20" t="n">
        <f aca="false">D59*(1-$B$9)</f>
        <v>21.31755</v>
      </c>
      <c r="E60" s="20" t="n">
        <f aca="false">E59*(1-$B$9)</f>
        <v>23.95615</v>
      </c>
      <c r="F60" s="20" t="n">
        <f aca="false">F59*(1-$B$9)</f>
        <v>26.7033</v>
      </c>
      <c r="G60" s="20" t="n">
        <f aca="false">G59*(1-$B$9)</f>
        <v>28.4611597838411</v>
      </c>
      <c r="H60" s="20" t="n">
        <f aca="false">H59*(1-$B$9)</f>
        <v>30.0718291912617</v>
      </c>
      <c r="I60" s="20" t="n">
        <f aca="false">I59*(1-$B$9)</f>
        <v>31.4958498463137</v>
      </c>
      <c r="J60" s="20" t="n">
        <f aca="false">J59*(1-$B$9)</f>
        <v>32.6963362519069</v>
      </c>
      <c r="K60" s="20" t="n">
        <f aca="false">K59*(1-$B$9)</f>
        <v>33.6405085286999</v>
      </c>
      <c r="L60" s="20" t="n">
        <f aca="false">L59*(1-$B$9)</f>
        <v>34.9861288698479</v>
      </c>
    </row>
    <row r="61" customFormat="false" ht="15" hidden="false" customHeight="true" outlineLevel="0" collapsed="false">
      <c r="A61" s="1" t="s">
        <v>58</v>
      </c>
      <c r="B61" s="22" t="n">
        <v>0.04</v>
      </c>
      <c r="C61" s="22" t="n">
        <v>0.04</v>
      </c>
      <c r="D61" s="22" t="n">
        <v>0.04</v>
      </c>
      <c r="E61" s="22" t="n">
        <v>0.04</v>
      </c>
      <c r="F61" s="22" t="n">
        <v>0.04</v>
      </c>
      <c r="G61" s="7" t="n">
        <f aca="false">$F61+($L61-$F61)*G$17/5</f>
        <v>0.039</v>
      </c>
      <c r="H61" s="7" t="n">
        <f aca="false">$F61+($L61-$F61)*H$17/5</f>
        <v>0.038</v>
      </c>
      <c r="I61" s="7" t="n">
        <f aca="false">$F61+($L61-$F61)*I$17/5</f>
        <v>0.037</v>
      </c>
      <c r="J61" s="7" t="n">
        <f aca="false">$F61+($L61-$F61)*J$17/5</f>
        <v>0.036</v>
      </c>
      <c r="K61" s="7" t="n">
        <f aca="false">$F61+($L61-$F61)*K$17/5</f>
        <v>0.035</v>
      </c>
      <c r="L61" s="21" t="n">
        <v>0.035</v>
      </c>
    </row>
    <row r="62" customFormat="false" ht="15" hidden="false" customHeight="true" outlineLevel="0" collapsed="false">
      <c r="A62" s="1" t="s">
        <v>59</v>
      </c>
      <c r="B62" s="20" t="n">
        <f aca="false">B56*B61</f>
        <v>2.26</v>
      </c>
      <c r="C62" s="20" t="n">
        <f aca="false">C56*C61</f>
        <v>2.5</v>
      </c>
      <c r="D62" s="20" t="n">
        <f aca="false">D56*D61</f>
        <v>2.76</v>
      </c>
      <c r="E62" s="20" t="n">
        <f aca="false">E56*E61</f>
        <v>3.02</v>
      </c>
      <c r="F62" s="20" t="n">
        <f aca="false">F56*F61</f>
        <v>3.28</v>
      </c>
      <c r="G62" s="20" t="n">
        <f aca="false">G56*G61</f>
        <v>3.44384360264901</v>
      </c>
      <c r="H62" s="20" t="n">
        <f aca="false">H56*H61</f>
        <v>3.58256108495452</v>
      </c>
      <c r="I62" s="20" t="n">
        <f aca="false">I56*I61</f>
        <v>3.6921282651003</v>
      </c>
      <c r="J62" s="20" t="n">
        <f aca="false">J56*J61</f>
        <v>3.76915080556101</v>
      </c>
      <c r="K62" s="20" t="n">
        <f aca="false">K56*K61</f>
        <v>3.81103025895613</v>
      </c>
      <c r="L62" s="20" t="n">
        <f aca="false">L56*L61</f>
        <v>3.96347146931438</v>
      </c>
    </row>
    <row r="63" customFormat="false" ht="15" hidden="false" customHeight="true" outlineLevel="0" collapsed="false">
      <c r="A63" s="1" t="s">
        <v>60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61</v>
      </c>
      <c r="B64" s="20" t="n">
        <f aca="false">B60-B62-B63</f>
        <v>13.308575</v>
      </c>
      <c r="C64" s="20" t="n">
        <f aca="false">C60-C62-C63</f>
        <v>15.765625</v>
      </c>
      <c r="D64" s="20" t="n">
        <f aca="false">D60-D62-D63</f>
        <v>18.55755</v>
      </c>
      <c r="E64" s="20" t="n">
        <f aca="false">E60-E62-E63</f>
        <v>20.93615</v>
      </c>
      <c r="F64" s="20" t="n">
        <f aca="false">F60-F62-F63</f>
        <v>23.4233</v>
      </c>
      <c r="G64" s="20" t="n">
        <f aca="false">G60-G62-G63</f>
        <v>25.0173161811921</v>
      </c>
      <c r="H64" s="20" t="n">
        <f aca="false">H60-H62-H63</f>
        <v>26.4892681063071</v>
      </c>
      <c r="I64" s="20" t="n">
        <f aca="false">I60-I62-I63</f>
        <v>27.8037215812134</v>
      </c>
      <c r="J64" s="20" t="n">
        <f aca="false">J60-J62-J63</f>
        <v>28.9271854463459</v>
      </c>
      <c r="K64" s="20" t="n">
        <f aca="false">K60-K62-K63</f>
        <v>29.8294782697438</v>
      </c>
      <c r="L64" s="20" t="n">
        <f aca="false">L60-L62-L63</f>
        <v>31.0226574005335</v>
      </c>
    </row>
    <row r="65" customFormat="false" ht="15" hidden="false" customHeight="true" outlineLevel="0" collapsed="false">
      <c r="A65" s="1" t="s">
        <v>62</v>
      </c>
      <c r="B65" s="23" t="n">
        <f aca="false">1/(1+$B$10)^B$16</f>
        <v>0.955636965134993</v>
      </c>
      <c r="C65" s="23" t="n">
        <f aca="false">1/(1+$B$10)^C$16</f>
        <v>0.87272782204109</v>
      </c>
      <c r="D65" s="23" t="n">
        <f aca="false">1/(1+$B$10)^D$16</f>
        <v>0.797011709626566</v>
      </c>
      <c r="E65" s="23" t="n">
        <f aca="false">1/(1+$B$10)^E$16</f>
        <v>0.72786457500143</v>
      </c>
      <c r="F65" s="23" t="n">
        <f aca="false">1/(1+$B$10)^F$16</f>
        <v>0.664716506850621</v>
      </c>
      <c r="G65" s="23" t="n">
        <f aca="false">1/(1+$B$10)^G$16</f>
        <v>0.607047038219745</v>
      </c>
      <c r="H65" s="23" t="n">
        <f aca="false">1/(1+$B$10)^H$16</f>
        <v>0.554380856821685</v>
      </c>
      <c r="I65" s="23" t="n">
        <f aca="false">1/(1+$B$10)^I$16</f>
        <v>0.506283887508388</v>
      </c>
      <c r="J65" s="23" t="n">
        <f aca="false">1/(1+$B$10)^J$16</f>
        <v>0.462359714619533</v>
      </c>
      <c r="K65" s="23" t="n">
        <f aca="false">1/(1+$B$10)^K$16</f>
        <v>0.422246314721034</v>
      </c>
    </row>
    <row r="66" customFormat="false" ht="15" hidden="false" customHeight="true" outlineLevel="0" collapsed="false">
      <c r="A66" s="1" t="s">
        <v>63</v>
      </c>
      <c r="B66" s="20" t="n">
        <f aca="false">B64*B65</f>
        <v>12.7181662232714</v>
      </c>
      <c r="C66" s="20" t="n">
        <f aca="false">C64*C65</f>
        <v>13.7590995693666</v>
      </c>
      <c r="D66" s="20" t="n">
        <f aca="false">D64*D65</f>
        <v>14.7905846519805</v>
      </c>
      <c r="E66" s="20" t="n">
        <f aca="false">E64*E65</f>
        <v>15.2386819219162</v>
      </c>
      <c r="F66" s="20" t="n">
        <f aca="false">F64*F65</f>
        <v>15.5698541549142</v>
      </c>
      <c r="G66" s="20" t="n">
        <f aca="false">G64*G65</f>
        <v>15.1866876919995</v>
      </c>
      <c r="H66" s="20" t="n">
        <f aca="false">H64*H65</f>
        <v>14.6851431493539</v>
      </c>
      <c r="I66" s="20" t="n">
        <f aca="false">I64*I65</f>
        <v>14.0765762493376</v>
      </c>
      <c r="J66" s="20" t="n">
        <f aca="false">J64*J65</f>
        <v>13.3747652077188</v>
      </c>
      <c r="K66" s="20" t="n">
        <f aca="false">K64*K65</f>
        <v>12.5953872694505</v>
      </c>
      <c r="L66" s="20"/>
    </row>
    <row r="67" customFormat="false" ht="15" hidden="false" customHeight="true" outlineLevel="0" collapsed="false">
      <c r="A67" s="1" t="s">
        <v>64</v>
      </c>
      <c r="B67" s="20" t="n">
        <f aca="false">L64/($B$10-L57)</f>
        <v>564.048316373337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65</v>
      </c>
      <c r="B68" s="20" t="n">
        <f aca="false">B67/(1+$B$10)^$K$16</f>
        <v>238.167322913246</v>
      </c>
    </row>
    <row r="69" customFormat="false" ht="15" hidden="false" customHeight="true" outlineLevel="0" collapsed="false">
      <c r="A69" s="1" t="s">
        <v>66</v>
      </c>
      <c r="B69" s="20" t="n">
        <f aca="false">SUM(B66:K66)+B68+$B$7+$B$8</f>
        <v>373.062269002555</v>
      </c>
    </row>
    <row r="70" customFormat="false" ht="15" hidden="false" customHeight="true" outlineLevel="0" collapsed="false">
      <c r="A70" s="1" t="s">
        <v>67</v>
      </c>
      <c r="B70" s="24" t="n">
        <f aca="false">B69/$B$6</f>
        <v>90.8578346328677</v>
      </c>
    </row>
    <row r="71" customFormat="false" ht="15" hidden="false" customHeight="true" outlineLevel="0" collapsed="false">
      <c r="A71" s="1" t="s">
        <v>68</v>
      </c>
      <c r="B71" s="7" t="n">
        <f aca="false">B70/$B$4-1</f>
        <v>0.453260310826419</v>
      </c>
    </row>
    <row r="74" customFormat="false" ht="15" hidden="false" customHeight="true" outlineLevel="0" collapsed="false">
      <c r="A74" s="18" t="s">
        <v>71</v>
      </c>
      <c r="B74" s="19"/>
      <c r="C74" s="18" t="s">
        <v>72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73</v>
      </c>
      <c r="B75" s="8" t="n">
        <f aca="false">B34</f>
        <v>39.4904962015914</v>
      </c>
      <c r="C75" s="7" t="n">
        <f aca="false">B75/$B$4-1</f>
        <v>-0.368354187434559</v>
      </c>
    </row>
    <row r="76" customFormat="false" ht="15" hidden="false" customHeight="true" outlineLevel="0" collapsed="false">
      <c r="A76" s="1" t="s">
        <v>74</v>
      </c>
      <c r="B76" s="8" t="n">
        <f aca="false">B52</f>
        <v>65.9073399804366</v>
      </c>
      <c r="C76" s="7" t="n">
        <f aca="false">B76/$B$4-1</f>
        <v>0.0541801020543284</v>
      </c>
    </row>
    <row r="77" customFormat="false" ht="15" hidden="false" customHeight="true" outlineLevel="0" collapsed="false">
      <c r="A77" s="1" t="s">
        <v>75</v>
      </c>
      <c r="B77" s="8" t="n">
        <f aca="false">B70</f>
        <v>90.8578346328677</v>
      </c>
      <c r="C77" s="7" t="n">
        <f aca="false">B77/$B$4-1</f>
        <v>0.453260310826419</v>
      </c>
    </row>
    <row r="78" customFormat="false" ht="15" hidden="false" customHeight="true" outlineLevel="0" collapsed="false">
      <c r="A78" s="1" t="s">
        <v>76</v>
      </c>
      <c r="B78" s="8" t="n">
        <f aca="false">INDEX(B34:B70,1+($B$13-1)*18)</f>
        <v>65.9073399804366</v>
      </c>
      <c r="C78" s="7" t="n">
        <f aca="false">B78/$B$4-1</f>
        <v>0.0541801020543284</v>
      </c>
    </row>
    <row r="79" customFormat="false" ht="15" hidden="false" customHeight="true" outlineLevel="0" collapsed="false">
      <c r="A79" s="1" t="s">
        <v>77</v>
      </c>
      <c r="B79" s="25" t="n">
        <f aca="false">B50/(SUM(B48:K48)+B50)</f>
        <v>0.583564541555284</v>
      </c>
    </row>
    <row r="81" customFormat="false" ht="15" hidden="false" customHeight="true" outlineLevel="0" collapsed="false">
      <c r="A81" s="9" t="s">
        <v>78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74</v>
      </c>
      <c r="B83" s="8" t="n">
        <f aca="false">IF(B82&gt;$L39,(SUMPRODUCT($B46:$K46/(1+B82)^$B$16:$K$16)+$L46/(B82-$L39)/(1+B82)^$K$16+$B$7+$B$8)/$B$6,"n/a")</f>
        <v>268.133554451913</v>
      </c>
      <c r="C83" s="8" t="n">
        <f aca="false">IF(C82&gt;$L39,(SUMPRODUCT($B46:$K46/(1+C82)^$B$16:$K$16)+$L46/(C82-$L39)/(1+C82)^$K$16+$B$7+$B$8)/$B$6,"n/a")</f>
        <v>160.270826138081</v>
      </c>
      <c r="D83" s="8" t="n">
        <f aca="false">IF(D82&gt;$L39,(SUMPRODUCT($B46:$K46/(1+D82)^$B$16:$K$16)+$L46/(D82-$L39)/(1+D82)^$K$16+$B$7+$B$8)/$B$6,"n/a")</f>
        <v>114.047236562845</v>
      </c>
      <c r="E83" s="8" t="n">
        <f aca="false">IF(E82&gt;$L39,(SUMPRODUCT($B46:$K46/(1+E82)^$B$16:$K$16)+$L46/(E82-$L39)/(1+E82)^$K$16+$B$7+$B$8)/$B$6,"n/a")</f>
        <v>88.3703044308773</v>
      </c>
      <c r="F83" s="8" t="n">
        <f aca="false">IF(F82&gt;$L39,(SUMPRODUCT($B46:$K46/(1+F82)^$B$16:$K$16)+$L46/(F82-$L39)/(1+F82)^$K$16+$B$7+$B$8)/$B$6,"n/a")</f>
        <v>72.0329452313047</v>
      </c>
      <c r="G83" s="8" t="n">
        <f aca="false">IF(G82&gt;$L39,(SUMPRODUCT($B46:$K46/(1+G82)^$B$16:$K$16)+$L46/(G82-$L39)/(1+G82)^$K$16+$B$7+$B$8)/$B$6,"n/a")</f>
        <v>60.7247095373963</v>
      </c>
      <c r="H83" s="8" t="n">
        <f aca="false">IF(H82&gt;$L39,(SUMPRODUCT($B46:$K46/(1+H82)^$B$16:$K$16)+$L46/(H82-$L39)/(1+H82)^$K$16+$B$7+$B$8)/$B$6,"n/a")</f>
        <v>52.434030101372</v>
      </c>
      <c r="I83" s="8" t="n">
        <f aca="false">IF(I82&gt;$L39,(SUMPRODUCT($B46:$K46/(1+I82)^$B$16:$K$16)+$L46/(I82-$L39)/(1+I82)^$K$16+$B$7+$B$8)/$B$6,"n/a")</f>
        <v>46.0959411548587</v>
      </c>
      <c r="J83" s="8" t="n">
        <f aca="false">IF(J82&gt;$L39,(SUMPRODUCT($B46:$K46/(1+J82)^$B$16:$K$16)+$L46/(J82-$L39)/(1+J82)^$K$16+$B$7+$B$8)/$B$6,"n/a")</f>
        <v>41.0938693929286</v>
      </c>
      <c r="K83" s="8" t="n">
        <f aca="false">IF(K82&gt;$L39,(SUMPRODUCT($B46:$K46/(1+K82)^$B$16:$K$16)+$L46/(K82-$L39)/(1+K82)^$K$16+$B$7+$B$8)/$B$6,"n/a")</f>
        <v>37.0461155588711</v>
      </c>
    </row>
    <row r="84" customFormat="false" ht="15" hidden="false" customHeight="true" outlineLevel="0" collapsed="false">
      <c r="A84" s="1" t="s">
        <v>79</v>
      </c>
      <c r="B84" s="7" t="n">
        <f aca="false">IFERROR(B83/$B$4-1,"n/a")</f>
        <v>3.28876446660129</v>
      </c>
      <c r="C84" s="7" t="n">
        <f aca="false">IFERROR(C83/$B$4-1,"n/a")</f>
        <v>1.56351289408319</v>
      </c>
      <c r="D84" s="7" t="n">
        <f aca="false">IFERROR(D83/$B$4-1,"n/a")</f>
        <v>0.824172049949541</v>
      </c>
      <c r="E84" s="7" t="n">
        <f aca="false">IFERROR(E83/$B$4-1,"n/a")</f>
        <v>0.41347255967494</v>
      </c>
      <c r="F84" s="7" t="n">
        <f aca="false">IFERROR(F83/$B$4-1,"n/a")</f>
        <v>0.152158433002314</v>
      </c>
      <c r="G84" s="7" t="n">
        <f aca="false">IFERROR(G83/$B$4-1,"n/a")</f>
        <v>-0.0287154584549533</v>
      </c>
      <c r="H84" s="7" t="n">
        <f aca="false">IFERROR(H83/$B$4-1,"n/a")</f>
        <v>-0.161323894731735</v>
      </c>
      <c r="I84" s="7" t="n">
        <f aca="false">IFERROR(I83/$B$4-1,"n/a")</f>
        <v>-0.262700877241544</v>
      </c>
      <c r="J84" s="7" t="n">
        <f aca="false">IFERROR(J83/$B$4-1,"n/a")</f>
        <v>-0.342708423017777</v>
      </c>
      <c r="K84" s="7" t="n">
        <f aca="false">IFERROR(K83/$B$4-1,"n/a")</f>
        <v>-0.407451766492785</v>
      </c>
    </row>
    <row r="86" customFormat="false" ht="15" hidden="false" customHeight="true" outlineLevel="0" collapsed="false">
      <c r="A86" s="9" t="s">
        <v>80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0.098412404453534</v>
      </c>
      <c r="C86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82</v>
      </c>
    </row>
    <row r="2" customFormat="false" ht="15" hidden="false" customHeight="true" outlineLevel="0" collapsed="false">
      <c r="A2" s="3" t="s">
        <v>83</v>
      </c>
    </row>
    <row r="5" customFormat="false" ht="15" hidden="false" customHeight="true" outlineLevel="0" collapsed="false">
      <c r="A5" s="1" t="s">
        <v>84</v>
      </c>
      <c r="B5" s="16" t="n">
        <v>2</v>
      </c>
      <c r="C5" s="3" t="s">
        <v>85</v>
      </c>
    </row>
    <row r="6" customFormat="false" ht="15" hidden="false" customHeight="true" outlineLevel="0" collapsed="false">
      <c r="A6" s="1" t="s">
        <v>86</v>
      </c>
      <c r="B6" s="16" t="n">
        <v>2</v>
      </c>
      <c r="C6" s="3" t="s">
        <v>87</v>
      </c>
    </row>
    <row r="7" customFormat="false" ht="15" hidden="false" customHeight="true" outlineLevel="0" collapsed="false">
      <c r="A7" s="1" t="s">
        <v>88</v>
      </c>
      <c r="B7" s="14" t="n">
        <v>0.0531</v>
      </c>
      <c r="C7" s="3" t="s">
        <v>89</v>
      </c>
    </row>
    <row r="8" customFormat="false" ht="15" hidden="false" customHeight="true" outlineLevel="0" collapsed="false">
      <c r="A8" s="1" t="s">
        <v>90</v>
      </c>
      <c r="B8" s="14" t="n">
        <v>0.05</v>
      </c>
      <c r="C8" s="3" t="s">
        <v>33</v>
      </c>
    </row>
    <row r="9" customFormat="false" ht="15" hidden="false" customHeight="true" outlineLevel="0" collapsed="false">
      <c r="A9" s="1" t="s">
        <v>91</v>
      </c>
      <c r="B9" s="14" t="n">
        <v>0.012</v>
      </c>
      <c r="C9" s="3" t="s">
        <v>92</v>
      </c>
    </row>
    <row r="12" customFormat="false" ht="15" hidden="false" customHeight="true" outlineLevel="0" collapsed="false">
      <c r="A12" s="18" t="s">
        <v>93</v>
      </c>
      <c r="B12" s="18" t="s">
        <v>94</v>
      </c>
      <c r="C12" s="18" t="s">
        <v>95</v>
      </c>
    </row>
    <row r="13" customFormat="false" ht="15" hidden="false" customHeight="true" outlineLevel="0" collapsed="false">
      <c r="A13" s="1" t="s">
        <v>96</v>
      </c>
      <c r="B13" s="27" t="n">
        <v>1.61</v>
      </c>
      <c r="C13" s="3" t="s">
        <v>97</v>
      </c>
    </row>
    <row r="14" customFormat="false" ht="15" hidden="false" customHeight="true" outlineLevel="0" collapsed="false">
      <c r="A14" s="1" t="s">
        <v>98</v>
      </c>
      <c r="B14" s="28"/>
      <c r="C14" s="3" t="s">
        <v>99</v>
      </c>
    </row>
    <row r="15" customFormat="false" ht="15" hidden="false" customHeight="true" outlineLevel="0" collapsed="false">
      <c r="A15" s="1" t="s">
        <v>100</v>
      </c>
      <c r="B15" s="28" t="n">
        <f aca="false">0.67*IF(ISNUMBER(B14),B14,B13)+0.33</f>
        <v>1.4087</v>
      </c>
      <c r="C15" s="3" t="s">
        <v>101</v>
      </c>
    </row>
    <row r="16" customFormat="false" ht="15" hidden="false" customHeight="true" outlineLevel="0" collapsed="false">
      <c r="A16" s="1" t="s">
        <v>102</v>
      </c>
      <c r="B16" s="28" t="n">
        <f aca="false">IF($B$6=1,IF(ISNUMBER(B14),B14,B13),B15)</f>
        <v>1.4087</v>
      </c>
      <c r="C16" s="3" t="s">
        <v>103</v>
      </c>
    </row>
    <row r="17" customFormat="false" ht="15" hidden="false" customHeight="true" outlineLevel="0" collapsed="false">
      <c r="A17" s="1" t="s">
        <v>104</v>
      </c>
      <c r="B17" s="25" t="n">
        <f aca="false">$B$7+B16*$B$8</f>
        <v>0.123535</v>
      </c>
      <c r="C17" s="3" t="s">
        <v>105</v>
      </c>
    </row>
    <row r="18" customFormat="false" ht="15" hidden="false" customHeight="true" outlineLevel="0" collapsed="false">
      <c r="A18" s="1" t="s">
        <v>106</v>
      </c>
      <c r="B18" s="25" t="n">
        <f aca="false">$B$7+$B$9</f>
        <v>0.0651</v>
      </c>
      <c r="C18" s="3" t="s">
        <v>107</v>
      </c>
    </row>
    <row r="19" customFormat="false" ht="15" hidden="false" customHeight="true" outlineLevel="0" collapsed="false">
      <c r="A19" s="1" t="s">
        <v>28</v>
      </c>
      <c r="B19" s="6" t="n">
        <f aca="false">NFLX!B9</f>
        <v>0.165</v>
      </c>
      <c r="C19" s="3" t="s">
        <v>108</v>
      </c>
    </row>
    <row r="20" customFormat="false" ht="15" hidden="false" customHeight="true" outlineLevel="0" collapsed="false">
      <c r="A20" s="1" t="s">
        <v>109</v>
      </c>
      <c r="B20" s="25" t="n">
        <f aca="false">B18*(1-B19)</f>
        <v>0.0543585</v>
      </c>
      <c r="C20" s="3"/>
    </row>
    <row r="21" customFormat="false" ht="15" hidden="false" customHeight="true" outlineLevel="0" collapsed="false">
      <c r="A21" s="1" t="s">
        <v>110</v>
      </c>
      <c r="B21" s="29" t="n">
        <f aca="false">NFLX!B4*NFLX!B6</f>
        <v>256.70712</v>
      </c>
      <c r="C21" s="3" t="s">
        <v>111</v>
      </c>
    </row>
    <row r="22" customFormat="false" ht="15" hidden="false" customHeight="true" outlineLevel="0" collapsed="false">
      <c r="A22" s="1" t="s">
        <v>112</v>
      </c>
      <c r="B22" s="30" t="n">
        <v>15.3</v>
      </c>
      <c r="C22" s="3" t="s">
        <v>113</v>
      </c>
    </row>
    <row r="23" customFormat="false" ht="15" hidden="false" customHeight="true" outlineLevel="0" collapsed="false">
      <c r="A23" s="1" t="s">
        <v>114</v>
      </c>
      <c r="B23" s="25" t="n">
        <f aca="false">B21/(B21+B22)</f>
        <v>0.943751472387929</v>
      </c>
      <c r="C23" s="3"/>
    </row>
    <row r="24" customFormat="false" ht="15" hidden="false" customHeight="true" outlineLevel="0" collapsed="false">
      <c r="A24" s="1" t="s">
        <v>115</v>
      </c>
      <c r="B24" s="25" t="n">
        <f aca="false">B22/(B21+B22)</f>
        <v>0.0562485276120713</v>
      </c>
      <c r="C24" s="3"/>
    </row>
    <row r="25" customFormat="false" ht="15" hidden="false" customHeight="true" outlineLevel="0" collapsed="false">
      <c r="A25" s="1" t="s">
        <v>116</v>
      </c>
      <c r="B25" s="25" t="n">
        <f aca="false">B23*B17+B24*B20</f>
        <v>0.119643923729644</v>
      </c>
      <c r="C25" s="3" t="s">
        <v>117</v>
      </c>
    </row>
    <row r="26" customFormat="false" ht="15" hidden="false" customHeight="true" outlineLevel="0" collapsed="false">
      <c r="A26" s="1" t="s">
        <v>118</v>
      </c>
      <c r="B26" s="31" t="n">
        <v>0.095</v>
      </c>
      <c r="C26" s="3" t="s">
        <v>119</v>
      </c>
    </row>
    <row r="27" customFormat="false" ht="15" hidden="false" customHeight="true" outlineLevel="0" collapsed="false">
      <c r="A27" s="1" t="s">
        <v>120</v>
      </c>
      <c r="B27" s="26" t="n">
        <f aca="false">IF($B$5=1,B25,B26)</f>
        <v>0.095</v>
      </c>
      <c r="C27" s="3" t="s">
        <v>121</v>
      </c>
    </row>
    <row r="28" customFormat="false" ht="15" hidden="false" customHeight="true" outlineLevel="0" collapsed="false">
      <c r="A28" s="1" t="s">
        <v>122</v>
      </c>
      <c r="B28" s="1" t="str">
        <f aca="false">IF(B27&gt;MAX(NFLX!L21,NFLX!L39,NFLX!L57),"OK","WACC must exceed growth")</f>
        <v>OK</v>
      </c>
      <c r="C28" s="3"/>
    </row>
    <row r="29" customFormat="false" ht="15" hidden="false" customHeight="true" outlineLevel="0" collapsed="false">
      <c r="A29" s="1" t="s">
        <v>123</v>
      </c>
      <c r="B29" s="25" t="n">
        <f aca="false">B27</f>
        <v>0.095</v>
      </c>
      <c r="C29" s="3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2026-10-28T16:10:29Z</dcterms:created>
  <dc:creator>openpyxl</dc:creator>
  <dc:description/>
  <dc:language>en-US</dc:language>
  <cp:lastModifiedBy/>
  <dcterms:modified xsi:type="dcterms:W3CDTF">2026-10-28T16:14:04Z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