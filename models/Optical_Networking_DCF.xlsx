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CC" sheetId="2" state="visible" r:id="rId4"/>
    <sheet name="COHR" sheetId="3" state="visible" r:id="rId5"/>
    <sheet name="F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<sst xmlns="http://schemas.openxmlformats.org/spreadsheetml/2006/main" count="266" uniqueCount="135">
  <si>
    <t xml:space="preserve">Optical Networking Company Pass: scenario values</t>
  </si>
  <si>
    <t xml:space="preserve">Values link to each company sheet (green). Switch the discount rate on the WACC tab.</t>
  </si>
  <si>
    <t xml:space="preserve">Company</t>
  </si>
  <si>
    <t xml:space="preserve">Share price</t>
  </si>
  <si>
    <t xml:space="preserve">Discount rate used</t>
  </si>
  <si>
    <t xml:space="preserve">Bear value</t>
  </si>
  <si>
    <t xml:space="preserve">Base value</t>
  </si>
  <si>
    <t xml:space="preserve">Bull value</t>
  </si>
  <si>
    <t xml:space="preserve">Bear vs price</t>
  </si>
  <si>
    <t xml:space="preserve">Base vs price</t>
  </si>
  <si>
    <t xml:space="preserve">Bull vs price</t>
  </si>
  <si>
    <t xml:space="preserve">Buy below</t>
  </si>
  <si>
    <t xml:space="preserve">Coherent (COHR)</t>
  </si>
  <si>
    <t xml:space="preserve">Fabrinet (FN)</t>
  </si>
  <si>
    <t xml:space="preserve">Notes</t>
  </si>
  <si>
    <t xml:space="preserve">Ten-year free cash flow DCF: five explicit years, then five years fading growth, margin and reinvestment toward terminal levels; not a three-statement model.</t>
  </si>
  <si>
    <t xml:space="preserve">FCF = operating income x (1 - tax) - net reinvestment (capex above depreciation) - working capital x revenue change. Mid-year discounting from October 2026.</t>
  </si>
  <si>
    <t xml:space="preserve">Scenario paths, margins, reinvestment, discount rates and terminal assumptions are analyst judgments. Bear cases assume an AI capex slowdown in 2027 to 2028.</t>
  </si>
  <si>
    <t xml:space="preserve">Implied returns quoted in the journal entry were solved outside the workbook; the rate sensitivity row on each sheet shows where base value crosses the price.</t>
  </si>
  <si>
    <t xml:space="preserve">Prices: Stock Analysis, Coherent Oct 21, 2026; Fabrinet Oct 20 close. Research for discussion, not investment advice.</t>
  </si>
  <si>
    <t xml:space="preserve">WACC build: calculated (CAPM) versus assumed</t>
  </si>
  <si>
    <t xml:space="preserve">Blue = input, black = formula, green = link. The yellow switches apply to both companies.</t>
  </si>
  <si>
    <t xml:space="preserve">WACC used in valuations (1 = Calculated, 2 = Assumed)</t>
  </si>
  <si>
    <t xml:space="preserve">Switch. 2 reproduces the journal entry's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</si>
  <si>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</si>
  <si>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</si>
  <si>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</si>
  <si>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</t>
  </si>
  <si>
    <t xml:space="preserve">Equity risk premium</t>
  </si>
  <si>
    <t xml:space="preserve">Analyst assumption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</si>
  <si>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</si>
  <si>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</si>
  <si>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</si>
  <si>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COHR</t>
  </si>
  <si>
    <t xml:space="preserve">FN</t>
  </si>
  <si>
    <t xml:space="preserve">Source / note</t>
  </si>
  <si>
    <t xml:space="preserve">Raw beta (5-year)</t>
  </si>
  <si>
    <t xml:space="preserve">Stock Analysis statistics, Oct 2026</t>
  </si>
  <si>
    <t xml:space="preserve">Adjusted beta</t>
  </si>
  <si>
    <t xml:space="preserve">Blume: 0.67 x raw + 0.33</t>
  </si>
  <si>
    <t xml:space="preserve">Beta used</t>
  </si>
  <si>
    <t xml:space="preserve">Per switch in B6</t>
  </si>
  <si>
    <t xml:space="preserve">Country risk premium</t>
  </si>
  <si>
    <t xml:space="preserve">Cost of equity</t>
  </si>
  <si>
    <t xml:space="preserve">Risk-free + beta x ERP + country premium</t>
  </si>
  <si>
    <t xml:space="preserve">Pre-tax cost of debt</t>
  </si>
  <si>
    <t xml:space="preserve">Risk-free + spread + country premium</t>
  </si>
  <si>
    <t xml:space="preserve">Tax rate</t>
  </si>
  <si>
    <t xml:space="preserve">Linked from company sheet</t>
  </si>
  <si>
    <t xml:space="preserve">After-tax cost of debt</t>
  </si>
  <si>
    <t xml:space="preserve">Market value of equity (company units)</t>
  </si>
  <si>
    <t xml:space="preserve">Price x shares</t>
  </si>
  <si>
    <t xml:space="preserve">Debt (company units)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</si>
  <si>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</si>
  <si>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</si>
  <si>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</si>
  <si>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</si>
  <si>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</si>
  <si>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</si>
  <si>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journal entry</t>
  </si>
  <si>
    <t xml:space="preserve">WACC used</t>
  </si>
  <si>
    <t xml:space="preserve">Per switch in B5; feeds each sheet's B9</t>
  </si>
  <si>
    <t xml:space="preserve">Check: WACC above terminal growth</t>
  </si>
  <si>
    <t xml:space="preserve">Coherent (COHR): 10-year scenario DCF</t>
  </si>
  <si>
    <t xml:space="preserve">Units: $B unless noted. Blue = input, black = formula, green = link, yellow = key lever. Years 6 to 10 fade growth, margin and reinvestment toward terminal levels.</t>
  </si>
  <si>
    <t xml:space="preserve">Source: Stock Analysis, Oct 21, 2026 11:34 ET</t>
  </si>
  <si>
    <t xml:space="preserve">Price date</t>
  </si>
  <si>
    <t xml:space="preserve">Oct 21, 2026 11:34 ET</t>
  </si>
  <si>
    <t xml:space="preserve">Text</t>
  </si>
  <si>
    <t xml:space="preserve">Shares outstanding (billions)</t>
  </si>
  <si>
    <t xml:space="preserve">Source: Stock Analysis, https://stockanalysis.com</t>
  </si>
  <si>
    <t xml:space="preserve">Net cash, negative = net debt ($B)</t>
  </si>
  <si>
    <t xml:space="preserve">Stock Analysis: cash $1.99B less debt $3.55B</t>
  </si>
  <si>
    <t xml:space="preserve">Discount rate (WACC), from WACC tab</t>
  </si>
  <si>
    <t xml:space="preserve">Calculated or assumed, per switch in WACC!B5</t>
  </si>
  <si>
    <t xml:space="preserve">Terminal growth</t>
  </si>
  <si>
    <t xml:space="preserve">Working capital, % of revenue change</t>
  </si>
  <si>
    <t xml:space="preserve">Base-year revenue ($B)</t>
  </si>
  <si>
    <t xml:space="preserve">FY26 (Jun 2026) revenue, Stock Analysis annual income statement. Margins about 2 pts below non-GAAP</t>
  </si>
  <si>
    <t xml:space="preserve">Per-share multiplier</t>
  </si>
  <si>
    <t xml:space="preserve">Units conversion (1 here)</t>
  </si>
  <si>
    <t xml:space="preserve">Selected scenario (1 Bear, 2 Base, 3 Bull)</t>
  </si>
  <si>
    <t xml:space="preserve">Lever</t>
  </si>
  <si>
    <t xml:space="preserve">Year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</si>
  <si>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</si>
  <si>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</si>
  <si>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</si>
  <si>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</si>
  <si>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</si>
  <si>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</si>
  <si>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</si>
  <si>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</si>
  <si>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</si>
  <si>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</si>
  <si>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Terminal</t>
  </si>
  <si>
    <t xml:space="preserve">Discount period (years, mid-year)</t>
  </si>
  <si>
    <t xml:space="preserve">Fade step (years 6 to 10)</t>
  </si>
  <si>
    <t xml:space="preserve">Bear: AI optics orders fall in FY28</t>
  </si>
  <si>
    <t xml:space="preserve">Revenue</t>
  </si>
  <si>
    <t xml:space="preserve">Revenue growth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</si>
  <si>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</si>
  <si>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</si>
  <si>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</si>
  <si>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</si>
  <si>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</si>
  <si>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</si>
  <si>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</si>
  <si>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</si>
  <si>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</si>
  <si>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</si>
  <si>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</si>
  <si>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cash)</t>
  </si>
  <si>
    <t xml:space="preserve">Value per share</t>
  </si>
  <si>
    <t xml:space="preserve">Value vs share price</t>
  </si>
  <si>
    <t xml:space="preserve">Base: near the $3B quarterly target, then slower</t>
  </si>
  <si>
    <t xml:space="preserve">Bull: target beaten, co-packaged optics ramps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</si>
  <si>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</si>
  <si>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</si>
  <si>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</si>
  <si>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</si>
  <si>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</si>
  <si>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</si>
  <si>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Buy below: base value (earns the discount rate if the base case plays out)</t>
  </si>
  <si>
    <t xml:space="preserve">Base value per share at other discount rates (where it crosses the price is roughly the implied return)</t>
  </si>
  <si>
    <t xml:space="preserve">Discount rate</t>
  </si>
  <si>
    <t xml:space="preserve">vs share price</t>
  </si>
  <si>
    <t xml:space="preserve">Fabrinet (FN): 10-year scenario DCF</t>
  </si>
  <si>
    <t xml:space="preserve">Source: Stock Analysis, Oct 20, 2026 close</t>
  </si>
  <si>
    <t xml:space="preserve">Oct 20, 2026 close</t>
  </si>
  <si>
    <t xml:space="preserve">Diluted shares guided for FQ1 FY27 (Fabrinet 8-K, Aug 2026)</t>
  </si>
  <si>
    <t xml:space="preserve">Fabrinet 8-K: cash and short-term investments $875M; debt $4M (Stock Analysis)</t>
  </si>
  <si>
    <t xml:space="preserve">FY26 (Jun 2026) revenue, Stock Analysis annual income statement</t>
  </si>
  <si>
    <t xml:space="preserve">Bear: a top customer program lost plus AI slowdown</t>
  </si>
  <si>
    <t xml:space="preserve">Base: Building 10 fills, growth slows after FY28</t>
  </si>
  <si>
    <t xml:space="preserve">Bull: capacity fills toward $12B+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</si>
</sst>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"/>
    <numFmt numFmtId="168" formatCode="0.00"/>
    <numFmt numFmtId="169" formatCode="#,##0.0"/>
    <numFmt numFmtId="170" formatCode="0.000"/>
    <numFmt numFmtId="171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3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0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3" t="s">
        <v>12</v>
      </c>
      <c r="B5" s="6" t="n">
        <f aca="false">COHR!B4</f>
        <v>234.86</v>
      </c>
      <c r="C5" s="7" t="n">
        <f aca="false">COHR!B9</f>
        <v>0.115</v>
      </c>
      <c r="D5" s="6" t="n">
        <f aca="false">COHR!B77</f>
        <v>38.4002152149863</v>
      </c>
      <c r="E5" s="6" t="n">
        <f aca="false">COHR!B78</f>
        <v>111.672021981399</v>
      </c>
      <c r="F5" s="6" t="n">
        <f aca="false">COHR!B79</f>
        <v>182.046731485542</v>
      </c>
      <c r="G5" s="8" t="n">
        <f aca="false">D5/B5-1</f>
        <v>-0.836497423081895</v>
      </c>
      <c r="H5" s="8" t="n">
        <f aca="false">E5/B5-1</f>
        <v>-0.524516639779446</v>
      </c>
      <c r="I5" s="8" t="n">
        <f aca="false">F5/B5-1</f>
        <v>-0.224871278695642</v>
      </c>
      <c r="J5" s="6" t="n">
        <f aca="false">COHR!B81</f>
        <v>111.672021981399</v>
      </c>
    </row>
    <row r="6" customFormat="false" ht="15" hidden="false" customHeight="true" outlineLevel="0" collapsed="false">
      <c r="A6" s="3" t="s">
        <v>13</v>
      </c>
      <c r="B6" s="6" t="n">
        <f aca="false">FN!B4</f>
        <v>355.48</v>
      </c>
      <c r="C6" s="7" t="n">
        <f aca="false">FN!B9</f>
        <v>0.1</v>
      </c>
      <c r="D6" s="6" t="n">
        <f aca="false">FN!B77</f>
        <v>169.400518323177</v>
      </c>
      <c r="E6" s="6" t="n">
        <f aca="false">FN!B78</f>
        <v>279.136840394501</v>
      </c>
      <c r="F6" s="6" t="n">
        <f aca="false">FN!B79</f>
        <v>387.98925503216</v>
      </c>
      <c r="G6" s="8" t="n">
        <f aca="false">D6/B6-1</f>
        <v>-0.523459777418767</v>
      </c>
      <c r="H6" s="8" t="n">
        <f aca="false">E6/B6-1</f>
        <v>-0.21476077305474</v>
      </c>
      <c r="I6" s="8" t="n">
        <f aca="false">F6/B6-1</f>
        <v>0.0914517132670194</v>
      </c>
      <c r="J6" s="6" t="n">
        <f aca="false">FN!B81</f>
        <v>279.136840394501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9" t="s">
        <v>14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 t="s">
        <v>15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 t="s">
        <v>16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 t="s">
        <v>17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 t="s">
        <v>19</v>
      </c>
      <c r="B18" s="3"/>
      <c r="C18" s="3"/>
      <c r="D18" s="3"/>
      <c r="E18" s="3"/>
      <c r="F18" s="3"/>
      <c r="G18" s="3"/>
      <c r="H18" s="3"/>
      <c r="I18" s="3"/>
      <c r="J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1"/>
    <col collapsed="false" customWidth="true" hidden="false" outlineLevel="0" max="4" min="4" style="1" width="44"/>
  </cols>
  <sheetData>
    <row r="1" customFormat="false" ht="15.75" hidden="false" customHeight="true" outlineLevel="0" collapsed="false">
      <c r="A1" s="2" t="s">
        <v>20</v>
      </c>
      <c r="B1" s="3"/>
      <c r="C1" s="3"/>
      <c r="D1" s="3"/>
    </row>
    <row r="2" customFormat="false" ht="15" hidden="false" customHeight="true" outlineLevel="0" collapsed="false">
      <c r="A2" s="4" t="s">
        <v>21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3"/>
      <c r="B4" s="3"/>
      <c r="C4" s="3"/>
      <c r="D4" s="3"/>
    </row>
    <row r="5" customFormat="false" ht="15" hidden="false" customHeight="true" outlineLevel="0" collapsed="false">
      <c r="A5" s="3" t="s">
        <v>22</v>
      </c>
      <c r="B5" s="10" t="n">
        <v>2</v>
      </c>
      <c r="C5" s="4" t="s">
        <v>23</v>
      </c>
      <c r="D5" s="3"/>
    </row>
    <row r="6" customFormat="false" ht="15" hidden="false" customHeight="true" outlineLevel="0" collapsed="false">
      <c r="A6" s="3" t="s">
        <v>24</v>
      </c>
      <c r="B6" s="10" t="n">
        <v>2</v>
      </c>
      <c r="C6" s="4" t="s">
        <v>25</v>
      </c>
      <c r="D6" s="3"/>
    </row>
    <row r="7" customFormat="false" ht="15" hidden="false" customHeight="true" outlineLevel="0" collapsed="false">
      <c r="A7" s="3" t="s">
        <v>26</v>
      </c>
      <c r="B7" s="11" t="n">
        <v>0.0531</v>
      </c>
      <c r="C7" s="4" t="s">
        <v>27</v>
      </c>
      <c r="D7" s="3"/>
    </row>
    <row r="8" customFormat="false" ht="15" hidden="false" customHeight="true" outlineLevel="0" collapsed="false">
      <c r="A8" s="3" t="s">
        <v>28</v>
      </c>
      <c r="B8" s="11" t="n">
        <v>0.05</v>
      </c>
      <c r="C8" s="4" t="s">
        <v>29</v>
      </c>
      <c r="D8" s="3"/>
    </row>
    <row r="9" customFormat="false" ht="15" hidden="false" customHeight="true" outlineLevel="0" collapsed="false">
      <c r="A9" s="3" t="s">
        <v>30</v>
      </c>
      <c r="B9" s="11" t="n">
        <v>0.012</v>
      </c>
      <c r="C9" s="4" t="s">
        <v>31</v>
      </c>
      <c r="D9" s="3"/>
    </row>
    <row r="10" customFormat="false" ht="15" hidden="false" customHeight="true" outlineLevel="0" collapsed="false">
      <c r="A10" s="3"/>
      <c r="B10" s="3"/>
      <c r="C10" s="3"/>
      <c r="D10" s="3"/>
    </row>
    <row r="11" customFormat="false" ht="15" hidden="false" customHeight="true" outlineLevel="0" collapsed="false">
      <c r="A11" s="12" t="s">
        <v>32</v>
      </c>
      <c r="B11" s="12" t="s">
        <v>33</v>
      </c>
      <c r="C11" s="12" t="s">
        <v>34</v>
      </c>
      <c r="D11" s="12" t="s">
        <v>35</v>
      </c>
    </row>
    <row r="12" customFormat="false" ht="15" hidden="false" customHeight="true" outlineLevel="0" collapsed="false">
      <c r="A12" s="3" t="s">
        <v>36</v>
      </c>
      <c r="B12" s="13" t="n">
        <v>2.11</v>
      </c>
      <c r="C12" s="13" t="n">
        <v>1.22</v>
      </c>
      <c r="D12" s="4" t="s">
        <v>37</v>
      </c>
    </row>
    <row r="13" customFormat="false" ht="15" hidden="false" customHeight="true" outlineLevel="0" collapsed="false">
      <c r="A13" s="3" t="s">
        <v>38</v>
      </c>
      <c r="B13" s="14" t="n">
        <f aca="false">0.67*B12+0.33</f>
        <v>1.7437</v>
      </c>
      <c r="C13" s="14" t="n">
        <f aca="false">0.67*C12+0.33</f>
        <v>1.1474</v>
      </c>
      <c r="D13" s="4" t="s">
        <v>39</v>
      </c>
    </row>
    <row r="14" customFormat="false" ht="15" hidden="false" customHeight="true" outlineLevel="0" collapsed="false">
      <c r="A14" s="3" t="s">
        <v>40</v>
      </c>
      <c r="B14" s="14" t="n">
        <f aca="false">IF($B$6=1,B12,B13)</f>
        <v>1.7437</v>
      </c>
      <c r="C14" s="14" t="n">
        <f aca="false">IF($B$6=1,C12,C13)</f>
        <v>1.1474</v>
      </c>
      <c r="D14" s="4" t="s">
        <v>41</v>
      </c>
    </row>
    <row r="15" customFormat="false" ht="15" hidden="false" customHeight="true" outlineLevel="0" collapsed="false">
      <c r="A15" s="3" t="s">
        <v>42</v>
      </c>
      <c r="B15" s="11" t="n">
        <v>0</v>
      </c>
      <c r="C15" s="11" t="n">
        <v>0</v>
      </c>
      <c r="D15" s="4" t="s">
        <v>29</v>
      </c>
    </row>
    <row r="16" customFormat="false" ht="15" hidden="false" customHeight="true" outlineLevel="0" collapsed="false">
      <c r="A16" s="3" t="s">
        <v>43</v>
      </c>
      <c r="B16" s="8" t="n">
        <f aca="false">$B$7+B14*$B$8+B15</f>
        <v>0.140285</v>
      </c>
      <c r="C16" s="8" t="n">
        <f aca="false">$B$7+C14*$B$8+C15</f>
        <v>0.11047</v>
      </c>
      <c r="D16" s="4" t="s">
        <v>44</v>
      </c>
    </row>
    <row r="17" customFormat="false" ht="15" hidden="false" customHeight="true" outlineLevel="0" collapsed="false">
      <c r="A17" s="3" t="s">
        <v>45</v>
      </c>
      <c r="B17" s="8" t="n">
        <f aca="false">$B$7+$B$9+B15</f>
        <v>0.0651</v>
      </c>
      <c r="C17" s="8" t="n">
        <f aca="false">$B$7+$B$9+C15</f>
        <v>0.0651</v>
      </c>
      <c r="D17" s="4" t="s">
        <v>46</v>
      </c>
    </row>
    <row r="18" customFormat="false" ht="15" hidden="false" customHeight="true" outlineLevel="0" collapsed="false">
      <c r="A18" s="3" t="s">
        <v>47</v>
      </c>
      <c r="B18" s="7" t="n">
        <f aca="false">COHR!B8</f>
        <v>0.15</v>
      </c>
      <c r="C18" s="7" t="n">
        <f aca="false">FN!B8</f>
        <v>0.08</v>
      </c>
      <c r="D18" s="4" t="s">
        <v>48</v>
      </c>
    </row>
    <row r="19" customFormat="false" ht="15" hidden="false" customHeight="true" outlineLevel="0" collapsed="false">
      <c r="A19" s="3" t="s">
        <v>49</v>
      </c>
      <c r="B19" s="8" t="n">
        <f aca="false">B17*(1-B18)</f>
        <v>0.055335</v>
      </c>
      <c r="C19" s="8" t="n">
        <f aca="false">C17*(1-C18)</f>
        <v>0.059892</v>
      </c>
      <c r="D19" s="4"/>
    </row>
    <row r="20" customFormat="false" ht="15" hidden="false" customHeight="true" outlineLevel="0" collapsed="false">
      <c r="A20" s="3" t="s">
        <v>50</v>
      </c>
      <c r="B20" s="15" t="n">
        <f aca="false">COHR!B4*COHR!B6/COHR!B13</f>
        <v>46.2509798</v>
      </c>
      <c r="C20" s="15" t="n">
        <f aca="false">FN!B4*FN!B6/FN!B13</f>
        <v>12.903924</v>
      </c>
      <c r="D20" s="4" t="s">
        <v>51</v>
      </c>
    </row>
    <row r="21" customFormat="false" ht="15" hidden="false" customHeight="true" outlineLevel="0" collapsed="false">
      <c r="A21" s="3" t="s">
        <v>52</v>
      </c>
      <c r="B21" s="16" t="n">
        <v>3.55</v>
      </c>
      <c r="C21" s="16" t="n">
        <v>0.004</v>
      </c>
      <c r="D21" s="4" t="s">
        <v>53</v>
      </c>
    </row>
    <row r="22" customFormat="false" ht="15" hidden="false" customHeight="true" outlineLevel="0" collapsed="false">
      <c r="A22" s="3" t="s">
        <v>54</v>
      </c>
      <c r="B22" s="8" t="n">
        <f aca="false">B20/(B20+B21)</f>
        <v>0.928716261923827</v>
      </c>
      <c r="C22" s="8" t="n">
        <f aca="false">C20/(C20+C21)</f>
        <v>0.999690112833017</v>
      </c>
      <c r="D22" s="4"/>
    </row>
    <row r="23" customFormat="false" ht="15" hidden="false" customHeight="true" outlineLevel="0" collapsed="false">
      <c r="A23" s="3" t="s">
        <v>55</v>
      </c>
      <c r="B23" s="8" t="n">
        <f aca="false">B21/(B20+B21)</f>
        <v>0.0712837380761733</v>
      </c>
      <c r="C23" s="8" t="n">
        <f aca="false">C21/(C20+C21)</f>
        <v>0.00030988716698363</v>
      </c>
      <c r="D23" s="4"/>
    </row>
    <row r="24" customFormat="false" ht="15" hidden="false" customHeight="true" outlineLevel="0" collapsed="false">
      <c r="A24" s="3" t="s">
        <v>56</v>
      </c>
      <c r="B24" s="8" t="n">
        <f aca="false">B22*B16+B23*B19</f>
        <v>0.134229446450429</v>
      </c>
      <c r="C24" s="8" t="n">
        <f aca="false">C22*C16+C23*C19</f>
        <v>0.110454326526868</v>
      </c>
      <c r="D24" s="4" t="s">
        <v>57</v>
      </c>
    </row>
    <row r="25" customFormat="false" ht="15" hidden="false" customHeight="true" outlineLevel="0" collapsed="false">
      <c r="A25" s="3" t="s">
        <v>58</v>
      </c>
      <c r="B25" s="17" t="n">
        <v>0.115</v>
      </c>
      <c r="C25" s="17" t="n">
        <v>0.1</v>
      </c>
      <c r="D25" s="4" t="s">
        <v>59</v>
      </c>
    </row>
    <row r="26" customFormat="false" ht="15" hidden="false" customHeight="true" outlineLevel="0" collapsed="false">
      <c r="A26" s="3" t="s">
        <v>60</v>
      </c>
      <c r="B26" s="18" t="n">
        <f aca="false">IF($B$5=1,B24,B25)</f>
        <v>0.115</v>
      </c>
      <c r="C26" s="18" t="n">
        <f aca="false">IF($B$5=1,C24,C25)</f>
        <v>0.1</v>
      </c>
      <c r="D26" s="4" t="s">
        <v>61</v>
      </c>
    </row>
    <row r="27" customFormat="false" ht="15" hidden="false" customHeight="true" outlineLevel="0" collapsed="false">
      <c r="A27" s="3" t="s">
        <v>62</v>
      </c>
      <c r="B27" s="3" t="str">
        <f aca="false">IF(B26&gt;COHR!B10,"OK","WACC must exceed growth")</f>
        <v>OK</v>
      </c>
      <c r="C27" s="3" t="str">
        <f aca="false">IF(C26&gt;FN!B10,"OK","WACC must exceed growth")</f>
        <v>OK</v>
      </c>
      <c r="D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19" t="n">
        <v>234.86</v>
      </c>
      <c r="C4" s="4" t="s">
        <v>65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66</v>
      </c>
      <c r="B5" s="20" t="s">
        <v>67</v>
      </c>
      <c r="C5" s="4" t="s">
        <v>68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69</v>
      </c>
      <c r="B6" s="21" t="n">
        <v>0.19693</v>
      </c>
      <c r="C6" s="4" t="s">
        <v>70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71</v>
      </c>
      <c r="B7" s="22" t="n">
        <v>-1.56</v>
      </c>
      <c r="C7" s="4" t="s">
        <v>72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47</v>
      </c>
      <c r="B8" s="11" t="n">
        <v>0.15</v>
      </c>
      <c r="C8" s="4" t="s">
        <v>29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73</v>
      </c>
      <c r="B9" s="7" t="n">
        <f aca="false">WACC!B26</f>
        <v>0.115</v>
      </c>
      <c r="C9" s="4" t="s">
        <v>74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75</v>
      </c>
      <c r="B10" s="17" t="n">
        <v>0.04</v>
      </c>
      <c r="C10" s="4" t="s">
        <v>29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76</v>
      </c>
      <c r="B11" s="11" t="n">
        <v>0.15</v>
      </c>
      <c r="C11" s="4" t="s">
        <v>29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77</v>
      </c>
      <c r="B12" s="22" t="n">
        <v>7.118</v>
      </c>
      <c r="C12" s="4" t="s">
        <v>78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79</v>
      </c>
      <c r="B13" s="23" t="n">
        <v>1</v>
      </c>
      <c r="C13" s="4" t="s">
        <v>80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81</v>
      </c>
      <c r="B14" s="10" t="n">
        <v>2</v>
      </c>
      <c r="C14" s="4" t="s">
        <v>82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9" t="s">
        <v>83</v>
      </c>
      <c r="B16" s="24" t="s">
        <v>84</v>
      </c>
      <c r="C16" s="24" t="s">
        <v>85</v>
      </c>
      <c r="D16" s="24" t="s">
        <v>86</v>
      </c>
      <c r="E16" s="24" t="s">
        <v>87</v>
      </c>
      <c r="F16" s="24" t="s">
        <v>88</v>
      </c>
      <c r="G16" s="24" t="s">
        <v>89</v>
      </c>
      <c r="H16" s="24" t="s">
        <v>90</v>
      </c>
      <c r="I16" s="24" t="s">
        <v>91</v>
      </c>
      <c r="J16" s="24" t="s">
        <v>92</v>
      </c>
      <c r="K16" s="24" t="s">
        <v>93</v>
      </c>
      <c r="L16" s="9" t="s">
        <v>94</v>
      </c>
    </row>
    <row r="17" customFormat="false" ht="15" hidden="false" customHeight="true" outlineLevel="0" collapsed="false">
      <c r="A17" s="3" t="s">
        <v>95</v>
      </c>
      <c r="B17" s="20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96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2" t="s">
        <v>97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customFormat="false" ht="15" hidden="false" customHeight="true" outlineLevel="0" collapsed="false">
      <c r="A21" s="3" t="s">
        <v>98</v>
      </c>
      <c r="B21" s="22" t="n">
        <v>9.2</v>
      </c>
      <c r="C21" s="22" t="n">
        <v>8</v>
      </c>
      <c r="D21" s="22" t="n">
        <v>8.3</v>
      </c>
      <c r="E21" s="22" t="n">
        <v>9</v>
      </c>
      <c r="F21" s="22" t="n">
        <v>9.8</v>
      </c>
      <c r="G21" s="26" t="n">
        <f aca="false">F21*(1+$F22+($B$10-$F22)*G$18/5)</f>
        <v>10.5752888888889</v>
      </c>
      <c r="H21" s="26" t="n">
        <f aca="false">G21*(1+$F22+($B$10-$F22)*H$18/5)</f>
        <v>11.3085089185185</v>
      </c>
      <c r="I21" s="26" t="n">
        <f aca="false">H21*(1+$F22+($B$10-$F22)*I$18/5)</f>
        <v>11.9819934496658</v>
      </c>
      <c r="J21" s="26" t="n">
        <f aca="false">I21*(1+$F22+($B$10-$F22)*J$18/5)</f>
        <v>12.5784304569381</v>
      </c>
      <c r="K21" s="26" t="n">
        <f aca="false">J21*(1+$F22+($B$10-$F22)*K$18/5)</f>
        <v>13.0815676752156</v>
      </c>
      <c r="L21" s="26" t="n">
        <f aca="false">K21*(1+$B$10)</f>
        <v>13.6048303822243</v>
      </c>
    </row>
    <row r="22" customFormat="false" ht="15" hidden="false" customHeight="true" outlineLevel="0" collapsed="false">
      <c r="A22" s="3" t="s">
        <v>99</v>
      </c>
      <c r="B22" s="8" t="n">
        <f aca="false">B21/$B$12-1</f>
        <v>0.292497892666479</v>
      </c>
      <c r="C22" s="8" t="n">
        <f aca="false">C21/B21-1</f>
        <v>-0.130434782608696</v>
      </c>
      <c r="D22" s="8" t="n">
        <f aca="false">D21/C21-1</f>
        <v>0.0375000000000001</v>
      </c>
      <c r="E22" s="8" t="n">
        <f aca="false">E21/D21-1</f>
        <v>0.0843373493975903</v>
      </c>
      <c r="F22" s="8" t="n">
        <f aca="false">F21/E21-1</f>
        <v>0.088888888888889</v>
      </c>
      <c r="G22" s="8" t="n">
        <f aca="false">G21/F21-1</f>
        <v>0.0791111111111111</v>
      </c>
      <c r="H22" s="8" t="n">
        <f aca="false">H21/G21-1</f>
        <v>0.0693333333333335</v>
      </c>
      <c r="I22" s="8" t="n">
        <f aca="false">I21/H21-1</f>
        <v>0.0595555555555556</v>
      </c>
      <c r="J22" s="8" t="n">
        <f aca="false">J21/I21-1</f>
        <v>0.0497777777777777</v>
      </c>
      <c r="K22" s="8" t="n">
        <f aca="false">K21/J21-1</f>
        <v>0.04</v>
      </c>
      <c r="L22" s="8" t="n">
        <f aca="false">L21/K21-1</f>
        <v>0.04</v>
      </c>
    </row>
    <row r="23" customFormat="false" ht="15" hidden="false" customHeight="true" outlineLevel="0" collapsed="false">
      <c r="A23" s="3" t="s">
        <v>100</v>
      </c>
      <c r="B23" s="11" t="n">
        <v>0.18</v>
      </c>
      <c r="C23" s="11" t="n">
        <v>0.12</v>
      </c>
      <c r="D23" s="11" t="n">
        <v>0.12</v>
      </c>
      <c r="E23" s="11" t="n">
        <v>0.14</v>
      </c>
      <c r="F23" s="11" t="n">
        <v>0.15</v>
      </c>
      <c r="G23" s="8" t="n">
        <f aca="false">$F23+($L23-$F23)*G$18/5</f>
        <v>0.148</v>
      </c>
      <c r="H23" s="8" t="n">
        <f aca="false">$F23+($L23-$F23)*H$18/5</f>
        <v>0.146</v>
      </c>
      <c r="I23" s="8" t="n">
        <f aca="false">$F23+($L23-$F23)*I$18/5</f>
        <v>0.144</v>
      </c>
      <c r="J23" s="8" t="n">
        <f aca="false">$F23+($L23-$F23)*J$18/5</f>
        <v>0.142</v>
      </c>
      <c r="K23" s="8" t="n">
        <f aca="false">$F23+($L23-$F23)*K$18/5</f>
        <v>0.14</v>
      </c>
      <c r="L23" s="17" t="n">
        <v>0.14</v>
      </c>
    </row>
    <row r="24" customFormat="false" ht="15" hidden="false" customHeight="true" outlineLevel="0" collapsed="false">
      <c r="A24" s="3" t="s">
        <v>101</v>
      </c>
      <c r="B24" s="26" t="n">
        <f aca="false">B21*B23</f>
        <v>1.656</v>
      </c>
      <c r="C24" s="26" t="n">
        <f aca="false">C21*C23</f>
        <v>0.96</v>
      </c>
      <c r="D24" s="26" t="n">
        <f aca="false">D21*D23</f>
        <v>0.996</v>
      </c>
      <c r="E24" s="26" t="n">
        <f aca="false">E21*E23</f>
        <v>1.26</v>
      </c>
      <c r="F24" s="26" t="n">
        <f aca="false">F21*F23</f>
        <v>1.47</v>
      </c>
      <c r="G24" s="26" t="n">
        <f aca="false">G21*G23</f>
        <v>1.56514275555556</v>
      </c>
      <c r="H24" s="26" t="n">
        <f aca="false">H21*H23</f>
        <v>1.6510423021037</v>
      </c>
      <c r="I24" s="26" t="n">
        <f aca="false">I21*I23</f>
        <v>1.72540705675188</v>
      </c>
      <c r="J24" s="26" t="n">
        <f aca="false">J21*J23</f>
        <v>1.78613712488521</v>
      </c>
      <c r="K24" s="26" t="n">
        <f aca="false">K21*K23</f>
        <v>1.83141947453019</v>
      </c>
      <c r="L24" s="26" t="n">
        <f aca="false">L21*L23</f>
        <v>1.9046762535114</v>
      </c>
    </row>
    <row r="25" customFormat="false" ht="15" hidden="false" customHeight="true" outlineLevel="0" collapsed="false">
      <c r="A25" s="3" t="s">
        <v>102</v>
      </c>
      <c r="B25" s="26" t="n">
        <f aca="false">B24*(1-$B$8)</f>
        <v>1.4076</v>
      </c>
      <c r="C25" s="26" t="n">
        <f aca="false">C24*(1-$B$8)</f>
        <v>0.816</v>
      </c>
      <c r="D25" s="26" t="n">
        <f aca="false">D24*(1-$B$8)</f>
        <v>0.8466</v>
      </c>
      <c r="E25" s="26" t="n">
        <f aca="false">E24*(1-$B$8)</f>
        <v>1.071</v>
      </c>
      <c r="F25" s="26" t="n">
        <f aca="false">F24*(1-$B$8)</f>
        <v>1.2495</v>
      </c>
      <c r="G25" s="26" t="n">
        <f aca="false">G24*(1-$B$8)</f>
        <v>1.33037134222222</v>
      </c>
      <c r="H25" s="26" t="n">
        <f aca="false">H24*(1-$B$8)</f>
        <v>1.40338595678815</v>
      </c>
      <c r="I25" s="26" t="n">
        <f aca="false">I24*(1-$B$8)</f>
        <v>1.4665959982391</v>
      </c>
      <c r="J25" s="26" t="n">
        <f aca="false">J24*(1-$B$8)</f>
        <v>1.51821655615243</v>
      </c>
      <c r="K25" s="26" t="n">
        <f aca="false">K24*(1-$B$8)</f>
        <v>1.55670655335066</v>
      </c>
      <c r="L25" s="26" t="n">
        <f aca="false">L24*(1-$B$8)</f>
        <v>1.61897481548469</v>
      </c>
    </row>
    <row r="26" customFormat="false" ht="15" hidden="false" customHeight="true" outlineLevel="0" collapsed="false">
      <c r="A26" s="3" t="s">
        <v>103</v>
      </c>
      <c r="B26" s="11" t="n">
        <v>0.12</v>
      </c>
      <c r="C26" s="11" t="n">
        <v>0.06</v>
      </c>
      <c r="D26" s="11" t="n">
        <v>0.04</v>
      </c>
      <c r="E26" s="11" t="n">
        <v>0.04</v>
      </c>
      <c r="F26" s="11" t="n">
        <v>0.04</v>
      </c>
      <c r="G26" s="8" t="n">
        <f aca="false">$F26+($L26-$F26)*G$18/5</f>
        <v>0.038</v>
      </c>
      <c r="H26" s="8" t="n">
        <f aca="false">$F26+($L26-$F26)*H$18/5</f>
        <v>0.036</v>
      </c>
      <c r="I26" s="8" t="n">
        <f aca="false">$F26+($L26-$F26)*I$18/5</f>
        <v>0.034</v>
      </c>
      <c r="J26" s="8" t="n">
        <f aca="false">$F26+($L26-$F26)*J$18/5</f>
        <v>0.032</v>
      </c>
      <c r="K26" s="8" t="n">
        <f aca="false">$F26+($L26-$F26)*K$18/5</f>
        <v>0.03</v>
      </c>
      <c r="L26" s="11" t="n">
        <v>0.03</v>
      </c>
    </row>
    <row r="27" customFormat="false" ht="15" hidden="false" customHeight="true" outlineLevel="0" collapsed="false">
      <c r="A27" s="3" t="s">
        <v>104</v>
      </c>
      <c r="B27" s="26" t="n">
        <f aca="false">B21*B26</f>
        <v>1.104</v>
      </c>
      <c r="C27" s="26" t="n">
        <f aca="false">C21*C26</f>
        <v>0.48</v>
      </c>
      <c r="D27" s="26" t="n">
        <f aca="false">D21*D26</f>
        <v>0.332</v>
      </c>
      <c r="E27" s="26" t="n">
        <f aca="false">E21*E26</f>
        <v>0.36</v>
      </c>
      <c r="F27" s="26" t="n">
        <f aca="false">F21*F26</f>
        <v>0.392</v>
      </c>
      <c r="G27" s="26" t="n">
        <f aca="false">G21*G26</f>
        <v>0.401860977777778</v>
      </c>
      <c r="H27" s="26" t="n">
        <f aca="false">H21*H26</f>
        <v>0.407106321066667</v>
      </c>
      <c r="I27" s="26" t="n">
        <f aca="false">I21*I26</f>
        <v>0.407387777288639</v>
      </c>
      <c r="J27" s="26" t="n">
        <f aca="false">J21*J26</f>
        <v>0.402509774622019</v>
      </c>
      <c r="K27" s="26" t="n">
        <f aca="false">K21*K26</f>
        <v>0.392447030256469</v>
      </c>
      <c r="L27" s="26" t="n">
        <f aca="false">L21*L26</f>
        <v>0.408144911466728</v>
      </c>
    </row>
    <row r="28" customFormat="false" ht="15" hidden="false" customHeight="true" outlineLevel="0" collapsed="false">
      <c r="A28" s="3" t="s">
        <v>105</v>
      </c>
      <c r="B28" s="26" t="n">
        <f aca="false">$B$11*(B21-$B$12)</f>
        <v>0.3123</v>
      </c>
      <c r="C28" s="26" t="n">
        <f aca="false">$B$11*(C21-B21)</f>
        <v>-0.18</v>
      </c>
      <c r="D28" s="26" t="n">
        <f aca="false">$B$11*(D21-C21)</f>
        <v>0.0450000000000001</v>
      </c>
      <c r="E28" s="26" t="n">
        <f aca="false">$B$11*(E21-D21)</f>
        <v>0.105</v>
      </c>
      <c r="F28" s="26" t="n">
        <f aca="false">$B$11*(F21-E21)</f>
        <v>0.12</v>
      </c>
      <c r="G28" s="26" t="n">
        <f aca="false">$B$11*(G21-F21)</f>
        <v>0.116293333333333</v>
      </c>
      <c r="H28" s="26" t="n">
        <f aca="false">$B$11*(H21-G21)</f>
        <v>0.109983004444445</v>
      </c>
      <c r="I28" s="26" t="n">
        <f aca="false">$B$11*(I21-H21)</f>
        <v>0.101022679672099</v>
      </c>
      <c r="J28" s="26" t="n">
        <f aca="false">$B$11*(J21-I21)</f>
        <v>0.0894655510908381</v>
      </c>
      <c r="K28" s="26" t="n">
        <f aca="false">$B$11*(K21-J21)</f>
        <v>0.0754705827416287</v>
      </c>
      <c r="L28" s="26" t="n">
        <f aca="false">$B$11*(L21-K21)</f>
        <v>0.0784894060512937</v>
      </c>
    </row>
    <row r="29" customFormat="false" ht="15" hidden="false" customHeight="true" outlineLevel="0" collapsed="false">
      <c r="A29" s="3" t="s">
        <v>106</v>
      </c>
      <c r="B29" s="26" t="n">
        <f aca="false">B25-B27-B28</f>
        <v>-0.00869999999999976</v>
      </c>
      <c r="C29" s="26" t="n">
        <f aca="false">C25-C27-C28</f>
        <v>0.516</v>
      </c>
      <c r="D29" s="26" t="n">
        <f aca="false">D25-D27-D28</f>
        <v>0.4696</v>
      </c>
      <c r="E29" s="26" t="n">
        <f aca="false">E25-E27-E28</f>
        <v>0.606</v>
      </c>
      <c r="F29" s="26" t="n">
        <f aca="false">F25-F27-F28</f>
        <v>0.7375</v>
      </c>
      <c r="G29" s="26" t="n">
        <f aca="false">G25-G27-G28</f>
        <v>0.812217031111111</v>
      </c>
      <c r="H29" s="26" t="n">
        <f aca="false">H25-H27-H28</f>
        <v>0.886296631277037</v>
      </c>
      <c r="I29" s="26" t="n">
        <f aca="false">I25-I27-I28</f>
        <v>0.958185541278362</v>
      </c>
      <c r="J29" s="26" t="n">
        <f aca="false">J25-J27-J28</f>
        <v>1.02624123043957</v>
      </c>
      <c r="K29" s="26" t="n">
        <f aca="false">K25-K27-K28</f>
        <v>1.08878894035256</v>
      </c>
      <c r="L29" s="26" t="n">
        <f aca="false">L25-L27-L28</f>
        <v>1.13234049796666</v>
      </c>
    </row>
    <row r="30" customFormat="false" ht="15" hidden="false" customHeight="true" outlineLevel="0" collapsed="false">
      <c r="A30" s="3" t="s">
        <v>107</v>
      </c>
      <c r="B30" s="27" t="n">
        <f aca="false">1/(1+$B$9)^B$17</f>
        <v>0.947027447620757</v>
      </c>
      <c r="C30" s="27" t="n">
        <f aca="false">1/(1+$B$9)^C$17</f>
        <v>0.84935197096032</v>
      </c>
      <c r="D30" s="27" t="n">
        <f aca="false">1/(1+$B$9)^D$17</f>
        <v>0.761750646601184</v>
      </c>
      <c r="E30" s="27" t="n">
        <f aca="false">1/(1+$B$9)^E$17</f>
        <v>0.683184436413618</v>
      </c>
      <c r="F30" s="27" t="n">
        <f aca="false">1/(1+$B$9)^F$17</f>
        <v>0.612721467635532</v>
      </c>
      <c r="G30" s="27" t="n">
        <f aca="false">1/(1+$B$9)^G$17</f>
        <v>0.549525979942181</v>
      </c>
      <c r="H30" s="27" t="n">
        <f aca="false">1/(1+$B$9)^H$17</f>
        <v>0.492848412504198</v>
      </c>
      <c r="I30" s="27" t="n">
        <f aca="false">1/(1+$B$9)^I$17</f>
        <v>0.44201651345668</v>
      </c>
      <c r="J30" s="27" t="n">
        <f aca="false">1/(1+$B$9)^J$17</f>
        <v>0.396427366328861</v>
      </c>
      <c r="K30" s="27" t="n">
        <f aca="false">1/(1+$B$9)^K$17</f>
        <v>0.355540238859965</v>
      </c>
      <c r="L30" s="3"/>
    </row>
    <row r="31" customFormat="false" ht="15" hidden="false" customHeight="true" outlineLevel="0" collapsed="false">
      <c r="A31" s="3" t="s">
        <v>108</v>
      </c>
      <c r="B31" s="26" t="n">
        <f aca="false">B29*B30</f>
        <v>-0.00823913879430036</v>
      </c>
      <c r="C31" s="26" t="n">
        <f aca="false">C29*C30</f>
        <v>0.438265617015525</v>
      </c>
      <c r="D31" s="26" t="n">
        <f aca="false">D29*D30</f>
        <v>0.357718103643916</v>
      </c>
      <c r="E31" s="26" t="n">
        <f aca="false">E29*E30</f>
        <v>0.414009768466653</v>
      </c>
      <c r="F31" s="26" t="n">
        <f aca="false">F29*F30</f>
        <v>0.451882082381205</v>
      </c>
      <c r="G31" s="26" t="n">
        <f aca="false">G29*G30</f>
        <v>0.446334359947062</v>
      </c>
      <c r="H31" s="26" t="n">
        <f aca="false">H29*H30</f>
        <v>0.436809887732706</v>
      </c>
      <c r="I31" s="26" t="n">
        <f aca="false">I29*I30</f>
        <v>0.423533832200463</v>
      </c>
      <c r="J31" s="26" t="n">
        <f aca="false">J29*J30</f>
        <v>0.406830108201249</v>
      </c>
      <c r="K31" s="26" t="n">
        <f aca="false">K29*K30</f>
        <v>0.387108279921038</v>
      </c>
      <c r="L31" s="26"/>
    </row>
    <row r="32" customFormat="false" ht="15" hidden="false" customHeight="true" outlineLevel="0" collapsed="false">
      <c r="A32" s="3" t="s">
        <v>109</v>
      </c>
      <c r="B32" s="26" t="n">
        <f aca="false">L29/($B$9-$B$10)</f>
        <v>15.0978733062222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110</v>
      </c>
      <c r="B33" s="26" t="n">
        <f aca="false">B32/(1+$B$9)^$K$17</f>
        <v>5.36790148157173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111</v>
      </c>
      <c r="B34" s="26" t="n">
        <f aca="false">SUM(B31:K31)+B33+$B$7</f>
        <v>7.56215438228724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112</v>
      </c>
      <c r="B35" s="28" t="n">
        <f aca="false">B34/$B$6*$B$13</f>
        <v>38.4002152149863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113</v>
      </c>
      <c r="B36" s="8" t="n">
        <f aca="false">B35/$B$4-1</f>
        <v>-0.836497423081895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2" t="s">
        <v>114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Format="false" ht="15" hidden="false" customHeight="true" outlineLevel="0" collapsed="false">
      <c r="A39" s="3" t="s">
        <v>98</v>
      </c>
      <c r="B39" s="22" t="n">
        <v>10.2</v>
      </c>
      <c r="C39" s="22" t="n">
        <v>12.5</v>
      </c>
      <c r="D39" s="22" t="n">
        <v>13</v>
      </c>
      <c r="E39" s="22" t="n">
        <v>14.5</v>
      </c>
      <c r="F39" s="22" t="n">
        <v>16</v>
      </c>
      <c r="G39" s="26" t="n">
        <f aca="false">F39*(1+$F40+($B$10-$F40)*G$18/5)</f>
        <v>17.4521379310345</v>
      </c>
      <c r="H39" s="26" t="n">
        <f aca="false">G39*(1+$F40+($B$10-$F40)*H$18/5)</f>
        <v>18.8146082853746</v>
      </c>
      <c r="I39" s="26" t="n">
        <f aca="false">H39*(1+$F40+($B$10-$F40)*I$18/5)</f>
        <v>20.0446943994804</v>
      </c>
      <c r="J39" s="26" t="n">
        <f aca="false">I39*(1+$F40+($B$10-$F40)*J$18/5)</f>
        <v>21.1008424354255</v>
      </c>
      <c r="K39" s="26" t="n">
        <f aca="false">J39*(1+$F40+($B$10-$F40)*K$18/5)</f>
        <v>21.9448761328425</v>
      </c>
      <c r="L39" s="26" t="n">
        <f aca="false">K39*(1+$B$10)</f>
        <v>22.8226711781562</v>
      </c>
    </row>
    <row r="40" customFormat="false" ht="15" hidden="false" customHeight="true" outlineLevel="0" collapsed="false">
      <c r="A40" s="3" t="s">
        <v>99</v>
      </c>
      <c r="B40" s="8" t="n">
        <f aca="false">B39/$B$12-1</f>
        <v>0.43298679404327</v>
      </c>
      <c r="C40" s="8" t="n">
        <f aca="false">C39/B39-1</f>
        <v>0.225490196078431</v>
      </c>
      <c r="D40" s="8" t="n">
        <f aca="false">D39/C39-1</f>
        <v>0.04</v>
      </c>
      <c r="E40" s="8" t="n">
        <f aca="false">E39/D39-1</f>
        <v>0.115384615384615</v>
      </c>
      <c r="F40" s="8" t="n">
        <f aca="false">F39/E39-1</f>
        <v>0.103448275862069</v>
      </c>
      <c r="G40" s="8" t="n">
        <f aca="false">G39/F39-1</f>
        <v>0.0907586206896551</v>
      </c>
      <c r="H40" s="8" t="n">
        <f aca="false">H39/G39-1</f>
        <v>0.0780689655172413</v>
      </c>
      <c r="I40" s="8" t="n">
        <f aca="false">I39/H39-1</f>
        <v>0.0653793103448277</v>
      </c>
      <c r="J40" s="8" t="n">
        <f aca="false">J39/I39-1</f>
        <v>0.0526896551724139</v>
      </c>
      <c r="K40" s="8" t="n">
        <f aca="false">K39/J39-1</f>
        <v>0.04</v>
      </c>
      <c r="L40" s="8" t="n">
        <f aca="false">L39/K39-1</f>
        <v>0.04</v>
      </c>
    </row>
    <row r="41" customFormat="false" ht="15" hidden="false" customHeight="true" outlineLevel="0" collapsed="false">
      <c r="A41" s="3" t="s">
        <v>100</v>
      </c>
      <c r="B41" s="11" t="n">
        <v>0.2</v>
      </c>
      <c r="C41" s="11" t="n">
        <v>0.22</v>
      </c>
      <c r="D41" s="11" t="n">
        <v>0.2</v>
      </c>
      <c r="E41" s="11" t="n">
        <v>0.21</v>
      </c>
      <c r="F41" s="11" t="n">
        <v>0.21</v>
      </c>
      <c r="G41" s="8" t="n">
        <f aca="false">$F41+($L41-$F41)*G$18/5</f>
        <v>0.206</v>
      </c>
      <c r="H41" s="8" t="n">
        <f aca="false">$F41+($L41-$F41)*H$18/5</f>
        <v>0.202</v>
      </c>
      <c r="I41" s="8" t="n">
        <f aca="false">$F41+($L41-$F41)*I$18/5</f>
        <v>0.198</v>
      </c>
      <c r="J41" s="8" t="n">
        <f aca="false">$F41+($L41-$F41)*J$18/5</f>
        <v>0.194</v>
      </c>
      <c r="K41" s="8" t="n">
        <f aca="false">$F41+($L41-$F41)*K$18/5</f>
        <v>0.19</v>
      </c>
      <c r="L41" s="17" t="n">
        <v>0.19</v>
      </c>
    </row>
    <row r="42" customFormat="false" ht="15" hidden="false" customHeight="true" outlineLevel="0" collapsed="false">
      <c r="A42" s="3" t="s">
        <v>101</v>
      </c>
      <c r="B42" s="26" t="n">
        <f aca="false">B39*B41</f>
        <v>2.04</v>
      </c>
      <c r="C42" s="26" t="n">
        <f aca="false">C39*C41</f>
        <v>2.75</v>
      </c>
      <c r="D42" s="26" t="n">
        <f aca="false">D39*D41</f>
        <v>2.6</v>
      </c>
      <c r="E42" s="26" t="n">
        <f aca="false">E39*E41</f>
        <v>3.045</v>
      </c>
      <c r="F42" s="26" t="n">
        <f aca="false">F39*F41</f>
        <v>3.36</v>
      </c>
      <c r="G42" s="26" t="n">
        <f aca="false">G39*G41</f>
        <v>3.5951404137931</v>
      </c>
      <c r="H42" s="26" t="n">
        <f aca="false">H39*H41</f>
        <v>3.80055087364566</v>
      </c>
      <c r="I42" s="26" t="n">
        <f aca="false">I39*I41</f>
        <v>3.96884949109712</v>
      </c>
      <c r="J42" s="26" t="n">
        <f aca="false">J39*J41</f>
        <v>4.09356343247254</v>
      </c>
      <c r="K42" s="26" t="n">
        <f aca="false">K39*K41</f>
        <v>4.16952646524007</v>
      </c>
      <c r="L42" s="26" t="n">
        <f aca="false">L39*L41</f>
        <v>4.33630752384967</v>
      </c>
    </row>
    <row r="43" customFormat="false" ht="15" hidden="false" customHeight="true" outlineLevel="0" collapsed="false">
      <c r="A43" s="3" t="s">
        <v>102</v>
      </c>
      <c r="B43" s="26" t="n">
        <f aca="false">B42*(1-$B$8)</f>
        <v>1.734</v>
      </c>
      <c r="C43" s="26" t="n">
        <f aca="false">C42*(1-$B$8)</f>
        <v>2.3375</v>
      </c>
      <c r="D43" s="26" t="n">
        <f aca="false">D42*(1-$B$8)</f>
        <v>2.21</v>
      </c>
      <c r="E43" s="26" t="n">
        <f aca="false">E42*(1-$B$8)</f>
        <v>2.58825</v>
      </c>
      <c r="F43" s="26" t="n">
        <f aca="false">F42*(1-$B$8)</f>
        <v>2.856</v>
      </c>
      <c r="G43" s="26" t="n">
        <f aca="false">G42*(1-$B$8)</f>
        <v>3.05586935172414</v>
      </c>
      <c r="H43" s="26" t="n">
        <f aca="false">H42*(1-$B$8)</f>
        <v>3.23046824259881</v>
      </c>
      <c r="I43" s="26" t="n">
        <f aca="false">I42*(1-$B$8)</f>
        <v>3.37352206743256</v>
      </c>
      <c r="J43" s="26" t="n">
        <f aca="false">J42*(1-$B$8)</f>
        <v>3.47952891760166</v>
      </c>
      <c r="K43" s="26" t="n">
        <f aca="false">K42*(1-$B$8)</f>
        <v>3.54409749545406</v>
      </c>
      <c r="L43" s="26" t="n">
        <f aca="false">L42*(1-$B$8)</f>
        <v>3.68586139527222</v>
      </c>
    </row>
    <row r="44" customFormat="false" ht="15" hidden="false" customHeight="true" outlineLevel="0" collapsed="false">
      <c r="A44" s="3" t="s">
        <v>103</v>
      </c>
      <c r="B44" s="11" t="n">
        <v>0.12</v>
      </c>
      <c r="C44" s="11" t="n">
        <v>0.08</v>
      </c>
      <c r="D44" s="11" t="n">
        <v>0.05</v>
      </c>
      <c r="E44" s="11" t="n">
        <v>0.04</v>
      </c>
      <c r="F44" s="11" t="n">
        <v>0.04</v>
      </c>
      <c r="G44" s="8" t="n">
        <f aca="false">$F44+($L44-$F44)*G$18/5</f>
        <v>0.038</v>
      </c>
      <c r="H44" s="8" t="n">
        <f aca="false">$F44+($L44-$F44)*H$18/5</f>
        <v>0.036</v>
      </c>
      <c r="I44" s="8" t="n">
        <f aca="false">$F44+($L44-$F44)*I$18/5</f>
        <v>0.034</v>
      </c>
      <c r="J44" s="8" t="n">
        <f aca="false">$F44+($L44-$F44)*J$18/5</f>
        <v>0.032</v>
      </c>
      <c r="K44" s="8" t="n">
        <f aca="false">$F44+($L44-$F44)*K$18/5</f>
        <v>0.03</v>
      </c>
      <c r="L44" s="11" t="n">
        <v>0.03</v>
      </c>
    </row>
    <row r="45" customFormat="false" ht="15" hidden="false" customHeight="true" outlineLevel="0" collapsed="false">
      <c r="A45" s="3" t="s">
        <v>104</v>
      </c>
      <c r="B45" s="26" t="n">
        <f aca="false">B39*B44</f>
        <v>1.224</v>
      </c>
      <c r="C45" s="26" t="n">
        <f aca="false">C39*C44</f>
        <v>1</v>
      </c>
      <c r="D45" s="26" t="n">
        <f aca="false">D39*D44</f>
        <v>0.65</v>
      </c>
      <c r="E45" s="26" t="n">
        <f aca="false">E39*E44</f>
        <v>0.58</v>
      </c>
      <c r="F45" s="26" t="n">
        <f aca="false">F39*F44</f>
        <v>0.64</v>
      </c>
      <c r="G45" s="26" t="n">
        <f aca="false">G39*G44</f>
        <v>0.66318124137931</v>
      </c>
      <c r="H45" s="26" t="n">
        <f aca="false">H39*H44</f>
        <v>0.677325898273484</v>
      </c>
      <c r="I45" s="26" t="n">
        <f aca="false">I39*I44</f>
        <v>0.681519609582334</v>
      </c>
      <c r="J45" s="26" t="n">
        <f aca="false">J39*J44</f>
        <v>0.675226957933615</v>
      </c>
      <c r="K45" s="26" t="n">
        <f aca="false">K39*K44</f>
        <v>0.658346283985274</v>
      </c>
      <c r="L45" s="26" t="n">
        <f aca="false">L39*L44</f>
        <v>0.684680135344685</v>
      </c>
    </row>
    <row r="46" customFormat="false" ht="15" hidden="false" customHeight="true" outlineLevel="0" collapsed="false">
      <c r="A46" s="3" t="s">
        <v>105</v>
      </c>
      <c r="B46" s="26" t="n">
        <f aca="false">$B$11*(B39-$B$12)</f>
        <v>0.4623</v>
      </c>
      <c r="C46" s="26" t="n">
        <f aca="false">$B$11*(C39-B39)</f>
        <v>0.345</v>
      </c>
      <c r="D46" s="26" t="n">
        <f aca="false">$B$11*(D39-C39)</f>
        <v>0.075</v>
      </c>
      <c r="E46" s="26" t="n">
        <f aca="false">$B$11*(E39-D39)</f>
        <v>0.225</v>
      </c>
      <c r="F46" s="26" t="n">
        <f aca="false">$B$11*(F39-E39)</f>
        <v>0.225</v>
      </c>
      <c r="G46" s="26" t="n">
        <f aca="false">$B$11*(G39-F39)</f>
        <v>0.217820689655172</v>
      </c>
      <c r="H46" s="26" t="n">
        <f aca="false">$B$11*(H39-G39)</f>
        <v>0.20437055315101</v>
      </c>
      <c r="I46" s="26" t="n">
        <f aca="false">$B$11*(I39-H39)</f>
        <v>0.18451291711588</v>
      </c>
      <c r="J46" s="26" t="n">
        <f aca="false">$B$11*(J39-I39)</f>
        <v>0.158422205391756</v>
      </c>
      <c r="K46" s="26" t="n">
        <f aca="false">$B$11*(K39-J39)</f>
        <v>0.126605054612553</v>
      </c>
      <c r="L46" s="26" t="n">
        <f aca="false">$B$11*(L39-K39)</f>
        <v>0.131669256797055</v>
      </c>
    </row>
    <row r="47" customFormat="false" ht="15" hidden="false" customHeight="true" outlineLevel="0" collapsed="false">
      <c r="A47" s="3" t="s">
        <v>106</v>
      </c>
      <c r="B47" s="26" t="n">
        <f aca="false">B43-B45-B46</f>
        <v>0.0477000000000002</v>
      </c>
      <c r="C47" s="26" t="n">
        <f aca="false">C43-C45-C46</f>
        <v>0.9925</v>
      </c>
      <c r="D47" s="26" t="n">
        <f aca="false">D43-D45-D46</f>
        <v>1.485</v>
      </c>
      <c r="E47" s="26" t="n">
        <f aca="false">E43-E45-E46</f>
        <v>1.78325</v>
      </c>
      <c r="F47" s="26" t="n">
        <f aca="false">F43-F45-F46</f>
        <v>1.991</v>
      </c>
      <c r="G47" s="26" t="n">
        <f aca="false">G43-G45-G46</f>
        <v>2.17486742068966</v>
      </c>
      <c r="H47" s="26" t="n">
        <f aca="false">H43-H45-H46</f>
        <v>2.34877179117432</v>
      </c>
      <c r="I47" s="26" t="n">
        <f aca="false">I43-I45-I46</f>
        <v>2.50748954073434</v>
      </c>
      <c r="J47" s="26" t="n">
        <f aca="false">J43-J45-J46</f>
        <v>2.64587975427629</v>
      </c>
      <c r="K47" s="26" t="n">
        <f aca="false">K43-K45-K46</f>
        <v>2.75914615685623</v>
      </c>
      <c r="L47" s="26" t="n">
        <f aca="false">L43-L45-L46</f>
        <v>2.86951200313048</v>
      </c>
    </row>
    <row r="48" customFormat="false" ht="15" hidden="false" customHeight="true" outlineLevel="0" collapsed="false">
      <c r="A48" s="3" t="s">
        <v>107</v>
      </c>
      <c r="B48" s="27" t="n">
        <f aca="false">1/(1+$B$9)^B$17</f>
        <v>0.947027447620757</v>
      </c>
      <c r="C48" s="27" t="n">
        <f aca="false">1/(1+$B$9)^C$17</f>
        <v>0.84935197096032</v>
      </c>
      <c r="D48" s="27" t="n">
        <f aca="false">1/(1+$B$9)^D$17</f>
        <v>0.761750646601184</v>
      </c>
      <c r="E48" s="27" t="n">
        <f aca="false">1/(1+$B$9)^E$17</f>
        <v>0.683184436413618</v>
      </c>
      <c r="F48" s="27" t="n">
        <f aca="false">1/(1+$B$9)^F$17</f>
        <v>0.612721467635532</v>
      </c>
      <c r="G48" s="27" t="n">
        <f aca="false">1/(1+$B$9)^G$17</f>
        <v>0.549525979942181</v>
      </c>
      <c r="H48" s="27" t="n">
        <f aca="false">1/(1+$B$9)^H$17</f>
        <v>0.492848412504198</v>
      </c>
      <c r="I48" s="27" t="n">
        <f aca="false">1/(1+$B$9)^I$17</f>
        <v>0.44201651345668</v>
      </c>
      <c r="J48" s="27" t="n">
        <f aca="false">1/(1+$B$9)^J$17</f>
        <v>0.396427366328861</v>
      </c>
      <c r="K48" s="27" t="n">
        <f aca="false">1/(1+$B$9)^K$17</f>
        <v>0.355540238859965</v>
      </c>
      <c r="L48" s="3"/>
    </row>
    <row r="49" customFormat="false" ht="15" hidden="false" customHeight="true" outlineLevel="0" collapsed="false">
      <c r="A49" s="3" t="s">
        <v>108</v>
      </c>
      <c r="B49" s="26" t="n">
        <f aca="false">B47*B48</f>
        <v>0.0451732092515103</v>
      </c>
      <c r="C49" s="26" t="n">
        <f aca="false">C47*C48</f>
        <v>0.842981831178117</v>
      </c>
      <c r="D49" s="26" t="n">
        <f aca="false">D47*D48</f>
        <v>1.13119971020276</v>
      </c>
      <c r="E49" s="26" t="n">
        <f aca="false">E47*E48</f>
        <v>1.21828864623458</v>
      </c>
      <c r="F49" s="26" t="n">
        <f aca="false">F47*F48</f>
        <v>1.21992844206234</v>
      </c>
      <c r="G49" s="26" t="n">
        <f aca="false">G47*G48</f>
        <v>1.19514615059881</v>
      </c>
      <c r="H49" s="26" t="n">
        <f aca="false">H47*H48</f>
        <v>1.1575884486149</v>
      </c>
      <c r="I49" s="26" t="n">
        <f aca="false">I47*I48</f>
        <v>1.10835178432448</v>
      </c>
      <c r="J49" s="26" t="n">
        <f aca="false">J47*J48</f>
        <v>1.0488991426106</v>
      </c>
      <c r="K49" s="26" t="n">
        <f aca="false">K47*K48</f>
        <v>0.980987483658219</v>
      </c>
      <c r="L49" s="26"/>
    </row>
    <row r="50" customFormat="false" ht="15" hidden="false" customHeight="true" outlineLevel="0" collapsed="false">
      <c r="A50" s="3" t="s">
        <v>109</v>
      </c>
      <c r="B50" s="26" t="n">
        <f aca="false">L47/($B$9-$B$10)</f>
        <v>38.2601600417398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110</v>
      </c>
      <c r="B51" s="26" t="n">
        <f aca="false">B50/(1+$B$9)^$K$17</f>
        <v>13.6030264400606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111</v>
      </c>
      <c r="B52" s="26" t="n">
        <f aca="false">SUM(B49:K49)+B51+$B$7</f>
        <v>21.991571288797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112</v>
      </c>
      <c r="B53" s="28" t="n">
        <f aca="false">B52/$B$6*$B$13</f>
        <v>111.672021981399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113</v>
      </c>
      <c r="B54" s="8" t="n">
        <f aca="false">B53/$B$4-1</f>
        <v>-0.524516639779446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2" t="s">
        <v>115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" hidden="false" customHeight="true" outlineLevel="0" collapsed="false">
      <c r="A57" s="3" t="s">
        <v>98</v>
      </c>
      <c r="B57" s="22" t="n">
        <v>11</v>
      </c>
      <c r="C57" s="22" t="n">
        <v>14.5</v>
      </c>
      <c r="D57" s="22" t="n">
        <v>17</v>
      </c>
      <c r="E57" s="22" t="n">
        <v>19.5</v>
      </c>
      <c r="F57" s="22" t="n">
        <v>22</v>
      </c>
      <c r="G57" s="26" t="n">
        <f aca="false">F57*(1+$F58+($B$10-$F58)*G$18/5)</f>
        <v>24.4324102564103</v>
      </c>
      <c r="H57" s="26" t="n">
        <f aca="false">G57*(1+$F58+($B$10-$F58)*H$18/5)</f>
        <v>26.7027449940828</v>
      </c>
      <c r="I57" s="26" t="n">
        <f aca="false">H57*(1+$F58+($B$10-$F58)*I$18/5)</f>
        <v>28.7129824120989</v>
      </c>
      <c r="J57" s="26" t="n">
        <f aca="false">I57*(1+$F58+($B$10-$F58)*J$18/5)</f>
        <v>30.368028167545</v>
      </c>
      <c r="K57" s="26" t="n">
        <f aca="false">J57*(1+$F58+($B$10-$F58)*K$18/5)</f>
        <v>31.5827492942468</v>
      </c>
      <c r="L57" s="26" t="n">
        <f aca="false">K57*(1+$B$10)</f>
        <v>32.8460592660167</v>
      </c>
    </row>
    <row r="58" customFormat="false" ht="15" hidden="false" customHeight="true" outlineLevel="0" collapsed="false">
      <c r="A58" s="3" t="s">
        <v>99</v>
      </c>
      <c r="B58" s="8" t="n">
        <f aca="false">B57/$B$12-1</f>
        <v>0.545377915144704</v>
      </c>
      <c r="C58" s="8" t="n">
        <f aca="false">C57/B57-1</f>
        <v>0.318181818181818</v>
      </c>
      <c r="D58" s="8" t="n">
        <f aca="false">D57/C57-1</f>
        <v>0.172413793103448</v>
      </c>
      <c r="E58" s="8" t="n">
        <f aca="false">E57/D57-1</f>
        <v>0.147058823529412</v>
      </c>
      <c r="F58" s="8" t="n">
        <f aca="false">F57/E57-1</f>
        <v>0.128205128205128</v>
      </c>
      <c r="G58" s="8" t="n">
        <f aca="false">G57/F57-1</f>
        <v>0.110564102564103</v>
      </c>
      <c r="H58" s="8" t="n">
        <f aca="false">H57/G57-1</f>
        <v>0.0929230769230769</v>
      </c>
      <c r="I58" s="8" t="n">
        <f aca="false">I57/H57-1</f>
        <v>0.0752820512820513</v>
      </c>
      <c r="J58" s="8" t="n">
        <f aca="false">J57/I57-1</f>
        <v>0.0576410256410256</v>
      </c>
      <c r="K58" s="8" t="n">
        <f aca="false">K57/J57-1</f>
        <v>0.04</v>
      </c>
      <c r="L58" s="8" t="n">
        <f aca="false">L57/K57-1</f>
        <v>0.04</v>
      </c>
    </row>
    <row r="59" customFormat="false" ht="15" hidden="false" customHeight="true" outlineLevel="0" collapsed="false">
      <c r="A59" s="3" t="s">
        <v>100</v>
      </c>
      <c r="B59" s="11" t="n">
        <v>0.21</v>
      </c>
      <c r="C59" s="11" t="n">
        <v>0.24</v>
      </c>
      <c r="D59" s="11" t="n">
        <v>0.24</v>
      </c>
      <c r="E59" s="11" t="n">
        <v>0.24</v>
      </c>
      <c r="F59" s="11" t="n">
        <v>0.23</v>
      </c>
      <c r="G59" s="8" t="n">
        <f aca="false">$F59+($L59-$F59)*G$18/5</f>
        <v>0.226</v>
      </c>
      <c r="H59" s="8" t="n">
        <f aca="false">$F59+($L59-$F59)*H$18/5</f>
        <v>0.222</v>
      </c>
      <c r="I59" s="8" t="n">
        <f aca="false">$F59+($L59-$F59)*I$18/5</f>
        <v>0.218</v>
      </c>
      <c r="J59" s="8" t="n">
        <f aca="false">$F59+($L59-$F59)*J$18/5</f>
        <v>0.214</v>
      </c>
      <c r="K59" s="8" t="n">
        <f aca="false">$F59+($L59-$F59)*K$18/5</f>
        <v>0.21</v>
      </c>
      <c r="L59" s="17" t="n">
        <v>0.21</v>
      </c>
    </row>
    <row r="60" customFormat="false" ht="15" hidden="false" customHeight="true" outlineLevel="0" collapsed="false">
      <c r="A60" s="3" t="s">
        <v>101</v>
      </c>
      <c r="B60" s="26" t="n">
        <f aca="false">B57*B59</f>
        <v>2.31</v>
      </c>
      <c r="C60" s="26" t="n">
        <f aca="false">C57*C59</f>
        <v>3.48</v>
      </c>
      <c r="D60" s="26" t="n">
        <f aca="false">D57*D59</f>
        <v>4.08</v>
      </c>
      <c r="E60" s="26" t="n">
        <f aca="false">E57*E59</f>
        <v>4.68</v>
      </c>
      <c r="F60" s="26" t="n">
        <f aca="false">F57*F59</f>
        <v>5.06</v>
      </c>
      <c r="G60" s="26" t="n">
        <f aca="false">G57*G59</f>
        <v>5.52172471794872</v>
      </c>
      <c r="H60" s="26" t="n">
        <f aca="false">H57*H59</f>
        <v>5.92800938868639</v>
      </c>
      <c r="I60" s="26" t="n">
        <f aca="false">I57*I59</f>
        <v>6.25943016583757</v>
      </c>
      <c r="J60" s="26" t="n">
        <f aca="false">J57*J59</f>
        <v>6.49875802785464</v>
      </c>
      <c r="K60" s="26" t="n">
        <f aca="false">K57*K59</f>
        <v>6.63237735179184</v>
      </c>
      <c r="L60" s="26" t="n">
        <f aca="false">L57*L59</f>
        <v>6.89767244586351</v>
      </c>
    </row>
    <row r="61" customFormat="false" ht="15" hidden="false" customHeight="true" outlineLevel="0" collapsed="false">
      <c r="A61" s="3" t="s">
        <v>102</v>
      </c>
      <c r="B61" s="26" t="n">
        <f aca="false">B60*(1-$B$8)</f>
        <v>1.9635</v>
      </c>
      <c r="C61" s="26" t="n">
        <f aca="false">C60*(1-$B$8)</f>
        <v>2.958</v>
      </c>
      <c r="D61" s="26" t="n">
        <f aca="false">D60*(1-$B$8)</f>
        <v>3.468</v>
      </c>
      <c r="E61" s="26" t="n">
        <f aca="false">E60*(1-$B$8)</f>
        <v>3.978</v>
      </c>
      <c r="F61" s="26" t="n">
        <f aca="false">F60*(1-$B$8)</f>
        <v>4.301</v>
      </c>
      <c r="G61" s="26" t="n">
        <f aca="false">G60*(1-$B$8)</f>
        <v>4.69346601025641</v>
      </c>
      <c r="H61" s="26" t="n">
        <f aca="false">H60*(1-$B$8)</f>
        <v>5.03880798038343</v>
      </c>
      <c r="I61" s="26" t="n">
        <f aca="false">I60*(1-$B$8)</f>
        <v>5.32051564096193</v>
      </c>
      <c r="J61" s="26" t="n">
        <f aca="false">J60*(1-$B$8)</f>
        <v>5.52394432367644</v>
      </c>
      <c r="K61" s="26" t="n">
        <f aca="false">K60*(1-$B$8)</f>
        <v>5.63752074902306</v>
      </c>
      <c r="L61" s="26" t="n">
        <f aca="false">L60*(1-$B$8)</f>
        <v>5.86302157898398</v>
      </c>
    </row>
    <row r="62" customFormat="false" ht="15" hidden="false" customHeight="true" outlineLevel="0" collapsed="false">
      <c r="A62" s="3" t="s">
        <v>103</v>
      </c>
      <c r="B62" s="11" t="n">
        <v>0.12</v>
      </c>
      <c r="C62" s="11" t="n">
        <v>0.08</v>
      </c>
      <c r="D62" s="11" t="n">
        <v>0.06</v>
      </c>
      <c r="E62" s="11" t="n">
        <v>0.05</v>
      </c>
      <c r="F62" s="11" t="n">
        <v>0.04</v>
      </c>
      <c r="G62" s="8" t="n">
        <f aca="false">$F62+($L62-$F62)*G$18/5</f>
        <v>0.038</v>
      </c>
      <c r="H62" s="8" t="n">
        <f aca="false">$F62+($L62-$F62)*H$18/5</f>
        <v>0.036</v>
      </c>
      <c r="I62" s="8" t="n">
        <f aca="false">$F62+($L62-$F62)*I$18/5</f>
        <v>0.034</v>
      </c>
      <c r="J62" s="8" t="n">
        <f aca="false">$F62+($L62-$F62)*J$18/5</f>
        <v>0.032</v>
      </c>
      <c r="K62" s="8" t="n">
        <f aca="false">$F62+($L62-$F62)*K$18/5</f>
        <v>0.03</v>
      </c>
      <c r="L62" s="11" t="n">
        <v>0.03</v>
      </c>
    </row>
    <row r="63" customFormat="false" ht="15" hidden="false" customHeight="true" outlineLevel="0" collapsed="false">
      <c r="A63" s="3" t="s">
        <v>104</v>
      </c>
      <c r="B63" s="26" t="n">
        <f aca="false">B57*B62</f>
        <v>1.32</v>
      </c>
      <c r="C63" s="26" t="n">
        <f aca="false">C57*C62</f>
        <v>1.16</v>
      </c>
      <c r="D63" s="26" t="n">
        <f aca="false">D57*D62</f>
        <v>1.02</v>
      </c>
      <c r="E63" s="26" t="n">
        <f aca="false">E57*E62</f>
        <v>0.975</v>
      </c>
      <c r="F63" s="26" t="n">
        <f aca="false">F57*F62</f>
        <v>0.88</v>
      </c>
      <c r="G63" s="26" t="n">
        <f aca="false">G57*G62</f>
        <v>0.92843158974359</v>
      </c>
      <c r="H63" s="26" t="n">
        <f aca="false">H57*H62</f>
        <v>0.961298819786982</v>
      </c>
      <c r="I63" s="26" t="n">
        <f aca="false">I57*I62</f>
        <v>0.976241402011364</v>
      </c>
      <c r="J63" s="26" t="n">
        <f aca="false">J57*J62</f>
        <v>0.971776901361441</v>
      </c>
      <c r="K63" s="26" t="n">
        <f aca="false">K57*K62</f>
        <v>0.947482478827405</v>
      </c>
      <c r="L63" s="26" t="n">
        <f aca="false">L57*L62</f>
        <v>0.985381777980501</v>
      </c>
    </row>
    <row r="64" customFormat="false" ht="15" hidden="false" customHeight="true" outlineLevel="0" collapsed="false">
      <c r="A64" s="3" t="s">
        <v>105</v>
      </c>
      <c r="B64" s="26" t="n">
        <f aca="false">$B$11*(B57-$B$12)</f>
        <v>0.5823</v>
      </c>
      <c r="C64" s="26" t="n">
        <f aca="false">$B$11*(C57-B57)</f>
        <v>0.525</v>
      </c>
      <c r="D64" s="26" t="n">
        <f aca="false">$B$11*(D57-C57)</f>
        <v>0.375</v>
      </c>
      <c r="E64" s="26" t="n">
        <f aca="false">$B$11*(E57-D57)</f>
        <v>0.375</v>
      </c>
      <c r="F64" s="26" t="n">
        <f aca="false">$B$11*(F57-E57)</f>
        <v>0.375</v>
      </c>
      <c r="G64" s="26" t="n">
        <f aca="false">$B$11*(G57-F57)</f>
        <v>0.364861538461539</v>
      </c>
      <c r="H64" s="26" t="n">
        <f aca="false">$B$11*(H57-G57)</f>
        <v>0.340550210650888</v>
      </c>
      <c r="I64" s="26" t="n">
        <f aca="false">$B$11*(I57-H57)</f>
        <v>0.301535612702413</v>
      </c>
      <c r="J64" s="26" t="n">
        <f aca="false">$B$11*(J57-I57)</f>
        <v>0.248256863316917</v>
      </c>
      <c r="K64" s="26" t="n">
        <f aca="false">$B$11*(K57-J57)</f>
        <v>0.182208169005271</v>
      </c>
      <c r="L64" s="26" t="n">
        <f aca="false">$B$11*(L57-K57)</f>
        <v>0.189496495765481</v>
      </c>
    </row>
    <row r="65" customFormat="false" ht="15" hidden="false" customHeight="true" outlineLevel="0" collapsed="false">
      <c r="A65" s="3" t="s">
        <v>106</v>
      </c>
      <c r="B65" s="26" t="n">
        <f aca="false">B61-B63-B64</f>
        <v>0.0612000000000003</v>
      </c>
      <c r="C65" s="26" t="n">
        <f aca="false">C61-C63-C64</f>
        <v>1.273</v>
      </c>
      <c r="D65" s="26" t="n">
        <f aca="false">D61-D63-D64</f>
        <v>2.073</v>
      </c>
      <c r="E65" s="26" t="n">
        <f aca="false">E61-E63-E64</f>
        <v>2.628</v>
      </c>
      <c r="F65" s="26" t="n">
        <f aca="false">F61-F63-F64</f>
        <v>3.046</v>
      </c>
      <c r="G65" s="26" t="n">
        <f aca="false">G61-G63-G64</f>
        <v>3.40017288205128</v>
      </c>
      <c r="H65" s="26" t="n">
        <f aca="false">H61-H63-H64</f>
        <v>3.73695894994556</v>
      </c>
      <c r="I65" s="26" t="n">
        <f aca="false">I61-I63-I64</f>
        <v>4.04273862624816</v>
      </c>
      <c r="J65" s="26" t="n">
        <f aca="false">J61-J63-J64</f>
        <v>4.30391055899809</v>
      </c>
      <c r="K65" s="26" t="n">
        <f aca="false">K61-K63-K64</f>
        <v>4.50783010119039</v>
      </c>
      <c r="L65" s="26" t="n">
        <f aca="false">L61-L63-L64</f>
        <v>4.688143305238</v>
      </c>
    </row>
    <row r="66" customFormat="false" ht="15" hidden="false" customHeight="true" outlineLevel="0" collapsed="false">
      <c r="A66" s="3" t="s">
        <v>107</v>
      </c>
      <c r="B66" s="27" t="n">
        <f aca="false">1/(1+$B$9)^B$17</f>
        <v>0.947027447620757</v>
      </c>
      <c r="C66" s="27" t="n">
        <f aca="false">1/(1+$B$9)^C$17</f>
        <v>0.84935197096032</v>
      </c>
      <c r="D66" s="27" t="n">
        <f aca="false">1/(1+$B$9)^D$17</f>
        <v>0.761750646601184</v>
      </c>
      <c r="E66" s="27" t="n">
        <f aca="false">1/(1+$B$9)^E$17</f>
        <v>0.683184436413618</v>
      </c>
      <c r="F66" s="27" t="n">
        <f aca="false">1/(1+$B$9)^F$17</f>
        <v>0.612721467635532</v>
      </c>
      <c r="G66" s="27" t="n">
        <f aca="false">1/(1+$B$9)^G$17</f>
        <v>0.549525979942181</v>
      </c>
      <c r="H66" s="27" t="n">
        <f aca="false">1/(1+$B$9)^H$17</f>
        <v>0.492848412504198</v>
      </c>
      <c r="I66" s="27" t="n">
        <f aca="false">1/(1+$B$9)^I$17</f>
        <v>0.44201651345668</v>
      </c>
      <c r="J66" s="27" t="n">
        <f aca="false">1/(1+$B$9)^J$17</f>
        <v>0.396427366328861</v>
      </c>
      <c r="K66" s="27" t="n">
        <f aca="false">1/(1+$B$9)^K$17</f>
        <v>0.355540238859965</v>
      </c>
      <c r="L66" s="3"/>
    </row>
    <row r="67" customFormat="false" ht="15" hidden="false" customHeight="true" outlineLevel="0" collapsed="false">
      <c r="A67" s="3" t="s">
        <v>108</v>
      </c>
      <c r="B67" s="26" t="n">
        <f aca="false">B65*B66</f>
        <v>0.0579580797943906</v>
      </c>
      <c r="C67" s="26" t="n">
        <f aca="false">C65*C66</f>
        <v>1.08122505903249</v>
      </c>
      <c r="D67" s="26" t="n">
        <f aca="false">D65*D66</f>
        <v>1.57910909040425</v>
      </c>
      <c r="E67" s="26" t="n">
        <f aca="false">E65*E66</f>
        <v>1.79540869889499</v>
      </c>
      <c r="F67" s="26" t="n">
        <f aca="false">F65*F66</f>
        <v>1.86634959041783</v>
      </c>
      <c r="G67" s="26" t="n">
        <f aca="false">G65*G66</f>
        <v>1.86848333498206</v>
      </c>
      <c r="H67" s="26" t="n">
        <f aca="false">H65*H66</f>
        <v>1.84175428607403</v>
      </c>
      <c r="I67" s="26" t="n">
        <f aca="false">I65*I66</f>
        <v>1.78695723239086</v>
      </c>
      <c r="J67" s="26" t="n">
        <f aca="false">J65*J66</f>
        <v>1.70618792781859</v>
      </c>
      <c r="K67" s="26" t="n">
        <f aca="false">K65*K66</f>
        <v>1.60271499091737</v>
      </c>
      <c r="L67" s="26"/>
    </row>
    <row r="68" customFormat="false" ht="15" hidden="false" customHeight="true" outlineLevel="0" collapsed="false">
      <c r="A68" s="3" t="s">
        <v>109</v>
      </c>
      <c r="B68" s="26" t="n">
        <f aca="false">L65/($B$9-$B$10)</f>
        <v>62.5085774031733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110</v>
      </c>
      <c r="B69" s="26" t="n">
        <f aca="false">B68/(1+$B$9)^$K$17</f>
        <v>22.2243145407209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111</v>
      </c>
      <c r="B70" s="26" t="n">
        <f aca="false">SUM(B67:K67)+B69+$B$7</f>
        <v>35.8504628314477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112</v>
      </c>
      <c r="B71" s="28" t="n">
        <f aca="false">B70/$B$6*$B$13</f>
        <v>182.046731485542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113</v>
      </c>
      <c r="B72" s="8" t="n">
        <f aca="false">B71/$B$4-1</f>
        <v>-0.224871278695642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2" t="s">
        <v>116</v>
      </c>
      <c r="B76" s="25"/>
      <c r="C76" s="12" t="s">
        <v>117</v>
      </c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" hidden="false" customHeight="true" outlineLevel="0" collapsed="false">
      <c r="A77" s="3" t="s">
        <v>118</v>
      </c>
      <c r="B77" s="29" t="n">
        <f aca="false">B35</f>
        <v>38.4002152149863</v>
      </c>
      <c r="C77" s="8" t="n">
        <f aca="false">B77/$B$4-1</f>
        <v>-0.836497423081895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119</v>
      </c>
      <c r="B78" s="29" t="n">
        <f aca="false">B53</f>
        <v>111.672021981399</v>
      </c>
      <c r="C78" s="8" t="n">
        <f aca="false">B78/$B$4-1</f>
        <v>-0.524516639779446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120</v>
      </c>
      <c r="B79" s="29" t="n">
        <f aca="false">B71</f>
        <v>182.046731485542</v>
      </c>
      <c r="C79" s="8" t="n">
        <f aca="false">B79/$B$4-1</f>
        <v>-0.224871278695642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121</v>
      </c>
      <c r="B80" s="29" t="n">
        <f aca="false">INDEX(B35:B71,1+($B$14-1)*18)</f>
        <v>111.672021981399</v>
      </c>
      <c r="C80" s="8" t="n">
        <f aca="false">B80/$B$4-1</f>
        <v>-0.524516639779446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122</v>
      </c>
      <c r="B81" s="29" t="n">
        <f aca="false">B78</f>
        <v>111.672021981399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9" t="s">
        <v>123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124</v>
      </c>
      <c r="B84" s="11" t="n">
        <v>0.08</v>
      </c>
      <c r="C84" s="11" t="n">
        <v>0.09</v>
      </c>
      <c r="D84" s="11" t="n">
        <v>0.1</v>
      </c>
      <c r="E84" s="11" t="n">
        <v>0.11</v>
      </c>
      <c r="F84" s="11" t="n">
        <v>0.12</v>
      </c>
      <c r="G84" s="11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119</v>
      </c>
      <c r="B85" s="29" t="n">
        <f aca="false">(SUMPRODUCT(B47:K47/(1+B84)^$B$17:$K$17)+L47/(B84-$B$10)/(1+B84)^$K$17+$B$7)/$B$6*$B$13</f>
        <v>227.785451181465</v>
      </c>
      <c r="C85" s="29" t="n">
        <f aca="false">(SUMPRODUCT(B47:K47/(1+C84)^$B$17:$K$17)+L47/(C84-$B$10)/(1+C84)^$K$17+$B$7)/$B$6*$B$13</f>
        <v>177.892886318443</v>
      </c>
      <c r="D85" s="29" t="n">
        <f aca="false">(SUMPRODUCT(B47:K47/(1+D84)^$B$17:$K$17)+L47/(D84-$B$10)/(1+D84)^$K$17+$B$7)/$B$6*$B$13</f>
        <v>144.720105363496</v>
      </c>
      <c r="E85" s="29" t="n">
        <f aca="false">(SUMPRODUCT(B47:K47/(1+E84)^$B$17:$K$17)+L47/(E84-$B$10)/(1+E84)^$K$17+$B$7)/$B$6*$B$13</f>
        <v>121.097189169916</v>
      </c>
      <c r="F85" s="29" t="n">
        <f aca="false">(SUMPRODUCT(B47:K47/(1+F84)^$B$17:$K$17)+L47/(F84-$B$10)/(1+F84)^$K$17+$B$7)/$B$6*$B$13</f>
        <v>103.439443845613</v>
      </c>
      <c r="G85" s="29" t="n">
        <f aca="false">(SUMPRODUCT(B47:K47/(1+G84)^$B$17:$K$17)+L47/(G84-$B$10)/(1+G84)^$K$17+$B$7)/$B$6*$B$13</f>
        <v>89.7555894013169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125</v>
      </c>
      <c r="B86" s="8" t="n">
        <f aca="false">B85/$B$4-1</f>
        <v>-0.0301224083221273</v>
      </c>
      <c r="C86" s="8" t="n">
        <f aca="false">C85/$B$4-1</f>
        <v>-0.242557752199427</v>
      </c>
      <c r="D86" s="8" t="n">
        <f aca="false">D85/$B$4-1</f>
        <v>-0.38380266812784</v>
      </c>
      <c r="E86" s="8" t="n">
        <f aca="false">E85/$B$4-1</f>
        <v>-0.4843856375291</v>
      </c>
      <c r="F86" s="8" t="n">
        <f aca="false">F85/$B$4-1</f>
        <v>-0.559569769881578</v>
      </c>
      <c r="G86" s="8" t="n">
        <f aca="false">G85/$B$4-1</f>
        <v>-0.617833648125194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4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3" t="s">
        <v>3</v>
      </c>
      <c r="B4" s="19" t="n">
        <v>355.48</v>
      </c>
      <c r="C4" s="4" t="s">
        <v>127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true" outlineLevel="0" collapsed="false">
      <c r="A5" s="3" t="s">
        <v>66</v>
      </c>
      <c r="B5" s="20" t="s">
        <v>128</v>
      </c>
      <c r="C5" s="4" t="s">
        <v>68</v>
      </c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3" t="s">
        <v>69</v>
      </c>
      <c r="B6" s="21" t="n">
        <v>0.0363</v>
      </c>
      <c r="C6" s="4" t="s">
        <v>129</v>
      </c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3" t="s">
        <v>71</v>
      </c>
      <c r="B7" s="22" t="n">
        <v>0.871</v>
      </c>
      <c r="C7" s="4" t="s">
        <v>130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3" t="s">
        <v>47</v>
      </c>
      <c r="B8" s="11" t="n">
        <v>0.08</v>
      </c>
      <c r="C8" s="4" t="s">
        <v>29</v>
      </c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3" t="s">
        <v>73</v>
      </c>
      <c r="B9" s="7" t="n">
        <f aca="false">WACC!C26</f>
        <v>0.1</v>
      </c>
      <c r="C9" s="4" t="s">
        <v>74</v>
      </c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 t="s">
        <v>75</v>
      </c>
      <c r="B10" s="17" t="n">
        <v>0.04</v>
      </c>
      <c r="C10" s="4" t="s">
        <v>29</v>
      </c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3" t="s">
        <v>76</v>
      </c>
      <c r="B11" s="11" t="n">
        <v>0.15</v>
      </c>
      <c r="C11" s="4" t="s">
        <v>29</v>
      </c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 t="s">
        <v>77</v>
      </c>
      <c r="B12" s="22" t="n">
        <v>4.641</v>
      </c>
      <c r="C12" s="4" t="s">
        <v>131</v>
      </c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 t="s">
        <v>79</v>
      </c>
      <c r="B13" s="23" t="n">
        <v>1</v>
      </c>
      <c r="C13" s="4" t="s">
        <v>80</v>
      </c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 t="s">
        <v>81</v>
      </c>
      <c r="B14" s="10" t="n">
        <v>2</v>
      </c>
      <c r="C14" s="4" t="s">
        <v>82</v>
      </c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9" t="s">
        <v>83</v>
      </c>
      <c r="B16" s="24" t="s">
        <v>84</v>
      </c>
      <c r="C16" s="24" t="s">
        <v>85</v>
      </c>
      <c r="D16" s="24" t="s">
        <v>86</v>
      </c>
      <c r="E16" s="24" t="s">
        <v>87</v>
      </c>
      <c r="F16" s="24" t="s">
        <v>88</v>
      </c>
      <c r="G16" s="24" t="s">
        <v>89</v>
      </c>
      <c r="H16" s="24" t="s">
        <v>90</v>
      </c>
      <c r="I16" s="24" t="s">
        <v>91</v>
      </c>
      <c r="J16" s="24" t="s">
        <v>92</v>
      </c>
      <c r="K16" s="24" t="s">
        <v>93</v>
      </c>
      <c r="L16" s="9" t="s">
        <v>94</v>
      </c>
    </row>
    <row r="17" customFormat="false" ht="15" hidden="false" customHeight="true" outlineLevel="0" collapsed="false">
      <c r="A17" s="3" t="s">
        <v>95</v>
      </c>
      <c r="B17" s="20" t="n">
        <v>0.5</v>
      </c>
      <c r="C17" s="3" t="n">
        <f aca="false">B17+1</f>
        <v>1.5</v>
      </c>
      <c r="D17" s="3" t="n">
        <f aca="false">C17+1</f>
        <v>2.5</v>
      </c>
      <c r="E17" s="3" t="n">
        <f aca="false">D17+1</f>
        <v>3.5</v>
      </c>
      <c r="F17" s="3" t="n">
        <f aca="false">E17+1</f>
        <v>4.5</v>
      </c>
      <c r="G17" s="3" t="n">
        <f aca="false">F17+1</f>
        <v>5.5</v>
      </c>
      <c r="H17" s="3" t="n">
        <f aca="false">G17+1</f>
        <v>6.5</v>
      </c>
      <c r="I17" s="3" t="n">
        <f aca="false">H17+1</f>
        <v>7.5</v>
      </c>
      <c r="J17" s="3" t="n">
        <f aca="false">I17+1</f>
        <v>8.5</v>
      </c>
      <c r="K17" s="3" t="n">
        <f aca="false">J17+1</f>
        <v>9.5</v>
      </c>
      <c r="L17" s="3"/>
    </row>
    <row r="18" customFormat="false" ht="15" hidden="false" customHeight="true" outlineLevel="0" collapsed="false">
      <c r="A18" s="3" t="s">
        <v>96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3</v>
      </c>
      <c r="J18" s="3" t="n">
        <v>4</v>
      </c>
      <c r="K18" s="3" t="n">
        <v>5</v>
      </c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12" t="s">
        <v>132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customFormat="false" ht="15" hidden="false" customHeight="true" outlineLevel="0" collapsed="false">
      <c r="A21" s="3" t="s">
        <v>98</v>
      </c>
      <c r="B21" s="22" t="n">
        <v>5.6</v>
      </c>
      <c r="C21" s="22" t="n">
        <v>4.8</v>
      </c>
      <c r="D21" s="22" t="n">
        <v>5</v>
      </c>
      <c r="E21" s="22" t="n">
        <v>5.5</v>
      </c>
      <c r="F21" s="22" t="n">
        <v>6</v>
      </c>
      <c r="G21" s="26" t="n">
        <f aca="false">F21*(1+$F22+($B$10-$F22)*G$18/5)</f>
        <v>6.48436363636364</v>
      </c>
      <c r="H21" s="26" t="n">
        <f aca="false">G21*(1+$F22+($B$10-$F22)*H$18/5)</f>
        <v>6.94180601652893</v>
      </c>
      <c r="I21" s="26" t="n">
        <f aca="false">H21*(1+$F22+($B$10-$F22)*I$18/5)</f>
        <v>7.36083867061758</v>
      </c>
      <c r="J21" s="26" t="n">
        <f aca="false">I21*(1+$F22+($B$10-$F22)*J$18/5)</f>
        <v>7.73021893845221</v>
      </c>
      <c r="K21" s="26" t="n">
        <f aca="false">J21*(1+$F22+($B$10-$F22)*K$18/5)</f>
        <v>8.0394276959903</v>
      </c>
      <c r="L21" s="26" t="n">
        <f aca="false">K21*(1+$B$10)</f>
        <v>8.36100480382991</v>
      </c>
    </row>
    <row r="22" customFormat="false" ht="15" hidden="false" customHeight="true" outlineLevel="0" collapsed="false">
      <c r="A22" s="3" t="s">
        <v>99</v>
      </c>
      <c r="B22" s="8" t="n">
        <f aca="false">B21/$B$12-1</f>
        <v>0.206636500754148</v>
      </c>
      <c r="C22" s="8" t="n">
        <f aca="false">C21/B21-1</f>
        <v>-0.142857142857143</v>
      </c>
      <c r="D22" s="8" t="n">
        <f aca="false">D21/C21-1</f>
        <v>0.0416666666666667</v>
      </c>
      <c r="E22" s="8" t="n">
        <f aca="false">E21/D21-1</f>
        <v>0.1</v>
      </c>
      <c r="F22" s="8" t="n">
        <f aca="false">F21/E21-1</f>
        <v>0.0909090909090908</v>
      </c>
      <c r="G22" s="8" t="n">
        <f aca="false">G21/F21-1</f>
        <v>0.0807272727272728</v>
      </c>
      <c r="H22" s="8" t="n">
        <f aca="false">H21/G21-1</f>
        <v>0.0705454545454545</v>
      </c>
      <c r="I22" s="8" t="n">
        <f aca="false">I21/H21-1</f>
        <v>0.0603636363636364</v>
      </c>
      <c r="J22" s="8" t="n">
        <f aca="false">J21/I21-1</f>
        <v>0.0501818181818181</v>
      </c>
      <c r="K22" s="8" t="n">
        <f aca="false">K21/J21-1</f>
        <v>0.04</v>
      </c>
      <c r="L22" s="8" t="n">
        <f aca="false">L21/K21-1</f>
        <v>0.04</v>
      </c>
    </row>
    <row r="23" customFormat="false" ht="15" hidden="false" customHeight="true" outlineLevel="0" collapsed="false">
      <c r="A23" s="3" t="s">
        <v>100</v>
      </c>
      <c r="B23" s="11" t="n">
        <v>0.1</v>
      </c>
      <c r="C23" s="11" t="n">
        <v>0.085</v>
      </c>
      <c r="D23" s="11" t="n">
        <v>0.09</v>
      </c>
      <c r="E23" s="11" t="n">
        <v>0.095</v>
      </c>
      <c r="F23" s="11" t="n">
        <v>0.095</v>
      </c>
      <c r="G23" s="8" t="n">
        <f aca="false">$F23+($L23-$F23)*G$18/5</f>
        <v>0.094</v>
      </c>
      <c r="H23" s="8" t="n">
        <f aca="false">$F23+($L23-$F23)*H$18/5</f>
        <v>0.093</v>
      </c>
      <c r="I23" s="8" t="n">
        <f aca="false">$F23+($L23-$F23)*I$18/5</f>
        <v>0.092</v>
      </c>
      <c r="J23" s="8" t="n">
        <f aca="false">$F23+($L23-$F23)*J$18/5</f>
        <v>0.091</v>
      </c>
      <c r="K23" s="8" t="n">
        <f aca="false">$F23+($L23-$F23)*K$18/5</f>
        <v>0.09</v>
      </c>
      <c r="L23" s="17" t="n">
        <v>0.09</v>
      </c>
    </row>
    <row r="24" customFormat="false" ht="15" hidden="false" customHeight="true" outlineLevel="0" collapsed="false">
      <c r="A24" s="3" t="s">
        <v>101</v>
      </c>
      <c r="B24" s="26" t="n">
        <f aca="false">B21*B23</f>
        <v>0.56</v>
      </c>
      <c r="C24" s="26" t="n">
        <f aca="false">C21*C23</f>
        <v>0.408</v>
      </c>
      <c r="D24" s="26" t="n">
        <f aca="false">D21*D23</f>
        <v>0.45</v>
      </c>
      <c r="E24" s="26" t="n">
        <f aca="false">E21*E23</f>
        <v>0.5225</v>
      </c>
      <c r="F24" s="26" t="n">
        <f aca="false">F21*F23</f>
        <v>0.57</v>
      </c>
      <c r="G24" s="26" t="n">
        <f aca="false">G21*G23</f>
        <v>0.609530181818182</v>
      </c>
      <c r="H24" s="26" t="n">
        <f aca="false">H21*H23</f>
        <v>0.64558795953719</v>
      </c>
      <c r="I24" s="26" t="n">
        <f aca="false">I21*I23</f>
        <v>0.677197157696817</v>
      </c>
      <c r="J24" s="26" t="n">
        <f aca="false">J21*J23</f>
        <v>0.703449923399151</v>
      </c>
      <c r="K24" s="26" t="n">
        <f aca="false">K21*K23</f>
        <v>0.723548492639127</v>
      </c>
      <c r="L24" s="26" t="n">
        <f aca="false">L21*L23</f>
        <v>0.752490432344692</v>
      </c>
    </row>
    <row r="25" customFormat="false" ht="15" hidden="false" customHeight="true" outlineLevel="0" collapsed="false">
      <c r="A25" s="3" t="s">
        <v>102</v>
      </c>
      <c r="B25" s="26" t="n">
        <f aca="false">B24*(1-$B$8)</f>
        <v>0.5152</v>
      </c>
      <c r="C25" s="26" t="n">
        <f aca="false">C24*(1-$B$8)</f>
        <v>0.37536</v>
      </c>
      <c r="D25" s="26" t="n">
        <f aca="false">D24*(1-$B$8)</f>
        <v>0.414</v>
      </c>
      <c r="E25" s="26" t="n">
        <f aca="false">E24*(1-$B$8)</f>
        <v>0.4807</v>
      </c>
      <c r="F25" s="26" t="n">
        <f aca="false">F24*(1-$B$8)</f>
        <v>0.5244</v>
      </c>
      <c r="G25" s="26" t="n">
        <f aca="false">G24*(1-$B$8)</f>
        <v>0.560767767272727</v>
      </c>
      <c r="H25" s="26" t="n">
        <f aca="false">H24*(1-$B$8)</f>
        <v>0.593940922774215</v>
      </c>
      <c r="I25" s="26" t="n">
        <f aca="false">I24*(1-$B$8)</f>
        <v>0.623021385081072</v>
      </c>
      <c r="J25" s="26" t="n">
        <f aca="false">J24*(1-$B$8)</f>
        <v>0.647173929527219</v>
      </c>
      <c r="K25" s="26" t="n">
        <f aca="false">K24*(1-$B$8)</f>
        <v>0.665664613227997</v>
      </c>
      <c r="L25" s="26" t="n">
        <f aca="false">L24*(1-$B$8)</f>
        <v>0.692291197757116</v>
      </c>
    </row>
    <row r="26" customFormat="false" ht="15" hidden="false" customHeight="true" outlineLevel="0" collapsed="false">
      <c r="A26" s="3" t="s">
        <v>103</v>
      </c>
      <c r="B26" s="11" t="n">
        <v>0.05</v>
      </c>
      <c r="C26" s="11" t="n">
        <v>0.025</v>
      </c>
      <c r="D26" s="11" t="n">
        <v>0.02</v>
      </c>
      <c r="E26" s="11" t="n">
        <v>0.02</v>
      </c>
      <c r="F26" s="11" t="n">
        <v>0.02</v>
      </c>
      <c r="G26" s="8" t="n">
        <f aca="false">$F26+($L26-$F26)*G$18/5</f>
        <v>0.02</v>
      </c>
      <c r="H26" s="8" t="n">
        <f aca="false">$F26+($L26-$F26)*H$18/5</f>
        <v>0.02</v>
      </c>
      <c r="I26" s="8" t="n">
        <f aca="false">$F26+($L26-$F26)*I$18/5</f>
        <v>0.02</v>
      </c>
      <c r="J26" s="8" t="n">
        <f aca="false">$F26+($L26-$F26)*J$18/5</f>
        <v>0.02</v>
      </c>
      <c r="K26" s="8" t="n">
        <f aca="false">$F26+($L26-$F26)*K$18/5</f>
        <v>0.02</v>
      </c>
      <c r="L26" s="11" t="n">
        <v>0.02</v>
      </c>
    </row>
    <row r="27" customFormat="false" ht="15" hidden="false" customHeight="true" outlineLevel="0" collapsed="false">
      <c r="A27" s="3" t="s">
        <v>104</v>
      </c>
      <c r="B27" s="26" t="n">
        <f aca="false">B21*B26</f>
        <v>0.28</v>
      </c>
      <c r="C27" s="26" t="n">
        <f aca="false">C21*C26</f>
        <v>0.12</v>
      </c>
      <c r="D27" s="26" t="n">
        <f aca="false">D21*D26</f>
        <v>0.1</v>
      </c>
      <c r="E27" s="26" t="n">
        <f aca="false">E21*E26</f>
        <v>0.11</v>
      </c>
      <c r="F27" s="26" t="n">
        <f aca="false">F21*F26</f>
        <v>0.12</v>
      </c>
      <c r="G27" s="26" t="n">
        <f aca="false">G21*G26</f>
        <v>0.129687272727273</v>
      </c>
      <c r="H27" s="26" t="n">
        <f aca="false">H21*H26</f>
        <v>0.138836120330579</v>
      </c>
      <c r="I27" s="26" t="n">
        <f aca="false">I21*I26</f>
        <v>0.147216773412352</v>
      </c>
      <c r="J27" s="26" t="n">
        <f aca="false">J21*J26</f>
        <v>0.154604378769044</v>
      </c>
      <c r="K27" s="26" t="n">
        <f aca="false">K21*K26</f>
        <v>0.160788553919806</v>
      </c>
      <c r="L27" s="26" t="n">
        <f aca="false">L21*L26</f>
        <v>0.167220096076598</v>
      </c>
    </row>
    <row r="28" customFormat="false" ht="15" hidden="false" customHeight="true" outlineLevel="0" collapsed="false">
      <c r="A28" s="3" t="s">
        <v>105</v>
      </c>
      <c r="B28" s="26" t="n">
        <f aca="false">$B$11*(B21-$B$12)</f>
        <v>0.14385</v>
      </c>
      <c r="C28" s="26" t="n">
        <f aca="false">$B$11*(C21-B21)</f>
        <v>-0.12</v>
      </c>
      <c r="D28" s="26" t="n">
        <f aca="false">$B$11*(D21-C21)</f>
        <v>0.03</v>
      </c>
      <c r="E28" s="26" t="n">
        <f aca="false">$B$11*(E21-D21)</f>
        <v>0.075</v>
      </c>
      <c r="F28" s="26" t="n">
        <f aca="false">$B$11*(F21-E21)</f>
        <v>0.075</v>
      </c>
      <c r="G28" s="26" t="n">
        <f aca="false">$B$11*(G21-F21)</f>
        <v>0.0726545454545455</v>
      </c>
      <c r="H28" s="26" t="n">
        <f aca="false">$B$11*(H21-G21)</f>
        <v>0.0686163570247933</v>
      </c>
      <c r="I28" s="26" t="n">
        <f aca="false">$B$11*(I21-H21)</f>
        <v>0.0628548981132984</v>
      </c>
      <c r="J28" s="26" t="n">
        <f aca="false">$B$11*(J21-I21)</f>
        <v>0.055407040175194</v>
      </c>
      <c r="K28" s="26" t="n">
        <f aca="false">$B$11*(K21-J21)</f>
        <v>0.0463813136307132</v>
      </c>
      <c r="L28" s="26" t="n">
        <f aca="false">$B$11*(L21-K21)</f>
        <v>0.0482365661759419</v>
      </c>
    </row>
    <row r="29" customFormat="false" ht="15" hidden="false" customHeight="true" outlineLevel="0" collapsed="false">
      <c r="A29" s="3" t="s">
        <v>106</v>
      </c>
      <c r="B29" s="26" t="n">
        <f aca="false">B25-B27-B28</f>
        <v>0.0913500000000001</v>
      </c>
      <c r="C29" s="26" t="n">
        <f aca="false">C25-C27-C28</f>
        <v>0.37536</v>
      </c>
      <c r="D29" s="26" t="n">
        <f aca="false">D25-D27-D28</f>
        <v>0.284</v>
      </c>
      <c r="E29" s="26" t="n">
        <f aca="false">E25-E27-E28</f>
        <v>0.2957</v>
      </c>
      <c r="F29" s="26" t="n">
        <f aca="false">F25-F27-F28</f>
        <v>0.3294</v>
      </c>
      <c r="G29" s="26" t="n">
        <f aca="false">G25-G27-G28</f>
        <v>0.358425949090909</v>
      </c>
      <c r="H29" s="26" t="n">
        <f aca="false">H25-H27-H28</f>
        <v>0.386488445418843</v>
      </c>
      <c r="I29" s="26" t="n">
        <f aca="false">I25-I27-I28</f>
        <v>0.412949713555422</v>
      </c>
      <c r="J29" s="26" t="n">
        <f aca="false">J25-J27-J28</f>
        <v>0.437162510582981</v>
      </c>
      <c r="K29" s="26" t="n">
        <f aca="false">K25-K27-K28</f>
        <v>0.458494745677477</v>
      </c>
      <c r="L29" s="26" t="n">
        <f aca="false">L25-L27-L28</f>
        <v>0.476834535504576</v>
      </c>
    </row>
    <row r="30" customFormat="false" ht="15" hidden="false" customHeight="true" outlineLevel="0" collapsed="false">
      <c r="A30" s="3" t="s">
        <v>107</v>
      </c>
      <c r="B30" s="27" t="n">
        <f aca="false">1/(1+$B$9)^B$17</f>
        <v>0.953462589245592</v>
      </c>
      <c r="C30" s="27" t="n">
        <f aca="false">1/(1+$B$9)^C$17</f>
        <v>0.866784172041447</v>
      </c>
      <c r="D30" s="27" t="n">
        <f aca="false">1/(1+$B$9)^D$17</f>
        <v>0.78798561094677</v>
      </c>
      <c r="E30" s="27" t="n">
        <f aca="false">1/(1+$B$9)^E$17</f>
        <v>0.716350555406155</v>
      </c>
      <c r="F30" s="27" t="n">
        <f aca="false">1/(1+$B$9)^F$17</f>
        <v>0.651227777641959</v>
      </c>
      <c r="G30" s="27" t="n">
        <f aca="false">1/(1+$B$9)^G$17</f>
        <v>0.592025252401781</v>
      </c>
      <c r="H30" s="27" t="n">
        <f aca="false">1/(1+$B$9)^H$17</f>
        <v>0.53820477491071</v>
      </c>
      <c r="I30" s="27" t="n">
        <f aca="false">1/(1+$B$9)^I$17</f>
        <v>0.489277068100645</v>
      </c>
      <c r="J30" s="27" t="n">
        <f aca="false">1/(1+$B$9)^J$17</f>
        <v>0.44479733463695</v>
      </c>
      <c r="K30" s="27" t="n">
        <f aca="false">1/(1+$B$9)^K$17</f>
        <v>0.404361213306318</v>
      </c>
      <c r="L30" s="3"/>
    </row>
    <row r="31" customFormat="false" ht="15" hidden="false" customHeight="true" outlineLevel="0" collapsed="false">
      <c r="A31" s="3" t="s">
        <v>108</v>
      </c>
      <c r="B31" s="26" t="n">
        <f aca="false">B29*B30</f>
        <v>0.0870988075275849</v>
      </c>
      <c r="C31" s="26" t="n">
        <f aca="false">C29*C30</f>
        <v>0.325356106817478</v>
      </c>
      <c r="D31" s="26" t="n">
        <f aca="false">D29*D30</f>
        <v>0.223787913508883</v>
      </c>
      <c r="E31" s="26" t="n">
        <f aca="false">E29*E30</f>
        <v>0.2118248592336</v>
      </c>
      <c r="F31" s="26" t="n">
        <f aca="false">F29*F30</f>
        <v>0.214514429955261</v>
      </c>
      <c r="G31" s="26" t="n">
        <f aca="false">G29*G30</f>
        <v>0.212197212977893</v>
      </c>
      <c r="H31" s="26" t="n">
        <f aca="false">H29*H30</f>
        <v>0.208009926772239</v>
      </c>
      <c r="I31" s="26" t="n">
        <f aca="false">I29*I30</f>
        <v>0.202046825121398</v>
      </c>
      <c r="J31" s="26" t="n">
        <f aca="false">J29*J30</f>
        <v>0.194448719510507</v>
      </c>
      <c r="K31" s="26" t="n">
        <f aca="false">K29*K30</f>
        <v>0.185397491656717</v>
      </c>
      <c r="L31" s="26"/>
    </row>
    <row r="32" customFormat="false" ht="15" hidden="false" customHeight="true" outlineLevel="0" collapsed="false">
      <c r="A32" s="3" t="s">
        <v>109</v>
      </c>
      <c r="B32" s="26" t="n">
        <f aca="false">L29/($B$9-$B$10)</f>
        <v>7.94724225840961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s">
        <v>110</v>
      </c>
      <c r="B33" s="26" t="n">
        <f aca="false">B32/(1+$B$9)^$K$17</f>
        <v>3.21355652204975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s">
        <v>111</v>
      </c>
      <c r="B34" s="26" t="n">
        <f aca="false">SUM(B31:K31)+B33+$B$7</f>
        <v>6.14923881513131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s">
        <v>112</v>
      </c>
      <c r="B35" s="28" t="n">
        <f aca="false">B34/$B$6*$B$13</f>
        <v>169.400518323177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s">
        <v>113</v>
      </c>
      <c r="B36" s="8" t="n">
        <f aca="false">B35/$B$4-1</f>
        <v>-0.523459777418767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12" t="s">
        <v>133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Format="false" ht="15" hidden="false" customHeight="true" outlineLevel="0" collapsed="false">
      <c r="A39" s="3" t="s">
        <v>98</v>
      </c>
      <c r="B39" s="22" t="n">
        <v>6.2</v>
      </c>
      <c r="C39" s="22" t="n">
        <v>7.8</v>
      </c>
      <c r="D39" s="22" t="n">
        <v>8.2</v>
      </c>
      <c r="E39" s="22" t="n">
        <v>9.2</v>
      </c>
      <c r="F39" s="22" t="n">
        <v>10.2</v>
      </c>
      <c r="G39" s="26" t="n">
        <f aca="false">F39*(1+$F40+($B$10-$F40)*G$18/5)</f>
        <v>11.1685565217391</v>
      </c>
      <c r="H39" s="26" t="n">
        <f aca="false">G39*(1+$F40+($B$10-$F40)*H$18/5)</f>
        <v>12.0756375470699</v>
      </c>
      <c r="I39" s="26" t="n">
        <f aca="false">H39*(1+$F40+($B$10-$F40)*I$18/5)</f>
        <v>12.8904805676374</v>
      </c>
      <c r="J39" s="26" t="n">
        <f aca="false">I39*(1+$F40+($B$10-$F40)*J$18/5)</f>
        <v>13.5832037842287</v>
      </c>
      <c r="K39" s="26" t="n">
        <f aca="false">J39*(1+$F40+($B$10-$F40)*K$18/5)</f>
        <v>14.1265319355979</v>
      </c>
      <c r="L39" s="26" t="n">
        <f aca="false">K39*(1+$B$10)</f>
        <v>14.6915932130218</v>
      </c>
    </row>
    <row r="40" customFormat="false" ht="15" hidden="false" customHeight="true" outlineLevel="0" collapsed="false">
      <c r="A40" s="3" t="s">
        <v>99</v>
      </c>
      <c r="B40" s="8" t="n">
        <f aca="false">B39/$B$12-1</f>
        <v>0.335918982977807</v>
      </c>
      <c r="C40" s="8" t="n">
        <f aca="false">C39/B39-1</f>
        <v>0.258064516129032</v>
      </c>
      <c r="D40" s="8" t="n">
        <f aca="false">D39/C39-1</f>
        <v>0.0512820512820513</v>
      </c>
      <c r="E40" s="8" t="n">
        <f aca="false">E39/D39-1</f>
        <v>0.121951219512195</v>
      </c>
      <c r="F40" s="8" t="n">
        <f aca="false">F39/E39-1</f>
        <v>0.108695652173913</v>
      </c>
      <c r="G40" s="8" t="n">
        <f aca="false">G39/F39-1</f>
        <v>0.0949565217391304</v>
      </c>
      <c r="H40" s="8" t="n">
        <f aca="false">H39/G39-1</f>
        <v>0.0812173913043479</v>
      </c>
      <c r="I40" s="8" t="n">
        <f aca="false">I39/H39-1</f>
        <v>0.0674782608695652</v>
      </c>
      <c r="J40" s="8" t="n">
        <f aca="false">J39/I39-1</f>
        <v>0.0537391304347827</v>
      </c>
      <c r="K40" s="8" t="n">
        <f aca="false">K39/J39-1</f>
        <v>0.04</v>
      </c>
      <c r="L40" s="8" t="n">
        <f aca="false">L39/K39-1</f>
        <v>0.04</v>
      </c>
    </row>
    <row r="41" customFormat="false" ht="15" hidden="false" customHeight="true" outlineLevel="0" collapsed="false">
      <c r="A41" s="3" t="s">
        <v>100</v>
      </c>
      <c r="B41" s="11" t="n">
        <v>0.105</v>
      </c>
      <c r="C41" s="11" t="n">
        <v>0.105</v>
      </c>
      <c r="D41" s="11" t="n">
        <v>0.1</v>
      </c>
      <c r="E41" s="11" t="n">
        <v>0.1</v>
      </c>
      <c r="F41" s="11" t="n">
        <v>0.1</v>
      </c>
      <c r="G41" s="8" t="n">
        <f aca="false">$F41+($L41-$F41)*G$18/5</f>
        <v>0.099</v>
      </c>
      <c r="H41" s="8" t="n">
        <f aca="false">$F41+($L41-$F41)*H$18/5</f>
        <v>0.098</v>
      </c>
      <c r="I41" s="8" t="n">
        <f aca="false">$F41+($L41-$F41)*I$18/5</f>
        <v>0.097</v>
      </c>
      <c r="J41" s="8" t="n">
        <f aca="false">$F41+($L41-$F41)*J$18/5</f>
        <v>0.096</v>
      </c>
      <c r="K41" s="8" t="n">
        <f aca="false">$F41+($L41-$F41)*K$18/5</f>
        <v>0.095</v>
      </c>
      <c r="L41" s="17" t="n">
        <v>0.095</v>
      </c>
    </row>
    <row r="42" customFormat="false" ht="15" hidden="false" customHeight="true" outlineLevel="0" collapsed="false">
      <c r="A42" s="3" t="s">
        <v>101</v>
      </c>
      <c r="B42" s="26" t="n">
        <f aca="false">B39*B41</f>
        <v>0.651</v>
      </c>
      <c r="C42" s="26" t="n">
        <f aca="false">C39*C41</f>
        <v>0.819</v>
      </c>
      <c r="D42" s="26" t="n">
        <f aca="false">D39*D41</f>
        <v>0.82</v>
      </c>
      <c r="E42" s="26" t="n">
        <f aca="false">E39*E41</f>
        <v>0.92</v>
      </c>
      <c r="F42" s="26" t="n">
        <f aca="false">F39*F41</f>
        <v>1.02</v>
      </c>
      <c r="G42" s="26" t="n">
        <f aca="false">G39*G41</f>
        <v>1.10568709565217</v>
      </c>
      <c r="H42" s="26" t="n">
        <f aca="false">H39*H41</f>
        <v>1.18341247961285</v>
      </c>
      <c r="I42" s="26" t="n">
        <f aca="false">I39*I41</f>
        <v>1.25037661506083</v>
      </c>
      <c r="J42" s="26" t="n">
        <f aca="false">J39*J41</f>
        <v>1.30398756328596</v>
      </c>
      <c r="K42" s="26" t="n">
        <f aca="false">K39*K41</f>
        <v>1.3420205338818</v>
      </c>
      <c r="L42" s="26" t="n">
        <f aca="false">L39*L41</f>
        <v>1.39570135523707</v>
      </c>
    </row>
    <row r="43" customFormat="false" ht="15" hidden="false" customHeight="true" outlineLevel="0" collapsed="false">
      <c r="A43" s="3" t="s">
        <v>102</v>
      </c>
      <c r="B43" s="26" t="n">
        <f aca="false">B42*(1-$B$8)</f>
        <v>0.59892</v>
      </c>
      <c r="C43" s="26" t="n">
        <f aca="false">C42*(1-$B$8)</f>
        <v>0.75348</v>
      </c>
      <c r="D43" s="26" t="n">
        <f aca="false">D42*(1-$B$8)</f>
        <v>0.7544</v>
      </c>
      <c r="E43" s="26" t="n">
        <f aca="false">E42*(1-$B$8)</f>
        <v>0.8464</v>
      </c>
      <c r="F43" s="26" t="n">
        <f aca="false">F42*(1-$B$8)</f>
        <v>0.9384</v>
      </c>
      <c r="G43" s="26" t="n">
        <f aca="false">G42*(1-$B$8)</f>
        <v>1.017232128</v>
      </c>
      <c r="H43" s="26" t="n">
        <f aca="false">H42*(1-$B$8)</f>
        <v>1.08873948124383</v>
      </c>
      <c r="I43" s="26" t="n">
        <f aca="false">I42*(1-$B$8)</f>
        <v>1.15034648585597</v>
      </c>
      <c r="J43" s="26" t="n">
        <f aca="false">J42*(1-$B$8)</f>
        <v>1.19966855822308</v>
      </c>
      <c r="K43" s="26" t="n">
        <f aca="false">K42*(1-$B$8)</f>
        <v>1.23465889117126</v>
      </c>
      <c r="L43" s="26" t="n">
        <f aca="false">L42*(1-$B$8)</f>
        <v>1.28404524681811</v>
      </c>
    </row>
    <row r="44" customFormat="false" ht="15" hidden="false" customHeight="true" outlineLevel="0" collapsed="false">
      <c r="A44" s="3" t="s">
        <v>103</v>
      </c>
      <c r="B44" s="11" t="n">
        <v>0.05</v>
      </c>
      <c r="C44" s="11" t="n">
        <v>0.03</v>
      </c>
      <c r="D44" s="11" t="n">
        <v>0.025</v>
      </c>
      <c r="E44" s="11" t="n">
        <v>0.025</v>
      </c>
      <c r="F44" s="11" t="n">
        <v>0.025</v>
      </c>
      <c r="G44" s="8" t="n">
        <f aca="false">$F44+($L44-$F44)*G$18/5</f>
        <v>0.024</v>
      </c>
      <c r="H44" s="8" t="n">
        <f aca="false">$F44+($L44-$F44)*H$18/5</f>
        <v>0.023</v>
      </c>
      <c r="I44" s="8" t="n">
        <f aca="false">$F44+($L44-$F44)*I$18/5</f>
        <v>0.022</v>
      </c>
      <c r="J44" s="8" t="n">
        <f aca="false">$F44+($L44-$F44)*J$18/5</f>
        <v>0.021</v>
      </c>
      <c r="K44" s="8" t="n">
        <f aca="false">$F44+($L44-$F44)*K$18/5</f>
        <v>0.02</v>
      </c>
      <c r="L44" s="11" t="n">
        <v>0.02</v>
      </c>
    </row>
    <row r="45" customFormat="false" ht="15" hidden="false" customHeight="true" outlineLevel="0" collapsed="false">
      <c r="A45" s="3" t="s">
        <v>104</v>
      </c>
      <c r="B45" s="26" t="n">
        <f aca="false">B39*B44</f>
        <v>0.31</v>
      </c>
      <c r="C45" s="26" t="n">
        <f aca="false">C39*C44</f>
        <v>0.234</v>
      </c>
      <c r="D45" s="26" t="n">
        <f aca="false">D39*D44</f>
        <v>0.205</v>
      </c>
      <c r="E45" s="26" t="n">
        <f aca="false">E39*E44</f>
        <v>0.23</v>
      </c>
      <c r="F45" s="26" t="n">
        <f aca="false">F39*F44</f>
        <v>0.255</v>
      </c>
      <c r="G45" s="26" t="n">
        <f aca="false">G39*G44</f>
        <v>0.268045356521739</v>
      </c>
      <c r="H45" s="26" t="n">
        <f aca="false">H39*H44</f>
        <v>0.277739663582609</v>
      </c>
      <c r="I45" s="26" t="n">
        <f aca="false">I39*I44</f>
        <v>0.283590572488024</v>
      </c>
      <c r="J45" s="26" t="n">
        <f aca="false">J39*J44</f>
        <v>0.285247279468804</v>
      </c>
      <c r="K45" s="26" t="n">
        <f aca="false">K39*K44</f>
        <v>0.282530638711958</v>
      </c>
      <c r="L45" s="26" t="n">
        <f aca="false">L39*L44</f>
        <v>0.293831864260436</v>
      </c>
    </row>
    <row r="46" customFormat="false" ht="15" hidden="false" customHeight="true" outlineLevel="0" collapsed="false">
      <c r="A46" s="3" t="s">
        <v>105</v>
      </c>
      <c r="B46" s="26" t="n">
        <f aca="false">$B$11*(B39-$B$12)</f>
        <v>0.23385</v>
      </c>
      <c r="C46" s="26" t="n">
        <f aca="false">$B$11*(C39-B39)</f>
        <v>0.24</v>
      </c>
      <c r="D46" s="26" t="n">
        <f aca="false">$B$11*(D39-C39)</f>
        <v>0.0599999999999999</v>
      </c>
      <c r="E46" s="26" t="n">
        <f aca="false">$B$11*(E39-D39)</f>
        <v>0.15</v>
      </c>
      <c r="F46" s="26" t="n">
        <f aca="false">$B$11*(F39-E39)</f>
        <v>0.15</v>
      </c>
      <c r="G46" s="26" t="n">
        <f aca="false">$B$11*(G39-F39)</f>
        <v>0.145283478260869</v>
      </c>
      <c r="H46" s="26" t="n">
        <f aca="false">$B$11*(H39-G39)</f>
        <v>0.136062153799622</v>
      </c>
      <c r="I46" s="26" t="n">
        <f aca="false">$B$11*(I39-H39)</f>
        <v>0.122226453085125</v>
      </c>
      <c r="J46" s="26" t="n">
        <f aca="false">$B$11*(J39-I39)</f>
        <v>0.103908482488695</v>
      </c>
      <c r="K46" s="26" t="n">
        <f aca="false">$B$11*(K39-J39)</f>
        <v>0.0814992227053726</v>
      </c>
      <c r="L46" s="26" t="n">
        <f aca="false">$B$11*(L39-K39)</f>
        <v>0.0847591916135875</v>
      </c>
    </row>
    <row r="47" customFormat="false" ht="15" hidden="false" customHeight="true" outlineLevel="0" collapsed="false">
      <c r="A47" s="3" t="s">
        <v>106</v>
      </c>
      <c r="B47" s="26" t="n">
        <f aca="false">B43-B45-B46</f>
        <v>0.05507</v>
      </c>
      <c r="C47" s="26" t="n">
        <f aca="false">C43-C45-C46</f>
        <v>0.27948</v>
      </c>
      <c r="D47" s="26" t="n">
        <f aca="false">D43-D45-D46</f>
        <v>0.4894</v>
      </c>
      <c r="E47" s="26" t="n">
        <f aca="false">E43-E45-E46</f>
        <v>0.4664</v>
      </c>
      <c r="F47" s="26" t="n">
        <f aca="false">F43-F45-F46</f>
        <v>0.5334</v>
      </c>
      <c r="G47" s="26" t="n">
        <f aca="false">G43-G45-G46</f>
        <v>0.603903293217392</v>
      </c>
      <c r="H47" s="26" t="n">
        <f aca="false">H43-H45-H46</f>
        <v>0.674937663861596</v>
      </c>
      <c r="I47" s="26" t="n">
        <f aca="false">I43-I45-I46</f>
        <v>0.744529460282817</v>
      </c>
      <c r="J47" s="26" t="n">
        <f aca="false">J43-J45-J46</f>
        <v>0.810512796265584</v>
      </c>
      <c r="K47" s="26" t="n">
        <f aca="false">K43-K45-K46</f>
        <v>0.870629029753925</v>
      </c>
      <c r="L47" s="26" t="n">
        <f aca="false">L43-L45-L46</f>
        <v>0.905454190944083</v>
      </c>
    </row>
    <row r="48" customFormat="false" ht="15" hidden="false" customHeight="true" outlineLevel="0" collapsed="false">
      <c r="A48" s="3" t="s">
        <v>107</v>
      </c>
      <c r="B48" s="27" t="n">
        <f aca="false">1/(1+$B$9)^B$17</f>
        <v>0.953462589245592</v>
      </c>
      <c r="C48" s="27" t="n">
        <f aca="false">1/(1+$B$9)^C$17</f>
        <v>0.866784172041447</v>
      </c>
      <c r="D48" s="27" t="n">
        <f aca="false">1/(1+$B$9)^D$17</f>
        <v>0.78798561094677</v>
      </c>
      <c r="E48" s="27" t="n">
        <f aca="false">1/(1+$B$9)^E$17</f>
        <v>0.716350555406155</v>
      </c>
      <c r="F48" s="27" t="n">
        <f aca="false">1/(1+$B$9)^F$17</f>
        <v>0.651227777641959</v>
      </c>
      <c r="G48" s="27" t="n">
        <f aca="false">1/(1+$B$9)^G$17</f>
        <v>0.592025252401781</v>
      </c>
      <c r="H48" s="27" t="n">
        <f aca="false">1/(1+$B$9)^H$17</f>
        <v>0.53820477491071</v>
      </c>
      <c r="I48" s="27" t="n">
        <f aca="false">1/(1+$B$9)^I$17</f>
        <v>0.489277068100645</v>
      </c>
      <c r="J48" s="27" t="n">
        <f aca="false">1/(1+$B$9)^J$17</f>
        <v>0.44479733463695</v>
      </c>
      <c r="K48" s="27" t="n">
        <f aca="false">1/(1+$B$9)^K$17</f>
        <v>0.404361213306318</v>
      </c>
      <c r="L48" s="3"/>
    </row>
    <row r="49" customFormat="false" ht="15" hidden="false" customHeight="true" outlineLevel="0" collapsed="false">
      <c r="A49" s="3" t="s">
        <v>108</v>
      </c>
      <c r="B49" s="26" t="n">
        <f aca="false">B47*B48</f>
        <v>0.0525071847897547</v>
      </c>
      <c r="C49" s="26" t="n">
        <f aca="false">C47*C48</f>
        <v>0.242248840402144</v>
      </c>
      <c r="D49" s="26" t="n">
        <f aca="false">D47*D48</f>
        <v>0.385640157997349</v>
      </c>
      <c r="E49" s="26" t="n">
        <f aca="false">E47*E48</f>
        <v>0.334105899041431</v>
      </c>
      <c r="F49" s="26" t="n">
        <f aca="false">F47*F48</f>
        <v>0.347364896594221</v>
      </c>
      <c r="G49" s="26" t="n">
        <f aca="false">G47*G48</f>
        <v>0.357525999593293</v>
      </c>
      <c r="H49" s="26" t="n">
        <f aca="false">H47*H48</f>
        <v>0.36325467345739</v>
      </c>
      <c r="I49" s="26" t="n">
        <f aca="false">I47*I48</f>
        <v>0.364281191441732</v>
      </c>
      <c r="J49" s="26" t="n">
        <f aca="false">J47*J48</f>
        <v>0.360513931468073</v>
      </c>
      <c r="K49" s="26" t="n">
        <f aca="false">K47*K48</f>
        <v>0.352048610811</v>
      </c>
      <c r="L49" s="26"/>
    </row>
    <row r="50" customFormat="false" ht="15" hidden="false" customHeight="true" outlineLevel="0" collapsed="false">
      <c r="A50" s="3" t="s">
        <v>109</v>
      </c>
      <c r="B50" s="26" t="n">
        <f aca="false">L47/($B$9-$B$10)</f>
        <v>15.0909031824014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 t="s">
        <v>110</v>
      </c>
      <c r="B51" s="26" t="n">
        <f aca="false">B50/(1+$B$9)^$K$17</f>
        <v>6.102175920724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 t="s">
        <v>111</v>
      </c>
      <c r="B52" s="26" t="n">
        <f aca="false">SUM(B49:K49)+B51+$B$7</f>
        <v>10.1326673063204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 t="s">
        <v>112</v>
      </c>
      <c r="B53" s="28" t="n">
        <f aca="false">B52/$B$6*$B$13</f>
        <v>279.136840394501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 t="s">
        <v>113</v>
      </c>
      <c r="B54" s="8" t="n">
        <f aca="false">B53/$B$4-1</f>
        <v>-0.21476077305474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12" t="s">
        <v>134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" hidden="false" customHeight="true" outlineLevel="0" collapsed="false">
      <c r="A57" s="3" t="s">
        <v>98</v>
      </c>
      <c r="B57" s="22" t="n">
        <v>6.6</v>
      </c>
      <c r="C57" s="22" t="n">
        <v>9</v>
      </c>
      <c r="D57" s="22" t="n">
        <v>11</v>
      </c>
      <c r="E57" s="22" t="n">
        <v>12.5</v>
      </c>
      <c r="F57" s="22" t="n">
        <v>13.5</v>
      </c>
      <c r="G57" s="26" t="n">
        <f aca="false">F57*(1+$F58+($B$10-$F58)*G$18/5)</f>
        <v>14.472</v>
      </c>
      <c r="H57" s="26" t="n">
        <f aca="false">G57*(1+$F58+($B$10-$F58)*H$18/5)</f>
        <v>15.398208</v>
      </c>
      <c r="I57" s="26" t="n">
        <f aca="false">H57*(1+$F58+($B$10-$F58)*I$18/5)</f>
        <v>16.260507648</v>
      </c>
      <c r="J57" s="26" t="n">
        <f aca="false">I57*(1+$F58+($B$10-$F58)*J$18/5)</f>
        <v>17.041012015104</v>
      </c>
      <c r="K57" s="26" t="n">
        <f aca="false">J57*(1+$F58+($B$10-$F58)*K$18/5)</f>
        <v>17.7226524957082</v>
      </c>
      <c r="L57" s="26" t="n">
        <f aca="false">K57*(1+$B$10)</f>
        <v>18.4315585955365</v>
      </c>
    </row>
    <row r="58" customFormat="false" ht="15" hidden="false" customHeight="true" outlineLevel="0" collapsed="false">
      <c r="A58" s="3" t="s">
        <v>99</v>
      </c>
      <c r="B58" s="8" t="n">
        <f aca="false">B57/$B$12-1</f>
        <v>0.422107304460245</v>
      </c>
      <c r="C58" s="8" t="n">
        <f aca="false">C57/B57-1</f>
        <v>0.363636363636364</v>
      </c>
      <c r="D58" s="8" t="n">
        <f aca="false">D57/C57-1</f>
        <v>0.222222222222222</v>
      </c>
      <c r="E58" s="8" t="n">
        <f aca="false">E57/D57-1</f>
        <v>0.136363636363636</v>
      </c>
      <c r="F58" s="8" t="n">
        <f aca="false">F57/E57-1</f>
        <v>0.0800000000000001</v>
      </c>
      <c r="G58" s="8" t="n">
        <f aca="false">G57/F57-1</f>
        <v>0.0720000000000001</v>
      </c>
      <c r="H58" s="8" t="n">
        <f aca="false">H57/G57-1</f>
        <v>0.0640000000000001</v>
      </c>
      <c r="I58" s="8" t="n">
        <f aca="false">I57/H57-1</f>
        <v>0.0560000000000001</v>
      </c>
      <c r="J58" s="8" t="n">
        <f aca="false">J57/I57-1</f>
        <v>0.048</v>
      </c>
      <c r="K58" s="8" t="n">
        <f aca="false">K57/J57-1</f>
        <v>0.04</v>
      </c>
      <c r="L58" s="8" t="n">
        <f aca="false">L57/K57-1</f>
        <v>0.04</v>
      </c>
    </row>
    <row r="59" customFormat="false" ht="15" hidden="false" customHeight="true" outlineLevel="0" collapsed="false">
      <c r="A59" s="3" t="s">
        <v>100</v>
      </c>
      <c r="B59" s="11" t="n">
        <v>0.108</v>
      </c>
      <c r="C59" s="11" t="n">
        <v>0.11</v>
      </c>
      <c r="D59" s="11" t="n">
        <v>0.11</v>
      </c>
      <c r="E59" s="11" t="n">
        <v>0.11</v>
      </c>
      <c r="F59" s="11" t="n">
        <v>0.11</v>
      </c>
      <c r="G59" s="8" t="n">
        <f aca="false">$F59+($L59-$F59)*G$18/5</f>
        <v>0.109</v>
      </c>
      <c r="H59" s="8" t="n">
        <f aca="false">$F59+($L59-$F59)*H$18/5</f>
        <v>0.108</v>
      </c>
      <c r="I59" s="8" t="n">
        <f aca="false">$F59+($L59-$F59)*I$18/5</f>
        <v>0.107</v>
      </c>
      <c r="J59" s="8" t="n">
        <f aca="false">$F59+($L59-$F59)*J$18/5</f>
        <v>0.106</v>
      </c>
      <c r="K59" s="8" t="n">
        <f aca="false">$F59+($L59-$F59)*K$18/5</f>
        <v>0.105</v>
      </c>
      <c r="L59" s="17" t="n">
        <v>0.105</v>
      </c>
    </row>
    <row r="60" customFormat="false" ht="15" hidden="false" customHeight="true" outlineLevel="0" collapsed="false">
      <c r="A60" s="3" t="s">
        <v>101</v>
      </c>
      <c r="B60" s="26" t="n">
        <f aca="false">B57*B59</f>
        <v>0.7128</v>
      </c>
      <c r="C60" s="26" t="n">
        <f aca="false">C57*C59</f>
        <v>0.99</v>
      </c>
      <c r="D60" s="26" t="n">
        <f aca="false">D57*D59</f>
        <v>1.21</v>
      </c>
      <c r="E60" s="26" t="n">
        <f aca="false">E57*E59</f>
        <v>1.375</v>
      </c>
      <c r="F60" s="26" t="n">
        <f aca="false">F57*F59</f>
        <v>1.485</v>
      </c>
      <c r="G60" s="26" t="n">
        <f aca="false">G57*G59</f>
        <v>1.577448</v>
      </c>
      <c r="H60" s="26" t="n">
        <f aca="false">H57*H59</f>
        <v>1.663006464</v>
      </c>
      <c r="I60" s="26" t="n">
        <f aca="false">I57*I59</f>
        <v>1.739874318336</v>
      </c>
      <c r="J60" s="26" t="n">
        <f aca="false">J57*J59</f>
        <v>1.80634727360102</v>
      </c>
      <c r="K60" s="26" t="n">
        <f aca="false">K57*K59</f>
        <v>1.86087851204936</v>
      </c>
      <c r="L60" s="26" t="n">
        <f aca="false">L57*L59</f>
        <v>1.93531365253133</v>
      </c>
    </row>
    <row r="61" customFormat="false" ht="15" hidden="false" customHeight="true" outlineLevel="0" collapsed="false">
      <c r="A61" s="3" t="s">
        <v>102</v>
      </c>
      <c r="B61" s="26" t="n">
        <f aca="false">B60*(1-$B$8)</f>
        <v>0.655776</v>
      </c>
      <c r="C61" s="26" t="n">
        <f aca="false">C60*(1-$B$8)</f>
        <v>0.9108</v>
      </c>
      <c r="D61" s="26" t="n">
        <f aca="false">D60*(1-$B$8)</f>
        <v>1.1132</v>
      </c>
      <c r="E61" s="26" t="n">
        <f aca="false">E60*(1-$B$8)</f>
        <v>1.265</v>
      </c>
      <c r="F61" s="26" t="n">
        <f aca="false">F60*(1-$B$8)</f>
        <v>1.3662</v>
      </c>
      <c r="G61" s="26" t="n">
        <f aca="false">G60*(1-$B$8)</f>
        <v>1.45125216</v>
      </c>
      <c r="H61" s="26" t="n">
        <f aca="false">H60*(1-$B$8)</f>
        <v>1.52996594688</v>
      </c>
      <c r="I61" s="26" t="n">
        <f aca="false">I60*(1-$B$8)</f>
        <v>1.60068437286912</v>
      </c>
      <c r="J61" s="26" t="n">
        <f aca="false">J60*(1-$B$8)</f>
        <v>1.66183949171294</v>
      </c>
      <c r="K61" s="26" t="n">
        <f aca="false">K60*(1-$B$8)</f>
        <v>1.71200823108541</v>
      </c>
      <c r="L61" s="26" t="n">
        <f aca="false">L60*(1-$B$8)</f>
        <v>1.78048856032883</v>
      </c>
    </row>
    <row r="62" customFormat="false" ht="15" hidden="false" customHeight="true" outlineLevel="0" collapsed="false">
      <c r="A62" s="3" t="s">
        <v>103</v>
      </c>
      <c r="B62" s="11" t="n">
        <v>0.05</v>
      </c>
      <c r="C62" s="11" t="n">
        <v>0.035</v>
      </c>
      <c r="D62" s="11" t="n">
        <v>0.03</v>
      </c>
      <c r="E62" s="11" t="n">
        <v>0.025</v>
      </c>
      <c r="F62" s="11" t="n">
        <v>0.025</v>
      </c>
      <c r="G62" s="8" t="n">
        <f aca="false">$F62+($L62-$F62)*G$18/5</f>
        <v>0.024</v>
      </c>
      <c r="H62" s="8" t="n">
        <f aca="false">$F62+($L62-$F62)*H$18/5</f>
        <v>0.023</v>
      </c>
      <c r="I62" s="8" t="n">
        <f aca="false">$F62+($L62-$F62)*I$18/5</f>
        <v>0.022</v>
      </c>
      <c r="J62" s="8" t="n">
        <f aca="false">$F62+($L62-$F62)*J$18/5</f>
        <v>0.021</v>
      </c>
      <c r="K62" s="8" t="n">
        <f aca="false">$F62+($L62-$F62)*K$18/5</f>
        <v>0.02</v>
      </c>
      <c r="L62" s="11" t="n">
        <v>0.02</v>
      </c>
    </row>
    <row r="63" customFormat="false" ht="15" hidden="false" customHeight="true" outlineLevel="0" collapsed="false">
      <c r="A63" s="3" t="s">
        <v>104</v>
      </c>
      <c r="B63" s="26" t="n">
        <f aca="false">B57*B62</f>
        <v>0.33</v>
      </c>
      <c r="C63" s="26" t="n">
        <f aca="false">C57*C62</f>
        <v>0.315</v>
      </c>
      <c r="D63" s="26" t="n">
        <f aca="false">D57*D62</f>
        <v>0.33</v>
      </c>
      <c r="E63" s="26" t="n">
        <f aca="false">E57*E62</f>
        <v>0.3125</v>
      </c>
      <c r="F63" s="26" t="n">
        <f aca="false">F57*F62</f>
        <v>0.3375</v>
      </c>
      <c r="G63" s="26" t="n">
        <f aca="false">G57*G62</f>
        <v>0.347328</v>
      </c>
      <c r="H63" s="26" t="n">
        <f aca="false">H57*H62</f>
        <v>0.354158784</v>
      </c>
      <c r="I63" s="26" t="n">
        <f aca="false">I57*I62</f>
        <v>0.357731168256</v>
      </c>
      <c r="J63" s="26" t="n">
        <f aca="false">J57*J62</f>
        <v>0.357861252317184</v>
      </c>
      <c r="K63" s="26" t="n">
        <f aca="false">K57*K62</f>
        <v>0.354453049914163</v>
      </c>
      <c r="L63" s="26" t="n">
        <f aca="false">L57*L62</f>
        <v>0.36863117191073</v>
      </c>
    </row>
    <row r="64" customFormat="false" ht="15" hidden="false" customHeight="true" outlineLevel="0" collapsed="false">
      <c r="A64" s="3" t="s">
        <v>105</v>
      </c>
      <c r="B64" s="26" t="n">
        <f aca="false">$B$11*(B57-$B$12)</f>
        <v>0.29385</v>
      </c>
      <c r="C64" s="26" t="n">
        <f aca="false">$B$11*(C57-B57)</f>
        <v>0.36</v>
      </c>
      <c r="D64" s="26" t="n">
        <f aca="false">$B$11*(D57-C57)</f>
        <v>0.3</v>
      </c>
      <c r="E64" s="26" t="n">
        <f aca="false">$B$11*(E57-D57)</f>
        <v>0.225</v>
      </c>
      <c r="F64" s="26" t="n">
        <f aca="false">$B$11*(F57-E57)</f>
        <v>0.15</v>
      </c>
      <c r="G64" s="26" t="n">
        <f aca="false">$B$11*(G57-F57)</f>
        <v>0.1458</v>
      </c>
      <c r="H64" s="26" t="n">
        <f aca="false">$B$11*(H57-G57)</f>
        <v>0.1389312</v>
      </c>
      <c r="I64" s="26" t="n">
        <f aca="false">$B$11*(I57-H57)</f>
        <v>0.1293449472</v>
      </c>
      <c r="J64" s="26" t="n">
        <f aca="false">$B$11*(J57-I57)</f>
        <v>0.1170756550656</v>
      </c>
      <c r="K64" s="26" t="n">
        <f aca="false">$B$11*(K57-J57)</f>
        <v>0.102246072090624</v>
      </c>
      <c r="L64" s="26" t="n">
        <f aca="false">$B$11*(L57-K57)</f>
        <v>0.106335914974249</v>
      </c>
    </row>
    <row r="65" customFormat="false" ht="15" hidden="false" customHeight="true" outlineLevel="0" collapsed="false">
      <c r="A65" s="3" t="s">
        <v>106</v>
      </c>
      <c r="B65" s="26" t="n">
        <f aca="false">B61-B63-B64</f>
        <v>0.0319260000000001</v>
      </c>
      <c r="C65" s="26" t="n">
        <f aca="false">C61-C63-C64</f>
        <v>0.2358</v>
      </c>
      <c r="D65" s="26" t="n">
        <f aca="false">D61-D63-D64</f>
        <v>0.4832</v>
      </c>
      <c r="E65" s="26" t="n">
        <f aca="false">E61-E63-E64</f>
        <v>0.7275</v>
      </c>
      <c r="F65" s="26" t="n">
        <f aca="false">F61-F63-F64</f>
        <v>0.8787</v>
      </c>
      <c r="G65" s="26" t="n">
        <f aca="false">G61-G63-G64</f>
        <v>0.95812416</v>
      </c>
      <c r="H65" s="26" t="n">
        <f aca="false">H61-H63-H64</f>
        <v>1.03687596288</v>
      </c>
      <c r="I65" s="26" t="n">
        <f aca="false">I61-I63-I64</f>
        <v>1.11360825741312</v>
      </c>
      <c r="J65" s="26" t="n">
        <f aca="false">J61-J63-J64</f>
        <v>1.18690258433016</v>
      </c>
      <c r="K65" s="26" t="n">
        <f aca="false">K61-K63-K64</f>
        <v>1.25530910908062</v>
      </c>
      <c r="L65" s="26" t="n">
        <f aca="false">L61-L63-L64</f>
        <v>1.30552147344385</v>
      </c>
    </row>
    <row r="66" customFormat="false" ht="15" hidden="false" customHeight="true" outlineLevel="0" collapsed="false">
      <c r="A66" s="3" t="s">
        <v>107</v>
      </c>
      <c r="B66" s="27" t="n">
        <f aca="false">1/(1+$B$9)^B$17</f>
        <v>0.953462589245592</v>
      </c>
      <c r="C66" s="27" t="n">
        <f aca="false">1/(1+$B$9)^C$17</f>
        <v>0.866784172041447</v>
      </c>
      <c r="D66" s="27" t="n">
        <f aca="false">1/(1+$B$9)^D$17</f>
        <v>0.78798561094677</v>
      </c>
      <c r="E66" s="27" t="n">
        <f aca="false">1/(1+$B$9)^E$17</f>
        <v>0.716350555406155</v>
      </c>
      <c r="F66" s="27" t="n">
        <f aca="false">1/(1+$B$9)^F$17</f>
        <v>0.651227777641959</v>
      </c>
      <c r="G66" s="27" t="n">
        <f aca="false">1/(1+$B$9)^G$17</f>
        <v>0.592025252401781</v>
      </c>
      <c r="H66" s="27" t="n">
        <f aca="false">1/(1+$B$9)^H$17</f>
        <v>0.53820477491071</v>
      </c>
      <c r="I66" s="27" t="n">
        <f aca="false">1/(1+$B$9)^I$17</f>
        <v>0.489277068100645</v>
      </c>
      <c r="J66" s="27" t="n">
        <f aca="false">1/(1+$B$9)^J$17</f>
        <v>0.44479733463695</v>
      </c>
      <c r="K66" s="27" t="n">
        <f aca="false">1/(1+$B$9)^K$17</f>
        <v>0.404361213306318</v>
      </c>
      <c r="L66" s="3"/>
    </row>
    <row r="67" customFormat="false" ht="15" hidden="false" customHeight="true" outlineLevel="0" collapsed="false">
      <c r="A67" s="3" t="s">
        <v>108</v>
      </c>
      <c r="B67" s="26" t="n">
        <f aca="false">B65*B66</f>
        <v>0.0304402466242548</v>
      </c>
      <c r="C67" s="26" t="n">
        <f aca="false">C65*C66</f>
        <v>0.204387707767373</v>
      </c>
      <c r="D67" s="26" t="n">
        <f aca="false">D65*D66</f>
        <v>0.380754647209479</v>
      </c>
      <c r="E67" s="26" t="n">
        <f aca="false">E65*E66</f>
        <v>0.521145029057978</v>
      </c>
      <c r="F67" s="26" t="n">
        <f aca="false">F65*F66</f>
        <v>0.572233848213989</v>
      </c>
      <c r="G67" s="26" t="n">
        <f aca="false">G65*G66</f>
        <v>0.567233697656244</v>
      </c>
      <c r="H67" s="26" t="n">
        <f aca="false">H65*H66</f>
        <v>0.558051594212156</v>
      </c>
      <c r="I67" s="26" t="n">
        <f aca="false">I65*I66</f>
        <v>0.54486298319976</v>
      </c>
      <c r="J67" s="26" t="n">
        <f aca="false">J65*J66</f>
        <v>0.527931105983762</v>
      </c>
      <c r="K67" s="26" t="n">
        <f aca="false">K65*K66</f>
        <v>0.507598314422313</v>
      </c>
      <c r="L67" s="26"/>
    </row>
    <row r="68" customFormat="false" ht="15" hidden="false" customHeight="true" outlineLevel="0" collapsed="false">
      <c r="A68" s="3" t="s">
        <v>109</v>
      </c>
      <c r="B68" s="26" t="n">
        <f aca="false">L65/($B$9-$B$10)</f>
        <v>21.7586912240641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 t="s">
        <v>110</v>
      </c>
      <c r="B69" s="26" t="n">
        <f aca="false">B68/(1+$B$9)^$K$17</f>
        <v>8.7983707833201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 t="s">
        <v>111</v>
      </c>
      <c r="B70" s="26" t="n">
        <f aca="false">SUM(B67:K67)+B69+$B$7</f>
        <v>14.0840099576674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 t="s">
        <v>112</v>
      </c>
      <c r="B71" s="28" t="n">
        <f aca="false">B70/$B$6*$B$13</f>
        <v>387.98925503216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 t="s">
        <v>113</v>
      </c>
      <c r="B72" s="8" t="n">
        <f aca="false">B71/$B$4-1</f>
        <v>0.0914517132670194</v>
      </c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12" t="s">
        <v>116</v>
      </c>
      <c r="B76" s="25"/>
      <c r="C76" s="12" t="s">
        <v>117</v>
      </c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" hidden="false" customHeight="true" outlineLevel="0" collapsed="false">
      <c r="A77" s="3" t="s">
        <v>118</v>
      </c>
      <c r="B77" s="29" t="n">
        <f aca="false">B35</f>
        <v>169.400518323177</v>
      </c>
      <c r="C77" s="8" t="n">
        <f aca="false">B77/$B$4-1</f>
        <v>-0.523459777418767</v>
      </c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 t="s">
        <v>119</v>
      </c>
      <c r="B78" s="29" t="n">
        <f aca="false">B53</f>
        <v>279.136840394501</v>
      </c>
      <c r="C78" s="8" t="n">
        <f aca="false">B78/$B$4-1</f>
        <v>-0.21476077305474</v>
      </c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 t="s">
        <v>120</v>
      </c>
      <c r="B79" s="29" t="n">
        <f aca="false">B71</f>
        <v>387.98925503216</v>
      </c>
      <c r="C79" s="8" t="n">
        <f aca="false">B79/$B$4-1</f>
        <v>0.0914517132670194</v>
      </c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 t="s">
        <v>121</v>
      </c>
      <c r="B80" s="29" t="n">
        <f aca="false">INDEX(B35:B71,1+($B$14-1)*18)</f>
        <v>279.136840394501</v>
      </c>
      <c r="C80" s="8" t="n">
        <f aca="false">B80/$B$4-1</f>
        <v>-0.21476077305474</v>
      </c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 t="s">
        <v>122</v>
      </c>
      <c r="B81" s="29" t="n">
        <f aca="false">B78</f>
        <v>279.136840394501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9" t="s">
        <v>123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 t="s">
        <v>124</v>
      </c>
      <c r="B84" s="11" t="n">
        <v>0.08</v>
      </c>
      <c r="C84" s="11" t="n">
        <v>0.09</v>
      </c>
      <c r="D84" s="11" t="n">
        <v>0.1</v>
      </c>
      <c r="E84" s="11" t="n">
        <v>0.11</v>
      </c>
      <c r="F84" s="11" t="n">
        <v>0.12</v>
      </c>
      <c r="G84" s="11" t="n">
        <v>0.13</v>
      </c>
      <c r="H84" s="3"/>
      <c r="I84" s="3"/>
      <c r="J84" s="3"/>
      <c r="K84" s="3"/>
      <c r="L84" s="3"/>
    </row>
    <row r="85" customFormat="false" ht="15" hidden="false" customHeight="true" outlineLevel="0" collapsed="false">
      <c r="A85" s="3" t="s">
        <v>119</v>
      </c>
      <c r="B85" s="29" t="n">
        <f aca="false">(SUMPRODUCT(B47:K47/(1+B84)^$B$17:$K$17)+L47/(B84-$B$10)/(1+B84)^$K$17+$B$7)/$B$6*$B$13</f>
        <v>420.657302228314</v>
      </c>
      <c r="C85" s="29" t="n">
        <f aca="false">(SUMPRODUCT(B47:K47/(1+C84)^$B$17:$K$17)+L47/(C84-$B$10)/(1+C84)^$K$17+$B$7)/$B$6*$B$13</f>
        <v>335.596501084475</v>
      </c>
      <c r="D85" s="29" t="n">
        <f aca="false">(SUMPRODUCT(B47:K47/(1+D84)^$B$17:$K$17)+L47/(D84-$B$10)/(1+D84)^$K$17+$B$7)/$B$6*$B$13</f>
        <v>279.136840394501</v>
      </c>
      <c r="E85" s="29" t="n">
        <f aca="false">(SUMPRODUCT(B47:K47/(1+E84)^$B$17:$K$17)+L47/(E84-$B$10)/(1+E84)^$K$17+$B$7)/$B$6*$B$13</f>
        <v>239.005986776267</v>
      </c>
      <c r="F85" s="29" t="n">
        <f aca="false">(SUMPRODUCT(B47:K47/(1+F84)^$B$17:$K$17)+L47/(F84-$B$10)/(1+F84)^$K$17+$B$7)/$B$6*$B$13</f>
        <v>209.068830580908</v>
      </c>
      <c r="G85" s="29" t="n">
        <f aca="false">(SUMPRODUCT(B47:K47/(1+G84)^$B$17:$K$17)+L47/(G84-$B$10)/(1+G84)^$K$17+$B$7)/$B$6*$B$13</f>
        <v>185.917829899812</v>
      </c>
      <c r="H85" s="3"/>
      <c r="I85" s="3"/>
      <c r="J85" s="3"/>
      <c r="K85" s="3"/>
      <c r="L85" s="3"/>
    </row>
    <row r="86" customFormat="false" ht="15" hidden="false" customHeight="true" outlineLevel="0" collapsed="false">
      <c r="A86" s="3" t="s">
        <v>125</v>
      </c>
      <c r="B86" s="8" t="n">
        <f aca="false">B85/$B$4-1</f>
        <v>0.183350124418573</v>
      </c>
      <c r="C86" s="8" t="n">
        <f aca="false">C85/$B$4-1</f>
        <v>-0.0559342267230941</v>
      </c>
      <c r="D86" s="8" t="n">
        <f aca="false">D85/$B$4-1</f>
        <v>-0.21476077305474</v>
      </c>
      <c r="E86" s="8" t="n">
        <f aca="false">E85/$B$4-1</f>
        <v>-0.327652788409286</v>
      </c>
      <c r="F86" s="8" t="n">
        <f aca="false">F85/$B$4-1</f>
        <v>-0.411868936140126</v>
      </c>
      <c r="G86" s="8" t="n">
        <f aca="false">G85/$B$4-1</f>
        <v>-0.476994964836807</v>
      </c>
      <c r="H86" s="3"/>
      <c r="I86" s="3"/>
      <c r="J86" s="3"/>
      <c r="K86" s="3"/>
      <c r="L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2026-10-21T16:24:07Z</dcterms:created>
  <dc:creator>Jesper Holke-Farnam</dc:creator>
  <dc:description/>
  <dc:language>en-US</dc:language>
  <cp:lastModifiedBy/>
  <dcterms:modified xsi:type="dcterms:W3CDTF">2026-10-22T19:28:49Z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