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ACC" sheetId="2" state="visible" r:id="rId4"/>
    <sheet name="MU" sheetId="3" state="visible" r:id="rId5"/>
    <sheet name="SK hynix" sheetId="4" state="visible" r:id="rId6"/>
    <sheet name="STX" sheetId="5" state="visible" r:id="rId7"/>
    <sheet name="WD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<sst xmlns="http://schemas.openxmlformats.org/spreadsheetml/2006/main" count="462" uniqueCount="159">
  <si>
    <t xml:space="preserve">Memory and Storage Company Pass: scenario values</t>
  </si>
  <si>
    <t xml:space="preserve">Values link to each company sheet (green). Change assumptions on the company sheets.</t>
  </si>
  <si>
    <t xml:space="preserve">Company</t>
  </si>
  <si>
    <t xml:space="preserve">Share price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</si>
  <si>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</si>
  <si>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</si>
  <si>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</si>
  <si>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</si>
  <si>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Bull vs price</t>
  </si>
  <si>
    <t xml:space="preserve">Bear vs price</t>
  </si>
  <si>
    <t xml:space="preserve">Buy below</t>
  </si>
  <si>
    <t xml:space="preserve">Implied terminal margin</t>
  </si>
  <si>
    <t xml:space="preserve">Micron Technology (MU)</t>
  </si>
  <si>
    <t xml:space="preserve">SK hynix (KRX: 000660)</t>
  </si>
  <si>
    <t xml:space="preserve">Seagate Technology (STX)</t>
  </si>
  <si>
    <t xml:space="preserve">Western Digital (WDC)</t>
  </si>
  <si>
    <t xml:space="preserve">Notes</t>
  </si>
  <si>
    <t xml:space="preserve">Five-year free cash flow DCF with a terminal value; not a full three-statement model.</t>
  </si>
  <si>
    <t xml:space="preserve">FCF = EBIT x (1 - tax) - net reinvestment (capex above depreciation) - working capital x revenue change.</t>
  </si>
  <si>
    <t xml:space="preserve">Mid-year discounting from October 2026. SK hynix's Q4 2026 cash flow (about KRW 50T) is excluded, which is conservative.</t>
  </si>
  <si>
    <t xml:space="preserve">Revenue paths, margins, reinvestment, discount rates and terminal assumptions are analyst judgments, bear-leaning by design.</t>
  </si>
  <si>
    <t xml:space="preserve">Discount rate: switch on the WACC tab between a CAPM build and the assumed rates (12%, 13% SK hynix).</t>
  </si>
  <si>
    <t xml:space="preserve">Prices: Stock Analysis, Oct 21, 2026 intraday for MU, STX, WDC; SK hynix Oct 19, 2026 KRX close (latest available).</t>
  </si>
  <si>
    <t xml:space="preserve">Research for discussion, not investment advice.</t>
  </si>
  <si>
    <t xml:space="preserve">WACC build: calculated (CAPM) versus assumed</t>
  </si>
  <si>
    <t xml:space="preserve">Blue = input, black = formula, green = link. Switches in yellow apply to all four companies.</t>
  </si>
  <si>
    <t xml:space="preserve">WACC used in valuations (1 = Calculated, 2 = Assumed)</t>
  </si>
  <si>
    <t xml:space="preserve">Switch. 2 reproduces the journal entry's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</si>
  <si>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</si>
  <si>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</si>
  <si>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</si>
  <si>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</t>
  </si>
  <si>
    <t xml:space="preserve">Equity risk premium</t>
  </si>
  <si>
    <t xml:space="preserve">Analyst assumption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</si>
  <si>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</si>
  <si>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</si>
  <si>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</si>
  <si>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MU</t>
  </si>
  <si>
    <t xml:space="preserve">SK hynix</t>
  </si>
  <si>
    <t xml:space="preserve">STX</t>
  </si>
  <si>
    <t xml:space="preserve">WDC</t>
  </si>
  <si>
    <t xml:space="preserve">Source / note</t>
  </si>
  <si>
    <t xml:space="preserve">Raw beta (5-year)</t>
  </si>
  <si>
    <t xml:space="preserve">Stock Analysis statistics, Oct 2026</t>
  </si>
  <si>
    <t xml:space="preserve">Adjusted beta</t>
  </si>
  <si>
    <t xml:space="preserve">Blume: 0.67 x raw + 0.33</t>
  </si>
  <si>
    <t xml:space="preserve">Beta used</t>
  </si>
  <si>
    <t xml:space="preserve">Per switch in B6</t>
  </si>
  <si>
    <t xml:space="preserve">Country risk premium</t>
  </si>
  <si>
    <t xml:space="preserve">Analyst assumption (Korea)</t>
  </si>
  <si>
    <t xml:space="preserve">Cost of equity</t>
  </si>
  <si>
    <t xml:space="preserve">Risk-free + beta x ERP + country premium</t>
  </si>
  <si>
    <t xml:space="preserve">Pre-tax cost of debt</t>
  </si>
  <si>
    <t xml:space="preserve">Risk-free + spread</t>
  </si>
  <si>
    <t xml:space="preserve">Tax rate</t>
  </si>
  <si>
    <t xml:space="preserve">Linked from company sheet</t>
  </si>
  <si>
    <t xml:space="preserve">After-tax cost of debt</t>
  </si>
  <si>
    <t xml:space="preserve">Market value of equity (company units)</t>
  </si>
  <si>
    <t xml:space="preserve">Price x shares (KRW sheet: converted to KRW T)</t>
  </si>
  <si>
    <t xml:space="preserve">Debt (company units)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</si>
  <si>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</si>
  <si>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</si>
  <si>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</si>
  <si>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</si>
  <si>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</si>
  <si>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</si>
  <si>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journal entry</t>
  </si>
  <si>
    <t xml:space="preserve">WACC used</t>
  </si>
  <si>
    <t xml:space="preserve">Per switch in B5; feeds each sheet's B9</t>
  </si>
  <si>
    <t xml:space="preserve">Check: WACC above terminal growth</t>
  </si>
  <si>
    <t xml:space="preserve">Micron Technology (MU) scenario DCF</t>
  </si>
  <si>
    <t xml:space="preserve">Units: $B unless noted. Blue = input, black = formula, yellow = key lever. Change the blue cells; values update.</t>
  </si>
  <si>
    <t xml:space="preserve">Source: Stock Analysis, Oct 21, 2026 10:02 ET</t>
  </si>
  <si>
    <t xml:space="preserve">Price date</t>
  </si>
  <si>
    <t xml:space="preserve">Oct 21, 2026 10:02 ET</t>
  </si>
  <si>
    <t xml:space="preserve">Text</t>
  </si>
  <si>
    <t xml:space="preserve">Shares outstanding (billions)</t>
  </si>
  <si>
    <t xml:space="preserve">Source: Stock Analysis statistics page, https://stockanalysis.com</t>
  </si>
  <si>
    <t xml:space="preserve">Net cash, negative = net debt ($B)</t>
  </si>
  <si>
    <t xml:space="preserve">Company: cash and investments $73.5B less $5.2B debt, FQ4 FY26 call (MarketBeat summary, Sep 30, 2026)</t>
  </si>
  <si>
    <t xml:space="preserve">Discount rate (WACC), from WACC tab</t>
  </si>
  <si>
    <t xml:space="preserve">Selected on the WACC tab: calculated (CAPM) or assumed, per the switch in WACC!B5</t>
  </si>
  <si>
    <t xml:space="preserve">Terminal growth</t>
  </si>
  <si>
    <t xml:space="preserve">Working capital, % of revenue change</t>
  </si>
  <si>
    <t xml:space="preserve">Base-year revenue ($B)</t>
  </si>
  <si>
    <t xml:space="preserve">FY26 (Sep 2026) revenue: sum of four quarters, Stock Analysis quarterly income statement</t>
  </si>
  <si>
    <t xml:space="preserve">Per-share multiplier</t>
  </si>
  <si>
    <t xml:space="preserve">Converts equity value per billion shares to per share (1000 for KRW T)</t>
  </si>
  <si>
    <t xml:space="preserve">Margin of safety for buy-below</t>
  </si>
  <si>
    <t xml:space="preserve">Selected scenario (1 Bear, 2 Base, 3 Bull)</t>
  </si>
  <si>
    <t xml:space="preserve">Lever</t>
  </si>
  <si>
    <t xml:space="preserve">Year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</si>
  <si>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</si>
  <si>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</si>
  <si>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</si>
  <si>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</si>
  <si>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</si>
  <si>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Terminal</t>
  </si>
  <si>
    <t xml:space="preserve">Discount period (years, mid-year)</t>
  </si>
  <si>
    <t xml:space="preserve">Bear: AI capex slows in 2027, prices roll over late 2027</t>
  </si>
  <si>
    <t xml:space="preserve">Revenue</t>
  </si>
  <si>
    <t xml:space="preserve">Revenue growth</t>
  </si>
  <si>
    <t xml:space="preserve">EBIT margin</t>
  </si>
  <si>
    <t xml:space="preserve">EBIT</t>
  </si>
  <si>
    <t xml:space="preserve">NOPAT (EBIT after tax)</t>
  </si>
  <si>
    <t xml:space="preserve">Net reinvestment, % of revenue</t>
  </si>
  <si>
    <t xml:space="preserve">Net reinvestment (capex above depreciation)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</si>
  <si>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</si>
  <si>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</si>
  <si>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</si>
  <si>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</si>
  <si>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</si>
  <si>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</si>
  <si>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cash)</t>
  </si>
  <si>
    <t xml:space="preserve">Value per share</t>
  </si>
  <si>
    <t xml:space="preserve">Value vs share price</t>
  </si>
  <si>
    <t xml:space="preserve">Base: tight through FY28, normal by FY30</t>
  </si>
  <si>
    <t xml:space="preserve">Bull: shortage lasts through 2029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</si>
  <si>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</si>
  <si>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</si>
  <si>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</si>
  <si>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</si>
  <si>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</si>
  <si>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</si>
  <si>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Buy below (base value less margin of safety)</t>
  </si>
  <si>
    <t xml:space="preserve">Terminal EBIT margin implied by today's price (base path)</t>
  </si>
  <si>
    <t xml:space="preserve">Compare with the base terminal margin input in G40</t>
  </si>
  <si>
    <t xml:space="preserve">Base value per share at other discount rates</t>
  </si>
  <si>
    <t xml:space="preserve">Discount rate</t>
  </si>
  <si>
    <t xml:space="preserve">SK hynix (KRX: 000660) scenario DCF</t>
  </si>
  <si>
    <t xml:space="preserve">Units: KRW T unless noted. Blue = input, black = formula, yellow = key lever. Change the blue cells; values update.</t>
  </si>
  <si>
    <t xml:space="preserve">Source: Stock Analysis, Oct 19, 2026 KRX (latest available)</t>
  </si>
  <si>
    <t xml:space="preserve">Oct 19, 2026 KRX (latest available)</t>
  </si>
  <si>
    <t xml:space="preserve">Net cash, negative = net debt (KRW T)</t>
  </si>
  <si>
    <t xml:space="preserve">Stock Analysis: cash KRW 87.98T less debt KRW 21.11T (stats updated Oct 18, 2026)</t>
  </si>
  <si>
    <t xml:space="preserve">Base-year revenue (KRW T)</t>
  </si>
  <si>
    <t xml:space="preserve">2026E revenue, analyst estimate: Q1 52.9T + Q2 79.3T (reported) + Q3E 97T + Q4E 110T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</si>
  <si>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</si>
  <si>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</si>
  <si>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</si>
  <si>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</si>
  <si>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</si>
  <si>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Bear: AI capex slows in 2027</t>
  </si>
  <si>
    <t xml:space="preserve">Base: tight through 2028</t>
  </si>
  <si>
    <t xml:space="preserve">Bull: shortage through 2029</t>
  </si>
  <si>
    <t xml:space="preserve">Seagate Technology (STX) scenario DCF</t>
  </si>
  <si>
    <t xml:space="preserve">Source: Stock Analysis, Oct 21, 2026 9:50 ET</t>
  </si>
  <si>
    <t xml:space="preserve">Oct 21, 2026 9:50 ET</t>
  </si>
  <si>
    <t xml:space="preserve">Stock Analysis: cash $1.70B less debt $3.90B. Exchangeable notes due 2028 may dilute; not modeled</t>
  </si>
  <si>
    <t xml:space="preserve">FY26 (Jul 2026) revenue, Stock Analysis annual income statement</t>
  </si>
  <si>
    <t xml:space="preserve">Bear: AI capex slows, Toshiba adds supply</t>
  </si>
  <si>
    <t xml:space="preserve">Base: exabytes grow, price per TB eases</t>
  </si>
  <si>
    <t xml:space="preserve">Bull: shortage and HAMR lead persist</t>
  </si>
  <si>
    <t xml:space="preserve">Western Digital (WDC) scenario DCF</t>
  </si>
  <si>
    <t xml:space="preserve">Source: Stock Analysis, Oct 21, 2026 9:51 ET</t>
  </si>
  <si>
    <t xml:space="preserve">Oct 21, 2026 9:51 ET</t>
  </si>
  <si>
    <t xml:space="preserve">Stock Analysis: cash $1.58B less debt $1.19B</t>
  </si>
  <si>
    <t xml:space="preserve">FY26 (Jul 2026) revenue: sum of four quarters, Stock Analysis quarterly income statement</t>
  </si>
  <si>
    <t xml:space="preserve">Bull: shortage persists, HAMR lands on time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</si>
</sst>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\₩#,##0;&quot;(₩&quot;#,##0\);\-"/>
    <numFmt numFmtId="168" formatCode="0"/>
    <numFmt numFmtId="169" formatCode="0.00"/>
    <numFmt numFmtId="170" formatCode="#,##0.0"/>
    <numFmt numFmtId="171" formatCode="0.000"/>
    <numFmt numFmtId="172" formatCode="#,##0.0;\(#,##0.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4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0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3" t="s">
        <v>12</v>
      </c>
      <c r="B5" s="6" t="n">
        <f aca="false">MU!B4</f>
        <v>909.96</v>
      </c>
      <c r="C5" s="6" t="n">
        <f aca="false">MU!B73</f>
        <v>350.650531789558</v>
      </c>
      <c r="D5" s="6" t="n">
        <f aca="false">MU!B74</f>
        <v>672.044367224476</v>
      </c>
      <c r="E5" s="6" t="n">
        <f aca="false">MU!B75</f>
        <v>1091.46460004931</v>
      </c>
      <c r="F5" s="7" t="n">
        <f aca="false">D5/B5-1</f>
        <v>-0.261457242928837</v>
      </c>
      <c r="G5" s="7" t="n">
        <f aca="false">E5/B5-1</f>
        <v>0.199464372114505</v>
      </c>
      <c r="H5" s="7" t="n">
        <f aca="false">C5/B5-1</f>
        <v>-0.614652806948044</v>
      </c>
      <c r="I5" s="6" t="n">
        <f aca="false">MU!B77</f>
        <v>571.237712140804</v>
      </c>
      <c r="J5" s="8" t="n">
        <f aca="false">MU!B79</f>
        <v>0.588127459078376</v>
      </c>
    </row>
    <row r="6" customFormat="false" ht="15" hidden="false" customHeight="true" outlineLevel="0" collapsed="false">
      <c r="A6" s="3" t="s">
        <v>13</v>
      </c>
      <c r="B6" s="9" t="n">
        <f aca="false">'SK hynix'!B4</f>
        <v>1239000</v>
      </c>
      <c r="C6" s="9" t="n">
        <f aca="false">'SK hynix'!B73</f>
        <v>662607.242796565</v>
      </c>
      <c r="D6" s="9" t="n">
        <f aca="false">'SK hynix'!B74</f>
        <v>1321578.83719207</v>
      </c>
      <c r="E6" s="9" t="n">
        <f aca="false">'SK hynix'!B75</f>
        <v>2197977.17363638</v>
      </c>
      <c r="F6" s="7" t="n">
        <f aca="false">D6/B6-1</f>
        <v>0.0666495861114369</v>
      </c>
      <c r="G6" s="7" t="n">
        <f aca="false">E6/B6-1</f>
        <v>0.773992876219842</v>
      </c>
      <c r="H6" s="7" t="n">
        <f aca="false">C6/B6-1</f>
        <v>-0.465208036483806</v>
      </c>
      <c r="I6" s="9" t="n">
        <f aca="false">'SK hynix'!B77</f>
        <v>1123342.01161326</v>
      </c>
      <c r="J6" s="8" t="n">
        <f aca="false">'SK hynix'!B79</f>
        <v>0.307185321544828</v>
      </c>
    </row>
    <row r="7" customFormat="false" ht="15" hidden="false" customHeight="true" outlineLevel="0" collapsed="false">
      <c r="A7" s="3" t="s">
        <v>14</v>
      </c>
      <c r="B7" s="6" t="n">
        <f aca="false">STX!B4</f>
        <v>688.68</v>
      </c>
      <c r="C7" s="6" t="n">
        <f aca="false">STX!B73</f>
        <v>154.716671666911</v>
      </c>
      <c r="D7" s="6" t="n">
        <f aca="false">STX!B74</f>
        <v>424.870301572197</v>
      </c>
      <c r="E7" s="6" t="n">
        <f aca="false">STX!B75</f>
        <v>621.404254937891</v>
      </c>
      <c r="F7" s="7" t="n">
        <f aca="false">D7/B7-1</f>
        <v>-0.383065717645065</v>
      </c>
      <c r="G7" s="7" t="n">
        <f aca="false">E7/B7-1</f>
        <v>-0.0976879611170779</v>
      </c>
      <c r="H7" s="7" t="n">
        <f aca="false">C7/B7-1</f>
        <v>-0.775343161313076</v>
      </c>
      <c r="I7" s="6" t="n">
        <f aca="false">STX!B77</f>
        <v>361.139756336367</v>
      </c>
      <c r="J7" s="8" t="n">
        <f aca="false">STX!B79</f>
        <v>0.702189576111472</v>
      </c>
    </row>
    <row r="8" customFormat="false" ht="15" hidden="false" customHeight="true" outlineLevel="0" collapsed="false">
      <c r="A8" s="3" t="s">
        <v>15</v>
      </c>
      <c r="B8" s="6" t="n">
        <f aca="false">WDC!B4</f>
        <v>369.77</v>
      </c>
      <c r="C8" s="6" t="n">
        <f aca="false">WDC!B73</f>
        <v>79.2672892668291</v>
      </c>
      <c r="D8" s="6" t="n">
        <f aca="false">WDC!B74</f>
        <v>213.817843920906</v>
      </c>
      <c r="E8" s="6" t="n">
        <f aca="false">WDC!B75</f>
        <v>311.242873634639</v>
      </c>
      <c r="F8" s="7" t="n">
        <f aca="false">D8/B8-1</f>
        <v>-0.421754485434444</v>
      </c>
      <c r="G8" s="7" t="n">
        <f aca="false">E8/B8-1</f>
        <v>-0.158279812762963</v>
      </c>
      <c r="H8" s="7" t="n">
        <f aca="false">C8/B8-1</f>
        <v>-0.785630826549398</v>
      </c>
      <c r="I8" s="6" t="n">
        <f aca="false">WDC!B77</f>
        <v>181.74516733277</v>
      </c>
      <c r="J8" s="8" t="n">
        <f aca="false">WDC!B79</f>
        <v>0.684995205116124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10" t="s">
        <v>16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11" t="s">
        <v>17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11" t="s">
        <v>18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11" t="s">
        <v>19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11" t="s">
        <v>20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11" t="s">
        <v>21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11" t="s">
        <v>22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11" t="s">
        <v>23</v>
      </c>
      <c r="B18" s="3"/>
      <c r="C18" s="3"/>
      <c r="D18" s="3"/>
      <c r="E18" s="3"/>
      <c r="F18" s="3"/>
      <c r="G18" s="3"/>
      <c r="H18" s="3"/>
      <c r="I18" s="3"/>
      <c r="J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5" min="2" style="1" width="13"/>
    <col collapsed="false" customWidth="true" hidden="false" outlineLevel="0" max="6" min="6" style="1" width="46"/>
  </cols>
  <sheetData>
    <row r="1" customFormat="false" ht="15.75" hidden="false" customHeight="true" outlineLevel="0" collapsed="false">
      <c r="A1" s="2" t="s">
        <v>24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4" t="s">
        <v>25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</row>
    <row r="5" customFormat="false" ht="15" hidden="false" customHeight="true" outlineLevel="0" collapsed="false">
      <c r="A5" s="3" t="s">
        <v>26</v>
      </c>
      <c r="B5" s="12" t="n">
        <v>2</v>
      </c>
      <c r="C5" s="4" t="s">
        <v>27</v>
      </c>
      <c r="D5" s="3"/>
      <c r="E5" s="3"/>
      <c r="F5" s="3"/>
    </row>
    <row r="6" customFormat="false" ht="15" hidden="false" customHeight="true" outlineLevel="0" collapsed="false">
      <c r="A6" s="3" t="s">
        <v>28</v>
      </c>
      <c r="B6" s="12" t="n">
        <v>2</v>
      </c>
      <c r="C6" s="4" t="s">
        <v>29</v>
      </c>
      <c r="D6" s="3"/>
      <c r="E6" s="3"/>
      <c r="F6" s="3"/>
    </row>
    <row r="7" customFormat="false" ht="15" hidden="false" customHeight="true" outlineLevel="0" collapsed="false">
      <c r="A7" s="3" t="s">
        <v>30</v>
      </c>
      <c r="B7" s="13" t="n">
        <v>0.0531</v>
      </c>
      <c r="C7" s="4" t="s">
        <v>31</v>
      </c>
      <c r="D7" s="3"/>
      <c r="E7" s="3"/>
      <c r="F7" s="3"/>
    </row>
    <row r="8" customFormat="false" ht="15" hidden="false" customHeight="true" outlineLevel="0" collapsed="false">
      <c r="A8" s="3" t="s">
        <v>32</v>
      </c>
      <c r="B8" s="13" t="n">
        <v>0.05</v>
      </c>
      <c r="C8" s="4" t="s">
        <v>33</v>
      </c>
      <c r="D8" s="3"/>
      <c r="E8" s="3"/>
      <c r="F8" s="3"/>
    </row>
    <row r="9" customFormat="false" ht="15" hidden="false" customHeight="true" outlineLevel="0" collapsed="false">
      <c r="A9" s="3" t="s">
        <v>34</v>
      </c>
      <c r="B9" s="13" t="n">
        <v>0.012</v>
      </c>
      <c r="C9" s="4" t="s">
        <v>35</v>
      </c>
      <c r="D9" s="3"/>
      <c r="E9" s="3"/>
      <c r="F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</row>
    <row r="11" customFormat="false" ht="15" hidden="false" customHeight="true" outlineLevel="0" collapsed="false">
      <c r="A11" s="14" t="s">
        <v>36</v>
      </c>
      <c r="B11" s="14" t="s">
        <v>37</v>
      </c>
      <c r="C11" s="14" t="s">
        <v>38</v>
      </c>
      <c r="D11" s="14" t="s">
        <v>39</v>
      </c>
      <c r="E11" s="14" t="s">
        <v>40</v>
      </c>
      <c r="F11" s="14" t="s">
        <v>41</v>
      </c>
    </row>
    <row r="12" customFormat="false" ht="15" hidden="false" customHeight="true" outlineLevel="0" collapsed="false">
      <c r="A12" s="3" t="s">
        <v>42</v>
      </c>
      <c r="B12" s="15" t="n">
        <v>2.23</v>
      </c>
      <c r="C12" s="15" t="n">
        <v>2.39</v>
      </c>
      <c r="D12" s="15" t="n">
        <v>2.08</v>
      </c>
      <c r="E12" s="15" t="n">
        <v>2.17</v>
      </c>
      <c r="F12" s="4" t="s">
        <v>43</v>
      </c>
    </row>
    <row r="13" customFormat="false" ht="15" hidden="false" customHeight="true" outlineLevel="0" collapsed="false">
      <c r="A13" s="3" t="s">
        <v>44</v>
      </c>
      <c r="B13" s="16" t="n">
        <f aca="false">0.67*B12+0.33</f>
        <v>1.8241</v>
      </c>
      <c r="C13" s="16" t="n">
        <f aca="false">0.67*C12+0.33</f>
        <v>1.9313</v>
      </c>
      <c r="D13" s="16" t="n">
        <f aca="false">0.67*D12+0.33</f>
        <v>1.7236</v>
      </c>
      <c r="E13" s="16" t="n">
        <f aca="false">0.67*E12+0.33</f>
        <v>1.7839</v>
      </c>
      <c r="F13" s="4" t="s">
        <v>45</v>
      </c>
    </row>
    <row r="14" customFormat="false" ht="15" hidden="false" customHeight="true" outlineLevel="0" collapsed="false">
      <c r="A14" s="3" t="s">
        <v>46</v>
      </c>
      <c r="B14" s="16" t="n">
        <f aca="false">IF($B$6=1,B12,B13)</f>
        <v>1.8241</v>
      </c>
      <c r="C14" s="16" t="n">
        <f aca="false">IF($B$6=1,C12,C13)</f>
        <v>1.9313</v>
      </c>
      <c r="D14" s="16" t="n">
        <f aca="false">IF($B$6=1,D12,D13)</f>
        <v>1.7236</v>
      </c>
      <c r="E14" s="16" t="n">
        <f aca="false">IF($B$6=1,E12,E13)</f>
        <v>1.7839</v>
      </c>
      <c r="F14" s="4" t="s">
        <v>47</v>
      </c>
    </row>
    <row r="15" customFormat="false" ht="15" hidden="false" customHeight="true" outlineLevel="0" collapsed="false">
      <c r="A15" s="3" t="s">
        <v>48</v>
      </c>
      <c r="B15" s="13" t="n">
        <v>0</v>
      </c>
      <c r="C15" s="13" t="n">
        <v>0.01</v>
      </c>
      <c r="D15" s="13" t="n">
        <v>0</v>
      </c>
      <c r="E15" s="13" t="n">
        <v>0</v>
      </c>
      <c r="F15" s="4" t="s">
        <v>49</v>
      </c>
    </row>
    <row r="16" customFormat="false" ht="15" hidden="false" customHeight="true" outlineLevel="0" collapsed="false">
      <c r="A16" s="3" t="s">
        <v>50</v>
      </c>
      <c r="B16" s="7" t="n">
        <f aca="false">$B$7+B14*$B$8+B15</f>
        <v>0.144305</v>
      </c>
      <c r="C16" s="7" t="n">
        <f aca="false">$B$7+C14*$B$8+C15</f>
        <v>0.159665</v>
      </c>
      <c r="D16" s="7" t="n">
        <f aca="false">$B$7+D14*$B$8+D15</f>
        <v>0.13928</v>
      </c>
      <c r="E16" s="7" t="n">
        <f aca="false">$B$7+E14*$B$8+E15</f>
        <v>0.142295</v>
      </c>
      <c r="F16" s="4" t="s">
        <v>51</v>
      </c>
    </row>
    <row r="17" customFormat="false" ht="15" hidden="false" customHeight="true" outlineLevel="0" collapsed="false">
      <c r="A17" s="3" t="s">
        <v>52</v>
      </c>
      <c r="B17" s="7" t="n">
        <f aca="false">$B$7+$B$9+B15</f>
        <v>0.0651</v>
      </c>
      <c r="C17" s="7" t="n">
        <f aca="false">$B$7+$B$9+C15</f>
        <v>0.0751</v>
      </c>
      <c r="D17" s="7" t="n">
        <f aca="false">$B$7+$B$9+D15</f>
        <v>0.0651</v>
      </c>
      <c r="E17" s="7" t="n">
        <f aca="false">$B$7+$B$9+E15</f>
        <v>0.0651</v>
      </c>
      <c r="F17" s="4" t="s">
        <v>53</v>
      </c>
    </row>
    <row r="18" customFormat="false" ht="15" hidden="false" customHeight="true" outlineLevel="0" collapsed="false">
      <c r="A18" s="3" t="s">
        <v>54</v>
      </c>
      <c r="B18" s="8" t="n">
        <f aca="false">MU!B8</f>
        <v>0.15</v>
      </c>
      <c r="C18" s="8" t="n">
        <f aca="false">'SK hynix'!B8</f>
        <v>0.22</v>
      </c>
      <c r="D18" s="8" t="n">
        <f aca="false">STX!B8</f>
        <v>0.1</v>
      </c>
      <c r="E18" s="8" t="n">
        <f aca="false">WDC!B8</f>
        <v>0.15</v>
      </c>
      <c r="F18" s="4" t="s">
        <v>55</v>
      </c>
    </row>
    <row r="19" customFormat="false" ht="15" hidden="false" customHeight="true" outlineLevel="0" collapsed="false">
      <c r="A19" s="3" t="s">
        <v>56</v>
      </c>
      <c r="B19" s="7" t="n">
        <f aca="false">B17*(1-B18)</f>
        <v>0.055335</v>
      </c>
      <c r="C19" s="7" t="n">
        <f aca="false">C17*(1-C18)</f>
        <v>0.058578</v>
      </c>
      <c r="D19" s="7" t="n">
        <f aca="false">D17*(1-D18)</f>
        <v>0.05859</v>
      </c>
      <c r="E19" s="7" t="n">
        <f aca="false">E17*(1-E18)</f>
        <v>0.055335</v>
      </c>
      <c r="F19" s="4"/>
    </row>
    <row r="20" customFormat="false" ht="15" hidden="false" customHeight="true" outlineLevel="0" collapsed="false">
      <c r="A20" s="3" t="s">
        <v>57</v>
      </c>
      <c r="B20" s="17" t="n">
        <f aca="false">MU!B4*MU!B6/MU!B13</f>
        <v>1028.2548</v>
      </c>
      <c r="C20" s="17" t="n">
        <f aca="false">'SK hynix'!B4*'SK hynix'!B6/'SK hynix'!B13</f>
        <v>903.06993</v>
      </c>
      <c r="D20" s="17" t="n">
        <f aca="false">STX!B4*STX!B6/STX!B13</f>
        <v>156.5989452</v>
      </c>
      <c r="E20" s="17" t="n">
        <f aca="false">WDC!B4*WDC!B6/WDC!B13</f>
        <v>138.4123064</v>
      </c>
      <c r="F20" s="4" t="s">
        <v>58</v>
      </c>
    </row>
    <row r="21" customFormat="false" ht="15" hidden="false" customHeight="true" outlineLevel="0" collapsed="false">
      <c r="A21" s="3" t="s">
        <v>59</v>
      </c>
      <c r="B21" s="18" t="n">
        <v>5.18</v>
      </c>
      <c r="C21" s="18" t="n">
        <v>21.11</v>
      </c>
      <c r="D21" s="18" t="n">
        <v>3.9</v>
      </c>
      <c r="E21" s="18" t="n">
        <v>1.19</v>
      </c>
      <c r="F21" s="4" t="s">
        <v>60</v>
      </c>
    </row>
    <row r="22" customFormat="false" ht="15" hidden="false" customHeight="true" outlineLevel="0" collapsed="false">
      <c r="A22" s="3" t="s">
        <v>61</v>
      </c>
      <c r="B22" s="7" t="n">
        <f aca="false">B20/(B20+B21)</f>
        <v>0.99498758896062</v>
      </c>
      <c r="C22" s="7" t="n">
        <f aca="false">C20/(C20+C21)</f>
        <v>0.97715812763863</v>
      </c>
      <c r="D22" s="7" t="n">
        <f aca="false">D20/(D20+D21)</f>
        <v>0.97570077488584</v>
      </c>
      <c r="E22" s="7" t="n">
        <f aca="false">E20/(E20+E21)</f>
        <v>0.991475785531864</v>
      </c>
      <c r="F22" s="4"/>
    </row>
    <row r="23" customFormat="false" ht="15" hidden="false" customHeight="true" outlineLevel="0" collapsed="false">
      <c r="A23" s="3" t="s">
        <v>62</v>
      </c>
      <c r="B23" s="7" t="n">
        <f aca="false">B21/(B20+B21)</f>
        <v>0.00501241103938052</v>
      </c>
      <c r="C23" s="7" t="n">
        <f aca="false">C21/(C20+C21)</f>
        <v>0.0228418723613701</v>
      </c>
      <c r="D23" s="7" t="n">
        <f aca="false">D21/(D20+D21)</f>
        <v>0.0242992251141598</v>
      </c>
      <c r="E23" s="7" t="n">
        <f aca="false">E21/(E20+E21)</f>
        <v>0.00852421446813575</v>
      </c>
      <c r="F23" s="4"/>
    </row>
    <row r="24" customFormat="false" ht="15" hidden="false" customHeight="true" outlineLevel="0" collapsed="false">
      <c r="A24" s="3" t="s">
        <v>63</v>
      </c>
      <c r="B24" s="7" t="n">
        <f aca="false">B22*B16+B23*B19</f>
        <v>0.143859045789826</v>
      </c>
      <c r="C24" s="7" t="n">
        <f aca="false">C22*C16+C23*C19</f>
        <v>0.157355983648606</v>
      </c>
      <c r="D24" s="7" t="n">
        <f aca="false">D22*D16+D23*D19</f>
        <v>0.137319295525538</v>
      </c>
      <c r="E24" s="7" t="n">
        <f aca="false">E22*E16+E23*E19</f>
        <v>0.141553734309851</v>
      </c>
      <c r="F24" s="4" t="s">
        <v>64</v>
      </c>
    </row>
    <row r="25" customFormat="false" ht="15" hidden="false" customHeight="true" outlineLevel="0" collapsed="false">
      <c r="A25" s="3" t="s">
        <v>65</v>
      </c>
      <c r="B25" s="19" t="n">
        <v>0.12</v>
      </c>
      <c r="C25" s="19" t="n">
        <v>0.13</v>
      </c>
      <c r="D25" s="19" t="n">
        <v>0.12</v>
      </c>
      <c r="E25" s="19" t="n">
        <v>0.12</v>
      </c>
      <c r="F25" s="4" t="s">
        <v>66</v>
      </c>
    </row>
    <row r="26" customFormat="false" ht="15" hidden="false" customHeight="true" outlineLevel="0" collapsed="false">
      <c r="A26" s="3" t="s">
        <v>67</v>
      </c>
      <c r="B26" s="20" t="n">
        <f aca="false">IF($B$5=1,B24,B25)</f>
        <v>0.12</v>
      </c>
      <c r="C26" s="20" t="n">
        <f aca="false">IF($B$5=1,C24,C25)</f>
        <v>0.13</v>
      </c>
      <c r="D26" s="20" t="n">
        <f aca="false">IF($B$5=1,D24,D25)</f>
        <v>0.12</v>
      </c>
      <c r="E26" s="20" t="n">
        <f aca="false">IF($B$5=1,E24,E25)</f>
        <v>0.12</v>
      </c>
      <c r="F26" s="4" t="s">
        <v>68</v>
      </c>
    </row>
    <row r="27" customFormat="false" ht="15" hidden="false" customHeight="true" outlineLevel="0" collapsed="false">
      <c r="A27" s="3" t="s">
        <v>69</v>
      </c>
      <c r="B27" s="3" t="str">
        <f aca="false">IF(B26&gt;MU!B10,"OK","WACC must exceed growth")</f>
        <v>OK</v>
      </c>
      <c r="C27" s="3" t="str">
        <f aca="false">IF(C26&gt;'SK hynix'!B10,"OK","WACC must exceed growth")</f>
        <v>OK</v>
      </c>
      <c r="D27" s="3" t="str">
        <f aca="false">IF(D26&gt;STX!B10,"OK","WACC must exceed growth")</f>
        <v>OK</v>
      </c>
      <c r="E27" s="3" t="str">
        <f aca="false">IF(E26&gt;WDC!B10,"OK","WACC must exceed growth")</f>
        <v>OK</v>
      </c>
      <c r="F2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7" min="4" style="1" width="13"/>
  </cols>
  <sheetData>
    <row r="1" customFormat="false" ht="15.75" hidden="false" customHeight="true" outlineLevel="0" collapsed="false">
      <c r="A1" s="2" t="s">
        <v>70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4" t="s">
        <v>71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11" t="s">
        <v>3</v>
      </c>
      <c r="B4" s="21" t="n">
        <v>909.96</v>
      </c>
      <c r="C4" s="4" t="s">
        <v>72</v>
      </c>
      <c r="D4" s="3"/>
      <c r="E4" s="3"/>
      <c r="F4" s="3"/>
      <c r="G4" s="3"/>
    </row>
    <row r="5" customFormat="false" ht="15" hidden="false" customHeight="true" outlineLevel="0" collapsed="false">
      <c r="A5" s="11" t="s">
        <v>73</v>
      </c>
      <c r="B5" s="22" t="s">
        <v>74</v>
      </c>
      <c r="C5" s="4" t="s">
        <v>75</v>
      </c>
      <c r="D5" s="3"/>
      <c r="E5" s="3"/>
      <c r="F5" s="3"/>
      <c r="G5" s="3"/>
    </row>
    <row r="6" customFormat="false" ht="15" hidden="false" customHeight="true" outlineLevel="0" collapsed="false">
      <c r="A6" s="11" t="s">
        <v>76</v>
      </c>
      <c r="B6" s="23" t="n">
        <v>1.13</v>
      </c>
      <c r="C6" s="4" t="s">
        <v>77</v>
      </c>
      <c r="D6" s="3"/>
      <c r="E6" s="3"/>
      <c r="F6" s="3"/>
      <c r="G6" s="3"/>
    </row>
    <row r="7" customFormat="false" ht="15" hidden="false" customHeight="true" outlineLevel="0" collapsed="false">
      <c r="A7" s="11" t="s">
        <v>78</v>
      </c>
      <c r="B7" s="24" t="n">
        <v>68.3</v>
      </c>
      <c r="C7" s="4" t="s">
        <v>79</v>
      </c>
      <c r="D7" s="3"/>
      <c r="E7" s="3"/>
      <c r="F7" s="3"/>
      <c r="G7" s="3"/>
    </row>
    <row r="8" customFormat="false" ht="15" hidden="false" customHeight="true" outlineLevel="0" collapsed="false">
      <c r="A8" s="11" t="s">
        <v>54</v>
      </c>
      <c r="B8" s="13" t="n">
        <v>0.15</v>
      </c>
      <c r="C8" s="4" t="s">
        <v>33</v>
      </c>
      <c r="D8" s="3"/>
      <c r="E8" s="3"/>
      <c r="F8" s="3"/>
      <c r="G8" s="3"/>
    </row>
    <row r="9" customFormat="false" ht="15" hidden="false" customHeight="true" outlineLevel="0" collapsed="false">
      <c r="A9" s="11" t="s">
        <v>80</v>
      </c>
      <c r="B9" s="8" t="n">
        <f aca="false">WACC!B26</f>
        <v>0.12</v>
      </c>
      <c r="C9" s="4" t="s">
        <v>81</v>
      </c>
      <c r="D9" s="3"/>
      <c r="E9" s="3"/>
      <c r="F9" s="3"/>
      <c r="G9" s="3"/>
    </row>
    <row r="10" customFormat="false" ht="15" hidden="false" customHeight="true" outlineLevel="0" collapsed="false">
      <c r="A10" s="11" t="s">
        <v>82</v>
      </c>
      <c r="B10" s="19" t="n">
        <v>0.025</v>
      </c>
      <c r="C10" s="4" t="s">
        <v>33</v>
      </c>
      <c r="D10" s="3"/>
      <c r="E10" s="3"/>
      <c r="F10" s="3"/>
      <c r="G10" s="3"/>
    </row>
    <row r="11" customFormat="false" ht="15" hidden="false" customHeight="true" outlineLevel="0" collapsed="false">
      <c r="A11" s="11" t="s">
        <v>83</v>
      </c>
      <c r="B11" s="13" t="n">
        <v>0.08</v>
      </c>
      <c r="C11" s="4" t="s">
        <v>33</v>
      </c>
      <c r="D11" s="3"/>
      <c r="E11" s="3"/>
      <c r="F11" s="3"/>
      <c r="G11" s="3"/>
    </row>
    <row r="12" customFormat="false" ht="15" hidden="false" customHeight="true" outlineLevel="0" collapsed="false">
      <c r="A12" s="11" t="s">
        <v>84</v>
      </c>
      <c r="B12" s="24" t="n">
        <v>133.188</v>
      </c>
      <c r="C12" s="4" t="s">
        <v>85</v>
      </c>
      <c r="D12" s="3"/>
      <c r="E12" s="3"/>
      <c r="F12" s="3"/>
      <c r="G12" s="3"/>
    </row>
    <row r="13" customFormat="false" ht="15" hidden="false" customHeight="true" outlineLevel="0" collapsed="false">
      <c r="A13" s="11" t="s">
        <v>86</v>
      </c>
      <c r="B13" s="25" t="n">
        <v>1</v>
      </c>
      <c r="C13" s="4" t="s">
        <v>87</v>
      </c>
      <c r="D13" s="3"/>
      <c r="E13" s="3"/>
      <c r="F13" s="3"/>
      <c r="G13" s="3"/>
    </row>
    <row r="14" customFormat="false" ht="15" hidden="false" customHeight="true" outlineLevel="0" collapsed="false">
      <c r="A14" s="11" t="s">
        <v>88</v>
      </c>
      <c r="B14" s="13" t="n">
        <v>0.15</v>
      </c>
      <c r="C14" s="4" t="s">
        <v>33</v>
      </c>
      <c r="D14" s="3"/>
      <c r="E14" s="3"/>
      <c r="F14" s="3"/>
      <c r="G14" s="3"/>
    </row>
    <row r="15" customFormat="false" ht="15" hidden="false" customHeight="true" outlineLevel="0" collapsed="false">
      <c r="A15" s="11" t="s">
        <v>89</v>
      </c>
      <c r="B15" s="12" t="n">
        <v>2</v>
      </c>
      <c r="C15" s="4" t="s">
        <v>90</v>
      </c>
      <c r="D15" s="3"/>
      <c r="E15" s="3"/>
      <c r="F15" s="3"/>
      <c r="G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</row>
    <row r="17" customFormat="false" ht="15" hidden="false" customHeight="true" outlineLevel="0" collapsed="false">
      <c r="A17" s="10" t="s">
        <v>91</v>
      </c>
      <c r="B17" s="26" t="s">
        <v>92</v>
      </c>
      <c r="C17" s="26" t="s">
        <v>93</v>
      </c>
      <c r="D17" s="26" t="s">
        <v>94</v>
      </c>
      <c r="E17" s="26" t="s">
        <v>95</v>
      </c>
      <c r="F17" s="26" t="s">
        <v>96</v>
      </c>
      <c r="G17" s="26" t="s">
        <v>97</v>
      </c>
    </row>
    <row r="18" customFormat="false" ht="15" hidden="false" customHeight="true" outlineLevel="0" collapsed="false">
      <c r="A18" s="3" t="s">
        <v>98</v>
      </c>
      <c r="B18" s="22" t="n">
        <v>0.5</v>
      </c>
      <c r="C18" s="3" t="n">
        <f aca="false">B18+1</f>
        <v>1.5</v>
      </c>
      <c r="D18" s="3" t="n">
        <f aca="false">C18+1</f>
        <v>2.5</v>
      </c>
      <c r="E18" s="3" t="n">
        <f aca="false">D18+1</f>
        <v>3.5</v>
      </c>
      <c r="F18" s="3" t="n">
        <f aca="false">E18+1</f>
        <v>4.5</v>
      </c>
      <c r="G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true" outlineLevel="0" collapsed="false">
      <c r="A20" s="14" t="s">
        <v>99</v>
      </c>
      <c r="B20" s="27"/>
      <c r="C20" s="27"/>
      <c r="D20" s="27"/>
      <c r="E20" s="27"/>
      <c r="F20" s="27"/>
      <c r="G20" s="27"/>
    </row>
    <row r="21" customFormat="false" ht="15" hidden="false" customHeight="true" outlineLevel="0" collapsed="false">
      <c r="A21" s="3" t="s">
        <v>100</v>
      </c>
      <c r="B21" s="24" t="n">
        <v>245</v>
      </c>
      <c r="C21" s="24" t="n">
        <v>150</v>
      </c>
      <c r="D21" s="24" t="n">
        <v>110</v>
      </c>
      <c r="E21" s="24" t="n">
        <v>130</v>
      </c>
      <c r="F21" s="24" t="n">
        <v>150</v>
      </c>
      <c r="G21" s="28" t="n">
        <f aca="false">F21*(1+$B$10)</f>
        <v>153.75</v>
      </c>
    </row>
    <row r="22" customFormat="false" ht="15" hidden="false" customHeight="true" outlineLevel="0" collapsed="false">
      <c r="A22" s="3" t="s">
        <v>101</v>
      </c>
      <c r="B22" s="7" t="n">
        <f aca="false">B21/$B$12-1</f>
        <v>0.839505060515963</v>
      </c>
      <c r="C22" s="7" t="n">
        <f aca="false">C21/B21-1</f>
        <v>-0.387755102040816</v>
      </c>
      <c r="D22" s="7" t="n">
        <f aca="false">D21/C21-1</f>
        <v>-0.266666666666667</v>
      </c>
      <c r="E22" s="7" t="n">
        <f aca="false">E21/D21-1</f>
        <v>0.181818181818182</v>
      </c>
      <c r="F22" s="7" t="n">
        <f aca="false">F21/E21-1</f>
        <v>0.153846153846154</v>
      </c>
      <c r="G22" s="7" t="n">
        <f aca="false">G21/F21-1</f>
        <v>0.0249999999999999</v>
      </c>
    </row>
    <row r="23" customFormat="false" ht="15" hidden="false" customHeight="true" outlineLevel="0" collapsed="false">
      <c r="A23" s="3" t="s">
        <v>102</v>
      </c>
      <c r="B23" s="13" t="n">
        <v>0.8</v>
      </c>
      <c r="C23" s="13" t="n">
        <v>0.45</v>
      </c>
      <c r="D23" s="13" t="n">
        <v>0.15</v>
      </c>
      <c r="E23" s="13" t="n">
        <v>0.25</v>
      </c>
      <c r="F23" s="13" t="n">
        <v>0.33</v>
      </c>
      <c r="G23" s="19" t="n">
        <v>0.25</v>
      </c>
    </row>
    <row r="24" customFormat="false" ht="15" hidden="false" customHeight="true" outlineLevel="0" collapsed="false">
      <c r="A24" s="3" t="s">
        <v>103</v>
      </c>
      <c r="B24" s="28" t="n">
        <f aca="false">B21*B23</f>
        <v>196</v>
      </c>
      <c r="C24" s="28" t="n">
        <f aca="false">C21*C23</f>
        <v>67.5</v>
      </c>
      <c r="D24" s="28" t="n">
        <f aca="false">D21*D23</f>
        <v>16.5</v>
      </c>
      <c r="E24" s="28" t="n">
        <f aca="false">E21*E23</f>
        <v>32.5</v>
      </c>
      <c r="F24" s="28" t="n">
        <f aca="false">F21*F23</f>
        <v>49.5</v>
      </c>
      <c r="G24" s="28" t="n">
        <f aca="false">G21*G23</f>
        <v>38.4375</v>
      </c>
    </row>
    <row r="25" customFormat="false" ht="15" hidden="false" customHeight="true" outlineLevel="0" collapsed="false">
      <c r="A25" s="3" t="s">
        <v>104</v>
      </c>
      <c r="B25" s="28" t="n">
        <f aca="false">B24*(1-$B$8)</f>
        <v>166.6</v>
      </c>
      <c r="C25" s="28" t="n">
        <f aca="false">C24*(1-$B$8)</f>
        <v>57.375</v>
      </c>
      <c r="D25" s="28" t="n">
        <f aca="false">D24*(1-$B$8)</f>
        <v>14.025</v>
      </c>
      <c r="E25" s="28" t="n">
        <f aca="false">E24*(1-$B$8)</f>
        <v>27.625</v>
      </c>
      <c r="F25" s="28" t="n">
        <f aca="false">F24*(1-$B$8)</f>
        <v>42.075</v>
      </c>
      <c r="G25" s="28" t="n">
        <f aca="false">G24*(1-$B$8)</f>
        <v>32.671875</v>
      </c>
    </row>
    <row r="26" customFormat="false" ht="15" hidden="false" customHeight="true" outlineLevel="0" collapsed="false">
      <c r="A26" s="3" t="s">
        <v>105</v>
      </c>
      <c r="B26" s="13" t="n">
        <v>0.15</v>
      </c>
      <c r="C26" s="13" t="n">
        <v>0.15</v>
      </c>
      <c r="D26" s="13" t="n">
        <v>0.12</v>
      </c>
      <c r="E26" s="13" t="n">
        <v>0.08</v>
      </c>
      <c r="F26" s="13" t="n">
        <v>0.07</v>
      </c>
      <c r="G26" s="13" t="n">
        <v>0.06</v>
      </c>
    </row>
    <row r="27" customFormat="false" ht="15" hidden="false" customHeight="true" outlineLevel="0" collapsed="false">
      <c r="A27" s="3" t="s">
        <v>106</v>
      </c>
      <c r="B27" s="28" t="n">
        <f aca="false">B21*B26</f>
        <v>36.75</v>
      </c>
      <c r="C27" s="28" t="n">
        <f aca="false">C21*C26</f>
        <v>22.5</v>
      </c>
      <c r="D27" s="28" t="n">
        <f aca="false">D21*D26</f>
        <v>13.2</v>
      </c>
      <c r="E27" s="28" t="n">
        <f aca="false">E21*E26</f>
        <v>10.4</v>
      </c>
      <c r="F27" s="28" t="n">
        <f aca="false">F21*F26</f>
        <v>10.5</v>
      </c>
      <c r="G27" s="28" t="n">
        <f aca="false">G21*G26</f>
        <v>9.225</v>
      </c>
    </row>
    <row r="28" customFormat="false" ht="15" hidden="false" customHeight="true" outlineLevel="0" collapsed="false">
      <c r="A28" s="3" t="s">
        <v>107</v>
      </c>
      <c r="B28" s="28" t="n">
        <f aca="false">$B$11*(B21-$B$12)</f>
        <v>8.94496</v>
      </c>
      <c r="C28" s="28" t="n">
        <f aca="false">$B$11*(C21-B21)</f>
        <v>-7.6</v>
      </c>
      <c r="D28" s="28" t="n">
        <f aca="false">$B$11*(D21-C21)</f>
        <v>-3.2</v>
      </c>
      <c r="E28" s="28" t="n">
        <f aca="false">$B$11*(E21-D21)</f>
        <v>1.6</v>
      </c>
      <c r="F28" s="28" t="n">
        <f aca="false">$B$11*(F21-E21)</f>
        <v>1.6</v>
      </c>
      <c r="G28" s="28" t="n">
        <f aca="false">$B$11*(G21-F21)</f>
        <v>0.3</v>
      </c>
    </row>
    <row r="29" customFormat="false" ht="15" hidden="false" customHeight="true" outlineLevel="0" collapsed="false">
      <c r="A29" s="3" t="s">
        <v>108</v>
      </c>
      <c r="B29" s="28" t="n">
        <f aca="false">B25-B27-B28</f>
        <v>120.90504</v>
      </c>
      <c r="C29" s="28" t="n">
        <f aca="false">C25-C27-C28</f>
        <v>42.475</v>
      </c>
      <c r="D29" s="28" t="n">
        <f aca="false">D25-D27-D28</f>
        <v>4.025</v>
      </c>
      <c r="E29" s="28" t="n">
        <f aca="false">E25-E27-E28</f>
        <v>15.625</v>
      </c>
      <c r="F29" s="28" t="n">
        <f aca="false">F25-F27-F28</f>
        <v>29.975</v>
      </c>
      <c r="G29" s="28" t="n">
        <f aca="false">G25-G27-G28</f>
        <v>23.146875</v>
      </c>
    </row>
    <row r="30" customFormat="false" ht="15" hidden="false" customHeight="true" outlineLevel="0" collapsed="false">
      <c r="A30" s="3" t="s">
        <v>109</v>
      </c>
      <c r="B30" s="29" t="n">
        <f aca="false">1/(1+$B$9)^B$18</f>
        <v>0.944911182523068</v>
      </c>
      <c r="C30" s="29" t="n">
        <f aca="false">1/(1+$B$9)^C$18</f>
        <v>0.843670698681311</v>
      </c>
      <c r="D30" s="29" t="n">
        <f aca="false">1/(1+$B$9)^D$18</f>
        <v>0.753277409536885</v>
      </c>
      <c r="E30" s="29" t="n">
        <f aca="false">1/(1+$B$9)^E$18</f>
        <v>0.672569115657932</v>
      </c>
      <c r="F30" s="29" t="n">
        <f aca="false">1/(1+$B$9)^F$18</f>
        <v>0.600508138980297</v>
      </c>
      <c r="G30" s="3"/>
    </row>
    <row r="31" customFormat="false" ht="15" hidden="false" customHeight="true" outlineLevel="0" collapsed="false">
      <c r="A31" s="3" t="s">
        <v>110</v>
      </c>
      <c r="B31" s="28" t="n">
        <f aca="false">B29*B30</f>
        <v>114.244524319399</v>
      </c>
      <c r="C31" s="28" t="n">
        <f aca="false">C29*C30</f>
        <v>35.8349129264887</v>
      </c>
      <c r="D31" s="28" t="n">
        <f aca="false">D29*D30</f>
        <v>3.03194157338596</v>
      </c>
      <c r="E31" s="28" t="n">
        <f aca="false">E29*E30</f>
        <v>10.5088924321552</v>
      </c>
      <c r="F31" s="28" t="n">
        <f aca="false">F29*F30</f>
        <v>18.0002314659344</v>
      </c>
      <c r="G31" s="28"/>
    </row>
    <row r="32" customFormat="false" ht="15" hidden="false" customHeight="true" outlineLevel="0" collapsed="false">
      <c r="A32" s="3" t="s">
        <v>111</v>
      </c>
      <c r="B32" s="28" t="n">
        <f aca="false">G29/($B$9-$B$10)</f>
        <v>243.651315789474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A33" s="3" t="s">
        <v>112</v>
      </c>
      <c r="B33" s="28" t="n">
        <f aca="false">B32/(1+$B$9)^$F$18</f>
        <v>146.314598204837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A34" s="3" t="s">
        <v>113</v>
      </c>
      <c r="B34" s="28" t="n">
        <f aca="false">SUM(B31:F31)+B33+$B$7</f>
        <v>396.235100922201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A35" s="3" t="s">
        <v>114</v>
      </c>
      <c r="B35" s="30" t="n">
        <f aca="false">B34/$B$6*$B$13</f>
        <v>350.650531789558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A36" s="3" t="s">
        <v>115</v>
      </c>
      <c r="B36" s="7" t="n">
        <f aca="false">B35/$B$4-1</f>
        <v>-0.614652806948044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A37" s="14" t="s">
        <v>116</v>
      </c>
      <c r="B37" s="27"/>
      <c r="C37" s="27"/>
      <c r="D37" s="27"/>
      <c r="E37" s="27"/>
      <c r="F37" s="27"/>
      <c r="G37" s="27"/>
    </row>
    <row r="38" customFormat="false" ht="15" hidden="false" customHeight="true" outlineLevel="0" collapsed="false">
      <c r="A38" s="3" t="s">
        <v>100</v>
      </c>
      <c r="B38" s="24" t="n">
        <v>260</v>
      </c>
      <c r="C38" s="24" t="n">
        <v>250</v>
      </c>
      <c r="D38" s="24" t="n">
        <v>200</v>
      </c>
      <c r="E38" s="24" t="n">
        <v>190</v>
      </c>
      <c r="F38" s="24" t="n">
        <v>205</v>
      </c>
      <c r="G38" s="28" t="n">
        <f aca="false">F38*(1+$B$10)</f>
        <v>210.125</v>
      </c>
    </row>
    <row r="39" customFormat="false" ht="15" hidden="false" customHeight="true" outlineLevel="0" collapsed="false">
      <c r="A39" s="3" t="s">
        <v>101</v>
      </c>
      <c r="B39" s="7" t="n">
        <f aca="false">B38/$B$12-1</f>
        <v>0.952127819323062</v>
      </c>
      <c r="C39" s="7" t="n">
        <f aca="false">C38/B38-1</f>
        <v>-0.0384615384615384</v>
      </c>
      <c r="D39" s="7" t="n">
        <f aca="false">D38/C38-1</f>
        <v>-0.2</v>
      </c>
      <c r="E39" s="7" t="n">
        <f aca="false">E38/D38-1</f>
        <v>-0.05</v>
      </c>
      <c r="F39" s="7" t="n">
        <f aca="false">F38/E38-1</f>
        <v>0.0789473684210527</v>
      </c>
      <c r="G39" s="7" t="n">
        <f aca="false">G38/F38-1</f>
        <v>0.0249999999999999</v>
      </c>
    </row>
    <row r="40" customFormat="false" ht="15" hidden="false" customHeight="true" outlineLevel="0" collapsed="false">
      <c r="A40" s="3" t="s">
        <v>102</v>
      </c>
      <c r="B40" s="13" t="n">
        <v>0.82</v>
      </c>
      <c r="C40" s="13" t="n">
        <v>0.72</v>
      </c>
      <c r="D40" s="13" t="n">
        <v>0.5</v>
      </c>
      <c r="E40" s="13" t="n">
        <v>0.45</v>
      </c>
      <c r="F40" s="13" t="n">
        <v>0.45</v>
      </c>
      <c r="G40" s="19" t="n">
        <v>0.35</v>
      </c>
    </row>
    <row r="41" customFormat="false" ht="15" hidden="false" customHeight="true" outlineLevel="0" collapsed="false">
      <c r="A41" s="3" t="s">
        <v>103</v>
      </c>
      <c r="B41" s="28" t="n">
        <f aca="false">B38*B40</f>
        <v>213.2</v>
      </c>
      <c r="C41" s="28" t="n">
        <f aca="false">C38*C40</f>
        <v>180</v>
      </c>
      <c r="D41" s="28" t="n">
        <f aca="false">D38*D40</f>
        <v>100</v>
      </c>
      <c r="E41" s="28" t="n">
        <f aca="false">E38*E40</f>
        <v>85.5</v>
      </c>
      <c r="F41" s="28" t="n">
        <f aca="false">F38*F40</f>
        <v>92.25</v>
      </c>
      <c r="G41" s="28" t="n">
        <f aca="false">G38*G40</f>
        <v>73.54375</v>
      </c>
    </row>
    <row r="42" customFormat="false" ht="15" hidden="false" customHeight="true" outlineLevel="0" collapsed="false">
      <c r="A42" s="3" t="s">
        <v>104</v>
      </c>
      <c r="B42" s="28" t="n">
        <f aca="false">B41*(1-$B$8)</f>
        <v>181.22</v>
      </c>
      <c r="C42" s="28" t="n">
        <f aca="false">C41*(1-$B$8)</f>
        <v>153</v>
      </c>
      <c r="D42" s="28" t="n">
        <f aca="false">D41*(1-$B$8)</f>
        <v>85</v>
      </c>
      <c r="E42" s="28" t="n">
        <f aca="false">E41*(1-$B$8)</f>
        <v>72.675</v>
      </c>
      <c r="F42" s="28" t="n">
        <f aca="false">F41*(1-$B$8)</f>
        <v>78.4125</v>
      </c>
      <c r="G42" s="28" t="n">
        <f aca="false">G41*(1-$B$8)</f>
        <v>62.5121875</v>
      </c>
    </row>
    <row r="43" customFormat="false" ht="15" hidden="false" customHeight="true" outlineLevel="0" collapsed="false">
      <c r="A43" s="3" t="s">
        <v>105</v>
      </c>
      <c r="B43" s="13" t="n">
        <v>0.15</v>
      </c>
      <c r="C43" s="13" t="n">
        <v>0.12</v>
      </c>
      <c r="D43" s="13" t="n">
        <v>0.08</v>
      </c>
      <c r="E43" s="13" t="n">
        <v>0.06</v>
      </c>
      <c r="F43" s="13" t="n">
        <v>0.06</v>
      </c>
      <c r="G43" s="13" t="n">
        <v>0.05</v>
      </c>
    </row>
    <row r="44" customFormat="false" ht="15" hidden="false" customHeight="true" outlineLevel="0" collapsed="false">
      <c r="A44" s="3" t="s">
        <v>106</v>
      </c>
      <c r="B44" s="28" t="n">
        <f aca="false">B38*B43</f>
        <v>39</v>
      </c>
      <c r="C44" s="28" t="n">
        <f aca="false">C38*C43</f>
        <v>30</v>
      </c>
      <c r="D44" s="28" t="n">
        <f aca="false">D38*D43</f>
        <v>16</v>
      </c>
      <c r="E44" s="28" t="n">
        <f aca="false">E38*E43</f>
        <v>11.4</v>
      </c>
      <c r="F44" s="28" t="n">
        <f aca="false">F38*F43</f>
        <v>12.3</v>
      </c>
      <c r="G44" s="28" t="n">
        <f aca="false">G38*G43</f>
        <v>10.50625</v>
      </c>
    </row>
    <row r="45" customFormat="false" ht="15" hidden="false" customHeight="true" outlineLevel="0" collapsed="false">
      <c r="A45" s="3" t="s">
        <v>107</v>
      </c>
      <c r="B45" s="28" t="n">
        <f aca="false">$B$11*(B38-$B$12)</f>
        <v>10.14496</v>
      </c>
      <c r="C45" s="28" t="n">
        <f aca="false">$B$11*(C38-B38)</f>
        <v>-0.8</v>
      </c>
      <c r="D45" s="28" t="n">
        <f aca="false">$B$11*(D38-C38)</f>
        <v>-4</v>
      </c>
      <c r="E45" s="28" t="n">
        <f aca="false">$B$11*(E38-D38)</f>
        <v>-0.8</v>
      </c>
      <c r="F45" s="28" t="n">
        <f aca="false">$B$11*(F38-E38)</f>
        <v>1.2</v>
      </c>
      <c r="G45" s="28" t="n">
        <f aca="false">$B$11*(G38-F38)</f>
        <v>0.409999999999998</v>
      </c>
    </row>
    <row r="46" customFormat="false" ht="15" hidden="false" customHeight="true" outlineLevel="0" collapsed="false">
      <c r="A46" s="3" t="s">
        <v>108</v>
      </c>
      <c r="B46" s="28" t="n">
        <f aca="false">B42-B44-B45</f>
        <v>132.07504</v>
      </c>
      <c r="C46" s="28" t="n">
        <f aca="false">C42-C44-C45</f>
        <v>123.8</v>
      </c>
      <c r="D46" s="28" t="n">
        <f aca="false">D42-D44-D45</f>
        <v>73</v>
      </c>
      <c r="E46" s="28" t="n">
        <f aca="false">E42-E44-E45</f>
        <v>62.075</v>
      </c>
      <c r="F46" s="28" t="n">
        <f aca="false">F42-F44-F45</f>
        <v>64.9125</v>
      </c>
      <c r="G46" s="28" t="n">
        <f aca="false">G42-G44-G45</f>
        <v>51.5959375</v>
      </c>
    </row>
    <row r="47" customFormat="false" ht="15" hidden="false" customHeight="true" outlineLevel="0" collapsed="false">
      <c r="A47" s="3" t="s">
        <v>109</v>
      </c>
      <c r="B47" s="29" t="n">
        <f aca="false">1/(1+$B$9)^B$18</f>
        <v>0.944911182523068</v>
      </c>
      <c r="C47" s="29" t="n">
        <f aca="false">1/(1+$B$9)^C$18</f>
        <v>0.843670698681311</v>
      </c>
      <c r="D47" s="29" t="n">
        <f aca="false">1/(1+$B$9)^D$18</f>
        <v>0.753277409536885</v>
      </c>
      <c r="E47" s="29" t="n">
        <f aca="false">1/(1+$B$9)^E$18</f>
        <v>0.672569115657932</v>
      </c>
      <c r="F47" s="29" t="n">
        <f aca="false">1/(1+$B$9)^F$18</f>
        <v>0.600508138980297</v>
      </c>
      <c r="G47" s="3"/>
    </row>
    <row r="48" customFormat="false" ht="15" hidden="false" customHeight="true" outlineLevel="0" collapsed="false">
      <c r="A48" s="3" t="s">
        <v>110</v>
      </c>
      <c r="B48" s="28" t="n">
        <f aca="false">B46*B47</f>
        <v>124.799182228182</v>
      </c>
      <c r="C48" s="28" t="n">
        <f aca="false">C46*C47</f>
        <v>104.446432496746</v>
      </c>
      <c r="D48" s="28" t="n">
        <f aca="false">D46*D47</f>
        <v>54.9892508961926</v>
      </c>
      <c r="E48" s="28" t="n">
        <f aca="false">E46*E47</f>
        <v>41.7497278544662</v>
      </c>
      <c r="F48" s="28" t="n">
        <f aca="false">F46*F47</f>
        <v>38.9804845715585</v>
      </c>
      <c r="G48" s="28"/>
    </row>
    <row r="49" customFormat="false" ht="15" hidden="false" customHeight="true" outlineLevel="0" collapsed="false">
      <c r="A49" s="3" t="s">
        <v>111</v>
      </c>
      <c r="B49" s="28" t="n">
        <f aca="false">G46/($B$9-$B$10)</f>
        <v>543.115131578947</v>
      </c>
      <c r="C49" s="3"/>
      <c r="D49" s="3"/>
      <c r="E49" s="3"/>
      <c r="F49" s="3"/>
      <c r="G49" s="3"/>
    </row>
    <row r="50" customFormat="false" ht="15" hidden="false" customHeight="true" outlineLevel="0" collapsed="false">
      <c r="A50" s="3" t="s">
        <v>112</v>
      </c>
      <c r="B50" s="28" t="n">
        <f aca="false">B49/(1+$B$9)^$F$18</f>
        <v>326.145056916513</v>
      </c>
      <c r="C50" s="3"/>
      <c r="D50" s="3"/>
      <c r="E50" s="3"/>
      <c r="F50" s="3"/>
      <c r="G50" s="3"/>
    </row>
    <row r="51" customFormat="false" ht="15" hidden="false" customHeight="true" outlineLevel="0" collapsed="false">
      <c r="A51" s="3" t="s">
        <v>113</v>
      </c>
      <c r="B51" s="28" t="n">
        <f aca="false">SUM(B48:F48)+B50+$B$7</f>
        <v>759.410134963658</v>
      </c>
      <c r="C51" s="3"/>
      <c r="D51" s="3"/>
      <c r="E51" s="3"/>
      <c r="F51" s="3"/>
      <c r="G51" s="3"/>
    </row>
    <row r="52" customFormat="false" ht="15" hidden="false" customHeight="true" outlineLevel="0" collapsed="false">
      <c r="A52" s="3" t="s">
        <v>114</v>
      </c>
      <c r="B52" s="30" t="n">
        <f aca="false">B51/$B$6*$B$13</f>
        <v>672.044367224476</v>
      </c>
      <c r="C52" s="3"/>
      <c r="D52" s="3"/>
      <c r="E52" s="3"/>
      <c r="F52" s="3"/>
      <c r="G52" s="3"/>
    </row>
    <row r="53" customFormat="false" ht="15" hidden="false" customHeight="true" outlineLevel="0" collapsed="false">
      <c r="A53" s="3" t="s">
        <v>115</v>
      </c>
      <c r="B53" s="7" t="n">
        <f aca="false">B52/$B$4-1</f>
        <v>-0.261457242928837</v>
      </c>
      <c r="C53" s="3"/>
      <c r="D53" s="3"/>
      <c r="E53" s="3"/>
      <c r="F53" s="3"/>
      <c r="G53" s="3"/>
    </row>
    <row r="54" customFormat="false" ht="15" hidden="false" customHeight="true" outlineLevel="0" collapsed="false">
      <c r="A54" s="14" t="s">
        <v>117</v>
      </c>
      <c r="B54" s="27"/>
      <c r="C54" s="27"/>
      <c r="D54" s="27"/>
      <c r="E54" s="27"/>
      <c r="F54" s="27"/>
      <c r="G54" s="27"/>
    </row>
    <row r="55" customFormat="false" ht="15" hidden="false" customHeight="true" outlineLevel="0" collapsed="false">
      <c r="A55" s="3" t="s">
        <v>100</v>
      </c>
      <c r="B55" s="24" t="n">
        <v>270</v>
      </c>
      <c r="C55" s="24" t="n">
        <v>320</v>
      </c>
      <c r="D55" s="24" t="n">
        <v>330</v>
      </c>
      <c r="E55" s="24" t="n">
        <v>290</v>
      </c>
      <c r="F55" s="24" t="n">
        <v>280</v>
      </c>
      <c r="G55" s="28" t="n">
        <f aca="false">F55*(1+$B$10)</f>
        <v>287</v>
      </c>
    </row>
    <row r="56" customFormat="false" ht="15" hidden="false" customHeight="true" outlineLevel="0" collapsed="false">
      <c r="A56" s="3" t="s">
        <v>101</v>
      </c>
      <c r="B56" s="7" t="n">
        <f aca="false">B55/$B$12-1</f>
        <v>1.0272096585278</v>
      </c>
      <c r="C56" s="7" t="n">
        <f aca="false">C55/B55-1</f>
        <v>0.185185185185185</v>
      </c>
      <c r="D56" s="7" t="n">
        <f aca="false">D55/C55-1</f>
        <v>0.03125</v>
      </c>
      <c r="E56" s="7" t="n">
        <f aca="false">E55/D55-1</f>
        <v>-0.121212121212121</v>
      </c>
      <c r="F56" s="7" t="n">
        <f aca="false">F55/E55-1</f>
        <v>-0.0344827586206896</v>
      </c>
      <c r="G56" s="7" t="n">
        <f aca="false">G55/F55-1</f>
        <v>0.0249999999999999</v>
      </c>
    </row>
    <row r="57" customFormat="false" ht="15" hidden="false" customHeight="true" outlineLevel="0" collapsed="false">
      <c r="A57" s="3" t="s">
        <v>102</v>
      </c>
      <c r="B57" s="13" t="n">
        <v>0.83</v>
      </c>
      <c r="C57" s="13" t="n">
        <v>0.8</v>
      </c>
      <c r="D57" s="13" t="n">
        <v>0.72</v>
      </c>
      <c r="E57" s="13" t="n">
        <v>0.6</v>
      </c>
      <c r="F57" s="13" t="n">
        <v>0.55</v>
      </c>
      <c r="G57" s="19" t="n">
        <v>0.45</v>
      </c>
    </row>
    <row r="58" customFormat="false" ht="15" hidden="false" customHeight="true" outlineLevel="0" collapsed="false">
      <c r="A58" s="3" t="s">
        <v>103</v>
      </c>
      <c r="B58" s="28" t="n">
        <f aca="false">B55*B57</f>
        <v>224.1</v>
      </c>
      <c r="C58" s="28" t="n">
        <f aca="false">C55*C57</f>
        <v>256</v>
      </c>
      <c r="D58" s="28" t="n">
        <f aca="false">D55*D57</f>
        <v>237.6</v>
      </c>
      <c r="E58" s="28" t="n">
        <f aca="false">E55*E57</f>
        <v>174</v>
      </c>
      <c r="F58" s="28" t="n">
        <f aca="false">F55*F57</f>
        <v>154</v>
      </c>
      <c r="G58" s="28" t="n">
        <f aca="false">G55*G57</f>
        <v>129.15</v>
      </c>
    </row>
    <row r="59" customFormat="false" ht="15" hidden="false" customHeight="true" outlineLevel="0" collapsed="false">
      <c r="A59" s="3" t="s">
        <v>104</v>
      </c>
      <c r="B59" s="28" t="n">
        <f aca="false">B58*(1-$B$8)</f>
        <v>190.485</v>
      </c>
      <c r="C59" s="28" t="n">
        <f aca="false">C58*(1-$B$8)</f>
        <v>217.6</v>
      </c>
      <c r="D59" s="28" t="n">
        <f aca="false">D58*(1-$B$8)</f>
        <v>201.96</v>
      </c>
      <c r="E59" s="28" t="n">
        <f aca="false">E58*(1-$B$8)</f>
        <v>147.9</v>
      </c>
      <c r="F59" s="28" t="n">
        <f aca="false">F58*(1-$B$8)</f>
        <v>130.9</v>
      </c>
      <c r="G59" s="28" t="n">
        <f aca="false">G58*(1-$B$8)</f>
        <v>109.7775</v>
      </c>
    </row>
    <row r="60" customFormat="false" ht="15" hidden="false" customHeight="true" outlineLevel="0" collapsed="false">
      <c r="A60" s="3" t="s">
        <v>105</v>
      </c>
      <c r="B60" s="13" t="n">
        <v>0.14</v>
      </c>
      <c r="C60" s="13" t="n">
        <v>0.12</v>
      </c>
      <c r="D60" s="13" t="n">
        <v>0.1</v>
      </c>
      <c r="E60" s="13" t="n">
        <v>0.07</v>
      </c>
      <c r="F60" s="13" t="n">
        <v>0.06</v>
      </c>
      <c r="G60" s="13" t="n">
        <v>0.05</v>
      </c>
    </row>
    <row r="61" customFormat="false" ht="15" hidden="false" customHeight="true" outlineLevel="0" collapsed="false">
      <c r="A61" s="3" t="s">
        <v>106</v>
      </c>
      <c r="B61" s="28" t="n">
        <f aca="false">B55*B60</f>
        <v>37.8</v>
      </c>
      <c r="C61" s="28" t="n">
        <f aca="false">C55*C60</f>
        <v>38.4</v>
      </c>
      <c r="D61" s="28" t="n">
        <f aca="false">D55*D60</f>
        <v>33</v>
      </c>
      <c r="E61" s="28" t="n">
        <f aca="false">E55*E60</f>
        <v>20.3</v>
      </c>
      <c r="F61" s="28" t="n">
        <f aca="false">F55*F60</f>
        <v>16.8</v>
      </c>
      <c r="G61" s="28" t="n">
        <f aca="false">G55*G60</f>
        <v>14.35</v>
      </c>
    </row>
    <row r="62" customFormat="false" ht="15" hidden="false" customHeight="true" outlineLevel="0" collapsed="false">
      <c r="A62" s="3" t="s">
        <v>107</v>
      </c>
      <c r="B62" s="28" t="n">
        <f aca="false">$B$11*(B55-$B$12)</f>
        <v>10.94496</v>
      </c>
      <c r="C62" s="28" t="n">
        <f aca="false">$B$11*(C55-B55)</f>
        <v>4</v>
      </c>
      <c r="D62" s="28" t="n">
        <f aca="false">$B$11*(D55-C55)</f>
        <v>0.8</v>
      </c>
      <c r="E62" s="28" t="n">
        <f aca="false">$B$11*(E55-D55)</f>
        <v>-3.2</v>
      </c>
      <c r="F62" s="28" t="n">
        <f aca="false">$B$11*(F55-E55)</f>
        <v>-0.8</v>
      </c>
      <c r="G62" s="28" t="n">
        <f aca="false">$B$11*(G55-F55)</f>
        <v>0.56</v>
      </c>
    </row>
    <row r="63" customFormat="false" ht="15" hidden="false" customHeight="true" outlineLevel="0" collapsed="false">
      <c r="A63" s="3" t="s">
        <v>108</v>
      </c>
      <c r="B63" s="28" t="n">
        <f aca="false">B59-B61-B62</f>
        <v>141.74004</v>
      </c>
      <c r="C63" s="28" t="n">
        <f aca="false">C59-C61-C62</f>
        <v>175.2</v>
      </c>
      <c r="D63" s="28" t="n">
        <f aca="false">D59-D61-D62</f>
        <v>168.16</v>
      </c>
      <c r="E63" s="28" t="n">
        <f aca="false">E59-E61-E62</f>
        <v>130.8</v>
      </c>
      <c r="F63" s="28" t="n">
        <f aca="false">F59-F61-F62</f>
        <v>114.9</v>
      </c>
      <c r="G63" s="28" t="n">
        <f aca="false">G59-G61-G62</f>
        <v>94.8675</v>
      </c>
    </row>
    <row r="64" customFormat="false" ht="15" hidden="false" customHeight="true" outlineLevel="0" collapsed="false">
      <c r="A64" s="3" t="s">
        <v>109</v>
      </c>
      <c r="B64" s="29" t="n">
        <f aca="false">1/(1+$B$9)^B$18</f>
        <v>0.944911182523068</v>
      </c>
      <c r="C64" s="29" t="n">
        <f aca="false">1/(1+$B$9)^C$18</f>
        <v>0.843670698681311</v>
      </c>
      <c r="D64" s="29" t="n">
        <f aca="false">1/(1+$B$9)^D$18</f>
        <v>0.753277409536885</v>
      </c>
      <c r="E64" s="29" t="n">
        <f aca="false">1/(1+$B$9)^E$18</f>
        <v>0.672569115657932</v>
      </c>
      <c r="F64" s="29" t="n">
        <f aca="false">1/(1+$B$9)^F$18</f>
        <v>0.600508138980297</v>
      </c>
      <c r="G64" s="3"/>
    </row>
    <row r="65" customFormat="false" ht="15" hidden="false" customHeight="true" outlineLevel="0" collapsed="false">
      <c r="A65" s="3" t="s">
        <v>110</v>
      </c>
      <c r="B65" s="28" t="n">
        <f aca="false">B63*B64</f>
        <v>133.931748807267</v>
      </c>
      <c r="C65" s="28" t="n">
        <f aca="false">C63*C64</f>
        <v>147.811106408966</v>
      </c>
      <c r="D65" s="28" t="n">
        <f aca="false">D63*D64</f>
        <v>126.671129187722</v>
      </c>
      <c r="E65" s="28" t="n">
        <f aca="false">E63*E64</f>
        <v>87.9720403280576</v>
      </c>
      <c r="F65" s="28" t="n">
        <f aca="false">F63*F64</f>
        <v>68.9983851688361</v>
      </c>
      <c r="G65" s="28"/>
    </row>
    <row r="66" customFormat="false" ht="15" hidden="false" customHeight="true" outlineLevel="0" collapsed="false">
      <c r="A66" s="3" t="s">
        <v>111</v>
      </c>
      <c r="B66" s="28" t="n">
        <f aca="false">G63/($B$9-$B$10)</f>
        <v>998.605263157895</v>
      </c>
      <c r="C66" s="3"/>
      <c r="D66" s="3"/>
      <c r="E66" s="3"/>
      <c r="F66" s="3"/>
      <c r="G66" s="3"/>
    </row>
    <row r="67" customFormat="false" ht="15" hidden="false" customHeight="true" outlineLevel="0" collapsed="false">
      <c r="A67" s="3" t="s">
        <v>112</v>
      </c>
      <c r="B67" s="28" t="n">
        <f aca="false">B66/(1+$B$9)^$F$18</f>
        <v>599.670588154877</v>
      </c>
      <c r="C67" s="3"/>
      <c r="D67" s="3"/>
      <c r="E67" s="3"/>
      <c r="F67" s="3"/>
      <c r="G67" s="3"/>
    </row>
    <row r="68" customFormat="false" ht="15" hidden="false" customHeight="true" outlineLevel="0" collapsed="false">
      <c r="A68" s="3" t="s">
        <v>113</v>
      </c>
      <c r="B68" s="28" t="n">
        <f aca="false">SUM(B65:F65)+B67+$B$7</f>
        <v>1233.35499805573</v>
      </c>
      <c r="C68" s="3"/>
      <c r="D68" s="3"/>
      <c r="E68" s="3"/>
      <c r="F68" s="3"/>
      <c r="G68" s="3"/>
    </row>
    <row r="69" customFormat="false" ht="15" hidden="false" customHeight="true" outlineLevel="0" collapsed="false">
      <c r="A69" s="3" t="s">
        <v>114</v>
      </c>
      <c r="B69" s="30" t="n">
        <f aca="false">B68/$B$6*$B$13</f>
        <v>1091.46460004931</v>
      </c>
      <c r="C69" s="3"/>
      <c r="D69" s="3"/>
      <c r="E69" s="3"/>
      <c r="F69" s="3"/>
      <c r="G69" s="3"/>
    </row>
    <row r="70" customFormat="false" ht="15" hidden="false" customHeight="true" outlineLevel="0" collapsed="false">
      <c r="A70" s="3" t="s">
        <v>115</v>
      </c>
      <c r="B70" s="7" t="n">
        <f aca="false">B69/$B$4-1</f>
        <v>0.199464372114505</v>
      </c>
      <c r="C70" s="3"/>
      <c r="D70" s="3"/>
      <c r="E70" s="3"/>
      <c r="F70" s="3"/>
      <c r="G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</row>
    <row r="72" customFormat="false" ht="15" hidden="false" customHeight="true" outlineLevel="0" collapsed="false">
      <c r="A72" s="14" t="s">
        <v>118</v>
      </c>
      <c r="B72" s="27"/>
      <c r="C72" s="14" t="s">
        <v>119</v>
      </c>
      <c r="D72" s="27"/>
      <c r="E72" s="27"/>
      <c r="F72" s="27"/>
      <c r="G72" s="27"/>
    </row>
    <row r="73" customFormat="false" ht="15" hidden="false" customHeight="true" outlineLevel="0" collapsed="false">
      <c r="A73" s="3" t="s">
        <v>120</v>
      </c>
      <c r="B73" s="31" t="n">
        <f aca="false">B35</f>
        <v>350.650531789558</v>
      </c>
      <c r="C73" s="7" t="n">
        <f aca="false">B73/$B$4-1</f>
        <v>-0.614652806948044</v>
      </c>
      <c r="D73" s="3"/>
      <c r="E73" s="3"/>
      <c r="F73" s="3"/>
      <c r="G73" s="3"/>
    </row>
    <row r="74" customFormat="false" ht="15" hidden="false" customHeight="true" outlineLevel="0" collapsed="false">
      <c r="A74" s="3" t="s">
        <v>121</v>
      </c>
      <c r="B74" s="31" t="n">
        <f aca="false">B52</f>
        <v>672.044367224476</v>
      </c>
      <c r="C74" s="7" t="n">
        <f aca="false">B74/$B$4-1</f>
        <v>-0.261457242928837</v>
      </c>
      <c r="D74" s="3"/>
      <c r="E74" s="3"/>
      <c r="F74" s="3"/>
      <c r="G74" s="3"/>
    </row>
    <row r="75" customFormat="false" ht="15" hidden="false" customHeight="true" outlineLevel="0" collapsed="false">
      <c r="A75" s="3" t="s">
        <v>122</v>
      </c>
      <c r="B75" s="31" t="n">
        <f aca="false">B69</f>
        <v>1091.46460004931</v>
      </c>
      <c r="C75" s="7" t="n">
        <f aca="false">B75/$B$4-1</f>
        <v>0.199464372114505</v>
      </c>
      <c r="D75" s="3"/>
      <c r="E75" s="3"/>
      <c r="F75" s="3"/>
      <c r="G75" s="3"/>
    </row>
    <row r="76" customFormat="false" ht="15" hidden="false" customHeight="true" outlineLevel="0" collapsed="false">
      <c r="A76" s="3" t="s">
        <v>123</v>
      </c>
      <c r="B76" s="31" t="n">
        <f aca="false">INDEX(B35:B69,1+($B$15-1)*17)</f>
        <v>672.044367224476</v>
      </c>
      <c r="C76" s="7" t="n">
        <f aca="false">B76/$B$4-1</f>
        <v>-0.261457242928837</v>
      </c>
      <c r="D76" s="3"/>
      <c r="E76" s="3"/>
      <c r="F76" s="3"/>
      <c r="G76" s="3"/>
    </row>
    <row r="77" customFormat="false" ht="15" hidden="false" customHeight="true" outlineLevel="0" collapsed="false">
      <c r="A77" s="3" t="s">
        <v>124</v>
      </c>
      <c r="B77" s="31" t="n">
        <f aca="false">B74*(1-$B$14)</f>
        <v>571.237712140804</v>
      </c>
      <c r="C77" s="3"/>
      <c r="D77" s="3"/>
      <c r="E77" s="3"/>
      <c r="F77" s="3"/>
      <c r="G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</row>
    <row r="79" customFormat="false" ht="15" hidden="false" customHeight="true" outlineLevel="0" collapsed="false">
      <c r="A79" s="3" t="s">
        <v>125</v>
      </c>
      <c r="B79" s="7" t="n">
        <f aca="false">(($B$4*$B$6/$B$13-$B$7-SUM(B48:F48))*(1+$B$9)^$F$18*($B$9-$B$10)+G38*G43+$B$11*(G38-F38))/(G38*(1-$B$8))</f>
        <v>0.588127459078376</v>
      </c>
      <c r="C79" s="4" t="s">
        <v>126</v>
      </c>
      <c r="D79" s="3"/>
      <c r="E79" s="3"/>
      <c r="F79" s="3"/>
      <c r="G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</row>
    <row r="81" customFormat="false" ht="15" hidden="false" customHeight="true" outlineLevel="0" collapsed="false">
      <c r="A81" s="10" t="s">
        <v>127</v>
      </c>
      <c r="B81" s="3"/>
      <c r="C81" s="3"/>
      <c r="D81" s="3"/>
      <c r="E81" s="3"/>
      <c r="F81" s="3"/>
      <c r="G81" s="3"/>
    </row>
    <row r="82" customFormat="false" ht="15" hidden="false" customHeight="true" outlineLevel="0" collapsed="false">
      <c r="A82" s="3" t="s">
        <v>128</v>
      </c>
      <c r="B82" s="13" t="n">
        <v>0.1</v>
      </c>
      <c r="C82" s="13" t="n">
        <v>0.11</v>
      </c>
      <c r="D82" s="13" t="n">
        <v>0.12</v>
      </c>
      <c r="E82" s="13" t="n">
        <v>0.13</v>
      </c>
      <c r="F82" s="13" t="n">
        <v>0.14</v>
      </c>
      <c r="G82" s="3"/>
    </row>
    <row r="83" customFormat="false" ht="15" hidden="false" customHeight="true" outlineLevel="0" collapsed="false">
      <c r="A83" s="3" t="s">
        <v>121</v>
      </c>
      <c r="B83" s="31" t="n">
        <f aca="false">(SUMPRODUCT(B46:F46/(1+B82)^$B$18:$F$18)+G46/(B82-$B$10)/(1+B82)^$F$18+$B$7)/$B$6*$B$13</f>
        <v>790.981557286454</v>
      </c>
      <c r="C83" s="31" t="n">
        <f aca="false">(SUMPRODUCT(B46:F46/(1+C82)^$B$18:$F$18)+G46/(C82-$B$10)/(1+C82)^$F$18+$B$7)/$B$6*$B$13</f>
        <v>724.735946481971</v>
      </c>
      <c r="D83" s="31" t="n">
        <f aca="false">(SUMPRODUCT(B46:F46/(1+D82)^$B$18:$F$18)+G46/(D82-$B$10)/(1+D82)^$F$18+$B$7)/$B$6*$B$13</f>
        <v>672.044367224476</v>
      </c>
      <c r="E83" s="31" t="n">
        <f aca="false">(SUMPRODUCT(B46:F46/(1+E82)^$B$18:$F$18)+G46/(E82-$B$10)/(1+E82)^$F$18+$B$7)/$B$6*$B$13</f>
        <v>629.04915832096</v>
      </c>
      <c r="F83" s="31" t="n">
        <f aca="false">(SUMPRODUCT(B46:F46/(1+F82)^$B$18:$F$18)+G46/(F82-$B$10)/(1+F82)^$F$18+$B$7)/$B$6*$B$13</f>
        <v>593.233704570887</v>
      </c>
      <c r="G8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7" min="4" style="1" width="13"/>
  </cols>
  <sheetData>
    <row r="1" customFormat="false" ht="15.75" hidden="false" customHeight="true" outlineLevel="0" collapsed="false">
      <c r="A1" s="2" t="s">
        <v>129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4" t="s">
        <v>130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11" t="s">
        <v>3</v>
      </c>
      <c r="B4" s="32" t="n">
        <v>1239000</v>
      </c>
      <c r="C4" s="4" t="s">
        <v>131</v>
      </c>
      <c r="D4" s="3"/>
      <c r="E4" s="3"/>
      <c r="F4" s="3"/>
      <c r="G4" s="3"/>
    </row>
    <row r="5" customFormat="false" ht="15" hidden="false" customHeight="true" outlineLevel="0" collapsed="false">
      <c r="A5" s="11" t="s">
        <v>73</v>
      </c>
      <c r="B5" s="22" t="s">
        <v>132</v>
      </c>
      <c r="C5" s="4" t="s">
        <v>75</v>
      </c>
      <c r="D5" s="3"/>
      <c r="E5" s="3"/>
      <c r="F5" s="3"/>
      <c r="G5" s="3"/>
    </row>
    <row r="6" customFormat="false" ht="15" hidden="false" customHeight="true" outlineLevel="0" collapsed="false">
      <c r="A6" s="11" t="s">
        <v>76</v>
      </c>
      <c r="B6" s="23" t="n">
        <v>0.72887</v>
      </c>
      <c r="C6" s="4" t="s">
        <v>77</v>
      </c>
      <c r="D6" s="3"/>
      <c r="E6" s="3"/>
      <c r="F6" s="3"/>
      <c r="G6" s="3"/>
    </row>
    <row r="7" customFormat="false" ht="15" hidden="false" customHeight="true" outlineLevel="0" collapsed="false">
      <c r="A7" s="11" t="s">
        <v>133</v>
      </c>
      <c r="B7" s="24" t="n">
        <v>66.87</v>
      </c>
      <c r="C7" s="4" t="s">
        <v>134</v>
      </c>
      <c r="D7" s="3"/>
      <c r="E7" s="3"/>
      <c r="F7" s="3"/>
      <c r="G7" s="3"/>
    </row>
    <row r="8" customFormat="false" ht="15" hidden="false" customHeight="true" outlineLevel="0" collapsed="false">
      <c r="A8" s="11" t="s">
        <v>54</v>
      </c>
      <c r="B8" s="13" t="n">
        <v>0.22</v>
      </c>
      <c r="C8" s="4" t="s">
        <v>33</v>
      </c>
      <c r="D8" s="3"/>
      <c r="E8" s="3"/>
      <c r="F8" s="3"/>
      <c r="G8" s="3"/>
    </row>
    <row r="9" customFormat="false" ht="15" hidden="false" customHeight="true" outlineLevel="0" collapsed="false">
      <c r="A9" s="11" t="s">
        <v>80</v>
      </c>
      <c r="B9" s="8" t="n">
        <f aca="false">WACC!C26</f>
        <v>0.13</v>
      </c>
      <c r="C9" s="4" t="s">
        <v>81</v>
      </c>
      <c r="D9" s="3"/>
      <c r="E9" s="3"/>
      <c r="F9" s="3"/>
      <c r="G9" s="3"/>
    </row>
    <row r="10" customFormat="false" ht="15" hidden="false" customHeight="true" outlineLevel="0" collapsed="false">
      <c r="A10" s="11" t="s">
        <v>82</v>
      </c>
      <c r="B10" s="19" t="n">
        <v>0.025</v>
      </c>
      <c r="C10" s="4" t="s">
        <v>33</v>
      </c>
      <c r="D10" s="3"/>
      <c r="E10" s="3"/>
      <c r="F10" s="3"/>
      <c r="G10" s="3"/>
    </row>
    <row r="11" customFormat="false" ht="15" hidden="false" customHeight="true" outlineLevel="0" collapsed="false">
      <c r="A11" s="11" t="s">
        <v>83</v>
      </c>
      <c r="B11" s="13" t="n">
        <v>0.08</v>
      </c>
      <c r="C11" s="4" t="s">
        <v>33</v>
      </c>
      <c r="D11" s="3"/>
      <c r="E11" s="3"/>
      <c r="F11" s="3"/>
      <c r="G11" s="3"/>
    </row>
    <row r="12" customFormat="false" ht="15" hidden="false" customHeight="true" outlineLevel="0" collapsed="false">
      <c r="A12" s="11" t="s">
        <v>135</v>
      </c>
      <c r="B12" s="24" t="n">
        <v>339</v>
      </c>
      <c r="C12" s="4" t="s">
        <v>136</v>
      </c>
      <c r="D12" s="3"/>
      <c r="E12" s="3"/>
      <c r="F12" s="3"/>
      <c r="G12" s="3"/>
    </row>
    <row r="13" customFormat="false" ht="15" hidden="false" customHeight="true" outlineLevel="0" collapsed="false">
      <c r="A13" s="11" t="s">
        <v>86</v>
      </c>
      <c r="B13" s="25" t="n">
        <v>1000</v>
      </c>
      <c r="C13" s="4" t="s">
        <v>87</v>
      </c>
      <c r="D13" s="3"/>
      <c r="E13" s="3"/>
      <c r="F13" s="3"/>
      <c r="G13" s="3"/>
    </row>
    <row r="14" customFormat="false" ht="15" hidden="false" customHeight="true" outlineLevel="0" collapsed="false">
      <c r="A14" s="11" t="s">
        <v>88</v>
      </c>
      <c r="B14" s="13" t="n">
        <v>0.15</v>
      </c>
      <c r="C14" s="4" t="s">
        <v>33</v>
      </c>
      <c r="D14" s="3"/>
      <c r="E14" s="3"/>
      <c r="F14" s="3"/>
      <c r="G14" s="3"/>
    </row>
    <row r="15" customFormat="false" ht="15" hidden="false" customHeight="true" outlineLevel="0" collapsed="false">
      <c r="A15" s="11" t="s">
        <v>89</v>
      </c>
      <c r="B15" s="12" t="n">
        <v>2</v>
      </c>
      <c r="C15" s="4" t="s">
        <v>90</v>
      </c>
      <c r="D15" s="3"/>
      <c r="E15" s="3"/>
      <c r="F15" s="3"/>
      <c r="G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</row>
    <row r="17" customFormat="false" ht="15" hidden="false" customHeight="true" outlineLevel="0" collapsed="false">
      <c r="A17" s="10" t="s">
        <v>91</v>
      </c>
      <c r="B17" s="26" t="s">
        <v>137</v>
      </c>
      <c r="C17" s="26" t="s">
        <v>138</v>
      </c>
      <c r="D17" s="26" t="s">
        <v>139</v>
      </c>
      <c r="E17" s="26" t="s">
        <v>140</v>
      </c>
      <c r="F17" s="26" t="s">
        <v>141</v>
      </c>
      <c r="G17" s="26" t="s">
        <v>97</v>
      </c>
    </row>
    <row r="18" customFormat="false" ht="15" hidden="false" customHeight="true" outlineLevel="0" collapsed="false">
      <c r="A18" s="3" t="s">
        <v>98</v>
      </c>
      <c r="B18" s="22" t="n">
        <v>0.5</v>
      </c>
      <c r="C18" s="3" t="n">
        <f aca="false">B18+1</f>
        <v>1.5</v>
      </c>
      <c r="D18" s="3" t="n">
        <f aca="false">C18+1</f>
        <v>2.5</v>
      </c>
      <c r="E18" s="3" t="n">
        <f aca="false">D18+1</f>
        <v>3.5</v>
      </c>
      <c r="F18" s="3" t="n">
        <f aca="false">E18+1</f>
        <v>4.5</v>
      </c>
      <c r="G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true" outlineLevel="0" collapsed="false">
      <c r="A20" s="14" t="s">
        <v>142</v>
      </c>
      <c r="B20" s="27"/>
      <c r="C20" s="27"/>
      <c r="D20" s="27"/>
      <c r="E20" s="27"/>
      <c r="F20" s="27"/>
      <c r="G20" s="27"/>
    </row>
    <row r="21" customFormat="false" ht="15" hidden="false" customHeight="true" outlineLevel="0" collapsed="false">
      <c r="A21" s="3" t="s">
        <v>100</v>
      </c>
      <c r="B21" s="24" t="n">
        <v>400</v>
      </c>
      <c r="C21" s="24" t="n">
        <v>250</v>
      </c>
      <c r="D21" s="24" t="n">
        <v>180</v>
      </c>
      <c r="E21" s="24" t="n">
        <v>200</v>
      </c>
      <c r="F21" s="24" t="n">
        <v>230</v>
      </c>
      <c r="G21" s="28" t="n">
        <f aca="false">F21*(1+$B$10)</f>
        <v>235.75</v>
      </c>
    </row>
    <row r="22" customFormat="false" ht="15" hidden="false" customHeight="true" outlineLevel="0" collapsed="false">
      <c r="A22" s="3" t="s">
        <v>101</v>
      </c>
      <c r="B22" s="7" t="n">
        <f aca="false">B21/$B$12-1</f>
        <v>0.179941002949853</v>
      </c>
      <c r="C22" s="7" t="n">
        <f aca="false">C21/B21-1</f>
        <v>-0.375</v>
      </c>
      <c r="D22" s="7" t="n">
        <f aca="false">D21/C21-1</f>
        <v>-0.28</v>
      </c>
      <c r="E22" s="7" t="n">
        <f aca="false">E21/D21-1</f>
        <v>0.111111111111111</v>
      </c>
      <c r="F22" s="7" t="n">
        <f aca="false">F21/E21-1</f>
        <v>0.15</v>
      </c>
      <c r="G22" s="7" t="n">
        <f aca="false">G21/F21-1</f>
        <v>0.0249999999999999</v>
      </c>
    </row>
    <row r="23" customFormat="false" ht="15" hidden="false" customHeight="true" outlineLevel="0" collapsed="false">
      <c r="A23" s="3" t="s">
        <v>102</v>
      </c>
      <c r="B23" s="13" t="n">
        <v>0.72</v>
      </c>
      <c r="C23" s="13" t="n">
        <v>0.4</v>
      </c>
      <c r="D23" s="13" t="n">
        <v>0.15</v>
      </c>
      <c r="E23" s="13" t="n">
        <v>0.25</v>
      </c>
      <c r="F23" s="13" t="n">
        <v>0.32</v>
      </c>
      <c r="G23" s="19" t="n">
        <v>0.25</v>
      </c>
    </row>
    <row r="24" customFormat="false" ht="15" hidden="false" customHeight="true" outlineLevel="0" collapsed="false">
      <c r="A24" s="3" t="s">
        <v>103</v>
      </c>
      <c r="B24" s="28" t="n">
        <f aca="false">B21*B23</f>
        <v>288</v>
      </c>
      <c r="C24" s="28" t="n">
        <f aca="false">C21*C23</f>
        <v>100</v>
      </c>
      <c r="D24" s="28" t="n">
        <f aca="false">D21*D23</f>
        <v>27</v>
      </c>
      <c r="E24" s="28" t="n">
        <f aca="false">E21*E23</f>
        <v>50</v>
      </c>
      <c r="F24" s="28" t="n">
        <f aca="false">F21*F23</f>
        <v>73.6</v>
      </c>
      <c r="G24" s="28" t="n">
        <f aca="false">G21*G23</f>
        <v>58.9375</v>
      </c>
    </row>
    <row r="25" customFormat="false" ht="15" hidden="false" customHeight="true" outlineLevel="0" collapsed="false">
      <c r="A25" s="3" t="s">
        <v>104</v>
      </c>
      <c r="B25" s="28" t="n">
        <f aca="false">B24*(1-$B$8)</f>
        <v>224.64</v>
      </c>
      <c r="C25" s="28" t="n">
        <f aca="false">C24*(1-$B$8)</f>
        <v>78</v>
      </c>
      <c r="D25" s="28" t="n">
        <f aca="false">D24*(1-$B$8)</f>
        <v>21.06</v>
      </c>
      <c r="E25" s="28" t="n">
        <f aca="false">E24*(1-$B$8)</f>
        <v>39</v>
      </c>
      <c r="F25" s="28" t="n">
        <f aca="false">F24*(1-$B$8)</f>
        <v>57.408</v>
      </c>
      <c r="G25" s="28" t="n">
        <f aca="false">G24*(1-$B$8)</f>
        <v>45.97125</v>
      </c>
    </row>
    <row r="26" customFormat="false" ht="15" hidden="false" customHeight="true" outlineLevel="0" collapsed="false">
      <c r="A26" s="3" t="s">
        <v>105</v>
      </c>
      <c r="B26" s="13" t="n">
        <v>0.13</v>
      </c>
      <c r="C26" s="13" t="n">
        <v>0.14</v>
      </c>
      <c r="D26" s="13" t="n">
        <v>0.12</v>
      </c>
      <c r="E26" s="13" t="n">
        <v>0.08</v>
      </c>
      <c r="F26" s="13" t="n">
        <v>0.07</v>
      </c>
      <c r="G26" s="13" t="n">
        <v>0.06</v>
      </c>
    </row>
    <row r="27" customFormat="false" ht="15" hidden="false" customHeight="true" outlineLevel="0" collapsed="false">
      <c r="A27" s="3" t="s">
        <v>106</v>
      </c>
      <c r="B27" s="28" t="n">
        <f aca="false">B21*B26</f>
        <v>52</v>
      </c>
      <c r="C27" s="28" t="n">
        <f aca="false">C21*C26</f>
        <v>35</v>
      </c>
      <c r="D27" s="28" t="n">
        <f aca="false">D21*D26</f>
        <v>21.6</v>
      </c>
      <c r="E27" s="28" t="n">
        <f aca="false">E21*E26</f>
        <v>16</v>
      </c>
      <c r="F27" s="28" t="n">
        <f aca="false">F21*F26</f>
        <v>16.1</v>
      </c>
      <c r="G27" s="28" t="n">
        <f aca="false">G21*G26</f>
        <v>14.145</v>
      </c>
    </row>
    <row r="28" customFormat="false" ht="15" hidden="false" customHeight="true" outlineLevel="0" collapsed="false">
      <c r="A28" s="3" t="s">
        <v>107</v>
      </c>
      <c r="B28" s="28" t="n">
        <f aca="false">$B$11*(B21-$B$12)</f>
        <v>4.88</v>
      </c>
      <c r="C28" s="28" t="n">
        <f aca="false">$B$11*(C21-B21)</f>
        <v>-12</v>
      </c>
      <c r="D28" s="28" t="n">
        <f aca="false">$B$11*(D21-C21)</f>
        <v>-5.6</v>
      </c>
      <c r="E28" s="28" t="n">
        <f aca="false">$B$11*(E21-D21)</f>
        <v>1.6</v>
      </c>
      <c r="F28" s="28" t="n">
        <f aca="false">$B$11*(F21-E21)</f>
        <v>2.4</v>
      </c>
      <c r="G28" s="28" t="n">
        <f aca="false">$B$11*(G21-F21)</f>
        <v>0.459999999999998</v>
      </c>
    </row>
    <row r="29" customFormat="false" ht="15" hidden="false" customHeight="true" outlineLevel="0" collapsed="false">
      <c r="A29" s="3" t="s">
        <v>108</v>
      </c>
      <c r="B29" s="28" t="n">
        <f aca="false">B25-B27-B28</f>
        <v>167.76</v>
      </c>
      <c r="C29" s="28" t="n">
        <f aca="false">C25-C27-C28</f>
        <v>55</v>
      </c>
      <c r="D29" s="28" t="n">
        <f aca="false">D25-D27-D28</f>
        <v>5.06000000000001</v>
      </c>
      <c r="E29" s="28" t="n">
        <f aca="false">E25-E27-E28</f>
        <v>21.4</v>
      </c>
      <c r="F29" s="28" t="n">
        <f aca="false">F25-F27-F28</f>
        <v>38.908</v>
      </c>
      <c r="G29" s="28" t="n">
        <f aca="false">G25-G27-G28</f>
        <v>31.36625</v>
      </c>
    </row>
    <row r="30" customFormat="false" ht="15" hidden="false" customHeight="true" outlineLevel="0" collapsed="false">
      <c r="A30" s="3" t="s">
        <v>109</v>
      </c>
      <c r="B30" s="29" t="n">
        <f aca="false">1/(1+$B$9)^B$18</f>
        <v>0.940720868383597</v>
      </c>
      <c r="C30" s="29" t="n">
        <f aca="false">1/(1+$B$9)^C$18</f>
        <v>0.832496343702299</v>
      </c>
      <c r="D30" s="29" t="n">
        <f aca="false">1/(1+$B$9)^D$18</f>
        <v>0.736722428055132</v>
      </c>
      <c r="E30" s="29" t="n">
        <f aca="false">1/(1+$B$9)^E$18</f>
        <v>0.651966750491267</v>
      </c>
      <c r="F30" s="29" t="n">
        <f aca="false">1/(1+$B$9)^F$18</f>
        <v>0.576961726098466</v>
      </c>
      <c r="G30" s="3"/>
    </row>
    <row r="31" customFormat="false" ht="15" hidden="false" customHeight="true" outlineLevel="0" collapsed="false">
      <c r="A31" s="3" t="s">
        <v>110</v>
      </c>
      <c r="B31" s="28" t="n">
        <f aca="false">B29*B30</f>
        <v>157.815332880032</v>
      </c>
      <c r="C31" s="28" t="n">
        <f aca="false">C29*C30</f>
        <v>45.7872989036264</v>
      </c>
      <c r="D31" s="28" t="n">
        <f aca="false">D29*D30</f>
        <v>3.72781548595897</v>
      </c>
      <c r="E31" s="28" t="n">
        <f aca="false">E29*E30</f>
        <v>13.9520884605131</v>
      </c>
      <c r="F31" s="28" t="n">
        <f aca="false">F29*F30</f>
        <v>22.4484268390391</v>
      </c>
      <c r="G31" s="28"/>
    </row>
    <row r="32" customFormat="false" ht="15" hidden="false" customHeight="true" outlineLevel="0" collapsed="false">
      <c r="A32" s="3" t="s">
        <v>111</v>
      </c>
      <c r="B32" s="28" t="n">
        <f aca="false">G29/($B$9-$B$10)</f>
        <v>298.726190476191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A33" s="3" t="s">
        <v>112</v>
      </c>
      <c r="B33" s="28" t="n">
        <f aca="false">B32/(1+$B$9)^$F$18</f>
        <v>172.353578487962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A34" s="3" t="s">
        <v>113</v>
      </c>
      <c r="B34" s="28" t="n">
        <f aca="false">SUM(B31:F31)+B33+$B$7</f>
        <v>482.954541057132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A35" s="3" t="s">
        <v>114</v>
      </c>
      <c r="B35" s="33" t="n">
        <f aca="false">B34/$B$6*$B$13</f>
        <v>662607.242796565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A36" s="3" t="s">
        <v>115</v>
      </c>
      <c r="B36" s="7" t="n">
        <f aca="false">B35/$B$4-1</f>
        <v>-0.465208036483806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A37" s="14" t="s">
        <v>143</v>
      </c>
      <c r="B37" s="27"/>
      <c r="C37" s="27"/>
      <c r="D37" s="27"/>
      <c r="E37" s="27"/>
      <c r="F37" s="27"/>
      <c r="G37" s="27"/>
    </row>
    <row r="38" customFormat="false" ht="15" hidden="false" customHeight="true" outlineLevel="0" collapsed="false">
      <c r="A38" s="3" t="s">
        <v>100</v>
      </c>
      <c r="B38" s="24" t="n">
        <v>450</v>
      </c>
      <c r="C38" s="24" t="n">
        <v>410</v>
      </c>
      <c r="D38" s="24" t="n">
        <v>320</v>
      </c>
      <c r="E38" s="24" t="n">
        <v>300</v>
      </c>
      <c r="F38" s="24" t="n">
        <v>320</v>
      </c>
      <c r="G38" s="28" t="n">
        <f aca="false">F38*(1+$B$10)</f>
        <v>328</v>
      </c>
    </row>
    <row r="39" customFormat="false" ht="15" hidden="false" customHeight="true" outlineLevel="0" collapsed="false">
      <c r="A39" s="3" t="s">
        <v>101</v>
      </c>
      <c r="B39" s="7" t="n">
        <f aca="false">B38/$B$12-1</f>
        <v>0.327433628318584</v>
      </c>
      <c r="C39" s="7" t="n">
        <f aca="false">C38/B38-1</f>
        <v>-0.0888888888888889</v>
      </c>
      <c r="D39" s="7" t="n">
        <f aca="false">D38/C38-1</f>
        <v>-0.219512195121951</v>
      </c>
      <c r="E39" s="7" t="n">
        <f aca="false">E38/D38-1</f>
        <v>-0.0625</v>
      </c>
      <c r="F39" s="7" t="n">
        <f aca="false">F38/E38-1</f>
        <v>0.0666666666666667</v>
      </c>
      <c r="G39" s="7" t="n">
        <f aca="false">G38/F38-1</f>
        <v>0.0249999999999999</v>
      </c>
    </row>
    <row r="40" customFormat="false" ht="15" hidden="false" customHeight="true" outlineLevel="0" collapsed="false">
      <c r="A40" s="3" t="s">
        <v>102</v>
      </c>
      <c r="B40" s="13" t="n">
        <v>0.75</v>
      </c>
      <c r="C40" s="13" t="n">
        <v>0.66</v>
      </c>
      <c r="D40" s="13" t="n">
        <v>0.46</v>
      </c>
      <c r="E40" s="13" t="n">
        <v>0.42</v>
      </c>
      <c r="F40" s="13" t="n">
        <v>0.42</v>
      </c>
      <c r="G40" s="19" t="n">
        <v>0.35</v>
      </c>
    </row>
    <row r="41" customFormat="false" ht="15" hidden="false" customHeight="true" outlineLevel="0" collapsed="false">
      <c r="A41" s="3" t="s">
        <v>103</v>
      </c>
      <c r="B41" s="28" t="n">
        <f aca="false">B38*B40</f>
        <v>337.5</v>
      </c>
      <c r="C41" s="28" t="n">
        <f aca="false">C38*C40</f>
        <v>270.6</v>
      </c>
      <c r="D41" s="28" t="n">
        <f aca="false">D38*D40</f>
        <v>147.2</v>
      </c>
      <c r="E41" s="28" t="n">
        <f aca="false">E38*E40</f>
        <v>126</v>
      </c>
      <c r="F41" s="28" t="n">
        <f aca="false">F38*F40</f>
        <v>134.4</v>
      </c>
      <c r="G41" s="28" t="n">
        <f aca="false">G38*G40</f>
        <v>114.8</v>
      </c>
    </row>
    <row r="42" customFormat="false" ht="15" hidden="false" customHeight="true" outlineLevel="0" collapsed="false">
      <c r="A42" s="3" t="s">
        <v>104</v>
      </c>
      <c r="B42" s="28" t="n">
        <f aca="false">B41*(1-$B$8)</f>
        <v>263.25</v>
      </c>
      <c r="C42" s="28" t="n">
        <f aca="false">C41*(1-$B$8)</f>
        <v>211.068</v>
      </c>
      <c r="D42" s="28" t="n">
        <f aca="false">D41*(1-$B$8)</f>
        <v>114.816</v>
      </c>
      <c r="E42" s="28" t="n">
        <f aca="false">E41*(1-$B$8)</f>
        <v>98.28</v>
      </c>
      <c r="F42" s="28" t="n">
        <f aca="false">F41*(1-$B$8)</f>
        <v>104.832</v>
      </c>
      <c r="G42" s="28" t="n">
        <f aca="false">G41*(1-$B$8)</f>
        <v>89.544</v>
      </c>
    </row>
    <row r="43" customFormat="false" ht="15" hidden="false" customHeight="true" outlineLevel="0" collapsed="false">
      <c r="A43" s="3" t="s">
        <v>105</v>
      </c>
      <c r="B43" s="13" t="n">
        <v>0.13</v>
      </c>
      <c r="C43" s="13" t="n">
        <v>0.11</v>
      </c>
      <c r="D43" s="13" t="n">
        <v>0.08</v>
      </c>
      <c r="E43" s="13" t="n">
        <v>0.06</v>
      </c>
      <c r="F43" s="13" t="n">
        <v>0.06</v>
      </c>
      <c r="G43" s="13" t="n">
        <v>0.05</v>
      </c>
    </row>
    <row r="44" customFormat="false" ht="15" hidden="false" customHeight="true" outlineLevel="0" collapsed="false">
      <c r="A44" s="3" t="s">
        <v>106</v>
      </c>
      <c r="B44" s="28" t="n">
        <f aca="false">B38*B43</f>
        <v>58.5</v>
      </c>
      <c r="C44" s="28" t="n">
        <f aca="false">C38*C43</f>
        <v>45.1</v>
      </c>
      <c r="D44" s="28" t="n">
        <f aca="false">D38*D43</f>
        <v>25.6</v>
      </c>
      <c r="E44" s="28" t="n">
        <f aca="false">E38*E43</f>
        <v>18</v>
      </c>
      <c r="F44" s="28" t="n">
        <f aca="false">F38*F43</f>
        <v>19.2</v>
      </c>
      <c r="G44" s="28" t="n">
        <f aca="false">G38*G43</f>
        <v>16.4</v>
      </c>
    </row>
    <row r="45" customFormat="false" ht="15" hidden="false" customHeight="true" outlineLevel="0" collapsed="false">
      <c r="A45" s="3" t="s">
        <v>107</v>
      </c>
      <c r="B45" s="28" t="n">
        <f aca="false">$B$11*(B38-$B$12)</f>
        <v>8.88</v>
      </c>
      <c r="C45" s="28" t="n">
        <f aca="false">$B$11*(C38-B38)</f>
        <v>-3.2</v>
      </c>
      <c r="D45" s="28" t="n">
        <f aca="false">$B$11*(D38-C38)</f>
        <v>-7.2</v>
      </c>
      <c r="E45" s="28" t="n">
        <f aca="false">$B$11*(E38-D38)</f>
        <v>-1.6</v>
      </c>
      <c r="F45" s="28" t="n">
        <f aca="false">$B$11*(F38-E38)</f>
        <v>1.6</v>
      </c>
      <c r="G45" s="28" t="n">
        <f aca="false">$B$11*(G38-F38)</f>
        <v>0.64</v>
      </c>
    </row>
    <row r="46" customFormat="false" ht="15" hidden="false" customHeight="true" outlineLevel="0" collapsed="false">
      <c r="A46" s="3" t="s">
        <v>108</v>
      </c>
      <c r="B46" s="28" t="n">
        <f aca="false">B42-B44-B45</f>
        <v>195.87</v>
      </c>
      <c r="C46" s="28" t="n">
        <f aca="false">C42-C44-C45</f>
        <v>169.168</v>
      </c>
      <c r="D46" s="28" t="n">
        <f aca="false">D42-D44-D45</f>
        <v>96.416</v>
      </c>
      <c r="E46" s="28" t="n">
        <f aca="false">E42-E44-E45</f>
        <v>81.88</v>
      </c>
      <c r="F46" s="28" t="n">
        <f aca="false">F42-F44-F45</f>
        <v>84.032</v>
      </c>
      <c r="G46" s="28" t="n">
        <f aca="false">G42-G44-G45</f>
        <v>72.504</v>
      </c>
    </row>
    <row r="47" customFormat="false" ht="15" hidden="false" customHeight="true" outlineLevel="0" collapsed="false">
      <c r="A47" s="3" t="s">
        <v>109</v>
      </c>
      <c r="B47" s="29" t="n">
        <f aca="false">1/(1+$B$9)^B$18</f>
        <v>0.940720868383597</v>
      </c>
      <c r="C47" s="29" t="n">
        <f aca="false">1/(1+$B$9)^C$18</f>
        <v>0.832496343702299</v>
      </c>
      <c r="D47" s="29" t="n">
        <f aca="false">1/(1+$B$9)^D$18</f>
        <v>0.736722428055132</v>
      </c>
      <c r="E47" s="29" t="n">
        <f aca="false">1/(1+$B$9)^E$18</f>
        <v>0.651966750491267</v>
      </c>
      <c r="F47" s="29" t="n">
        <f aca="false">1/(1+$B$9)^F$18</f>
        <v>0.576961726098466</v>
      </c>
      <c r="G47" s="3"/>
    </row>
    <row r="48" customFormat="false" ht="15" hidden="false" customHeight="true" outlineLevel="0" collapsed="false">
      <c r="A48" s="3" t="s">
        <v>110</v>
      </c>
      <c r="B48" s="28" t="n">
        <f aca="false">B46*B47</f>
        <v>184.258996490295</v>
      </c>
      <c r="C48" s="28" t="n">
        <f aca="false">C46*C47</f>
        <v>140.83174147143</v>
      </c>
      <c r="D48" s="28" t="n">
        <f aca="false">D46*D47</f>
        <v>71.0318296233636</v>
      </c>
      <c r="E48" s="28" t="n">
        <f aca="false">E46*E47</f>
        <v>53.3830375302249</v>
      </c>
      <c r="F48" s="28" t="n">
        <f aca="false">F46*F47</f>
        <v>48.4832477675063</v>
      </c>
      <c r="G48" s="28"/>
    </row>
    <row r="49" customFormat="false" ht="15" hidden="false" customHeight="true" outlineLevel="0" collapsed="false">
      <c r="A49" s="3" t="s">
        <v>111</v>
      </c>
      <c r="B49" s="28" t="n">
        <f aca="false">G46/($B$9-$B$10)</f>
        <v>690.514285714286</v>
      </c>
      <c r="C49" s="3"/>
      <c r="D49" s="3"/>
      <c r="E49" s="3"/>
      <c r="F49" s="3"/>
      <c r="G49" s="3"/>
    </row>
    <row r="50" customFormat="false" ht="15" hidden="false" customHeight="true" outlineLevel="0" collapsed="false">
      <c r="A50" s="3" t="s">
        <v>112</v>
      </c>
      <c r="B50" s="28" t="n">
        <f aca="false">B49/(1+$B$9)^$F$18</f>
        <v>398.400314181364</v>
      </c>
      <c r="C50" s="3"/>
      <c r="D50" s="3"/>
      <c r="E50" s="3"/>
      <c r="F50" s="3"/>
      <c r="G50" s="3"/>
    </row>
    <row r="51" customFormat="false" ht="15" hidden="false" customHeight="true" outlineLevel="0" collapsed="false">
      <c r="A51" s="3" t="s">
        <v>113</v>
      </c>
      <c r="B51" s="28" t="n">
        <f aca="false">SUM(B48:F48)+B50+$B$7</f>
        <v>963.259167064184</v>
      </c>
      <c r="C51" s="3"/>
      <c r="D51" s="3"/>
      <c r="E51" s="3"/>
      <c r="F51" s="3"/>
      <c r="G51" s="3"/>
    </row>
    <row r="52" customFormat="false" ht="15" hidden="false" customHeight="true" outlineLevel="0" collapsed="false">
      <c r="A52" s="3" t="s">
        <v>114</v>
      </c>
      <c r="B52" s="33" t="n">
        <f aca="false">B51/$B$6*$B$13</f>
        <v>1321578.83719207</v>
      </c>
      <c r="C52" s="3"/>
      <c r="D52" s="3"/>
      <c r="E52" s="3"/>
      <c r="F52" s="3"/>
      <c r="G52" s="3"/>
    </row>
    <row r="53" customFormat="false" ht="15" hidden="false" customHeight="true" outlineLevel="0" collapsed="false">
      <c r="A53" s="3" t="s">
        <v>115</v>
      </c>
      <c r="B53" s="7" t="n">
        <f aca="false">B52/$B$4-1</f>
        <v>0.0666495861114369</v>
      </c>
      <c r="C53" s="3"/>
      <c r="D53" s="3"/>
      <c r="E53" s="3"/>
      <c r="F53" s="3"/>
      <c r="G53" s="3"/>
    </row>
    <row r="54" customFormat="false" ht="15" hidden="false" customHeight="true" outlineLevel="0" collapsed="false">
      <c r="A54" s="14" t="s">
        <v>144</v>
      </c>
      <c r="B54" s="27"/>
      <c r="C54" s="27"/>
      <c r="D54" s="27"/>
      <c r="E54" s="27"/>
      <c r="F54" s="27"/>
      <c r="G54" s="27"/>
    </row>
    <row r="55" customFormat="false" ht="15" hidden="false" customHeight="true" outlineLevel="0" collapsed="false">
      <c r="A55" s="3" t="s">
        <v>100</v>
      </c>
      <c r="B55" s="24" t="n">
        <v>470</v>
      </c>
      <c r="C55" s="24" t="n">
        <v>520</v>
      </c>
      <c r="D55" s="24" t="n">
        <v>520</v>
      </c>
      <c r="E55" s="24" t="n">
        <v>460</v>
      </c>
      <c r="F55" s="24" t="n">
        <v>450</v>
      </c>
      <c r="G55" s="28" t="n">
        <f aca="false">F55*(1+$B$10)</f>
        <v>461.25</v>
      </c>
    </row>
    <row r="56" customFormat="false" ht="15" hidden="false" customHeight="true" outlineLevel="0" collapsed="false">
      <c r="A56" s="3" t="s">
        <v>101</v>
      </c>
      <c r="B56" s="7" t="n">
        <f aca="false">B55/$B$12-1</f>
        <v>0.386430678466077</v>
      </c>
      <c r="C56" s="7" t="n">
        <f aca="false">C55/B55-1</f>
        <v>0.106382978723404</v>
      </c>
      <c r="D56" s="7" t="n">
        <f aca="false">D55/C55-1</f>
        <v>0</v>
      </c>
      <c r="E56" s="7" t="n">
        <f aca="false">E55/D55-1</f>
        <v>-0.115384615384615</v>
      </c>
      <c r="F56" s="7" t="n">
        <f aca="false">F55/E55-1</f>
        <v>-0.0217391304347826</v>
      </c>
      <c r="G56" s="7" t="n">
        <f aca="false">G55/F55-1</f>
        <v>0.0249999999999999</v>
      </c>
    </row>
    <row r="57" customFormat="false" ht="15" hidden="false" customHeight="true" outlineLevel="0" collapsed="false">
      <c r="A57" s="3" t="s">
        <v>102</v>
      </c>
      <c r="B57" s="13" t="n">
        <v>0.77</v>
      </c>
      <c r="C57" s="13" t="n">
        <v>0.75</v>
      </c>
      <c r="D57" s="13" t="n">
        <v>0.68</v>
      </c>
      <c r="E57" s="13" t="n">
        <v>0.58</v>
      </c>
      <c r="F57" s="13" t="n">
        <v>0.52</v>
      </c>
      <c r="G57" s="19" t="n">
        <v>0.45</v>
      </c>
    </row>
    <row r="58" customFormat="false" ht="15" hidden="false" customHeight="true" outlineLevel="0" collapsed="false">
      <c r="A58" s="3" t="s">
        <v>103</v>
      </c>
      <c r="B58" s="28" t="n">
        <f aca="false">B55*B57</f>
        <v>361.9</v>
      </c>
      <c r="C58" s="28" t="n">
        <f aca="false">C55*C57</f>
        <v>390</v>
      </c>
      <c r="D58" s="28" t="n">
        <f aca="false">D55*D57</f>
        <v>353.6</v>
      </c>
      <c r="E58" s="28" t="n">
        <f aca="false">E55*E57</f>
        <v>266.8</v>
      </c>
      <c r="F58" s="28" t="n">
        <f aca="false">F55*F57</f>
        <v>234</v>
      </c>
      <c r="G58" s="28" t="n">
        <f aca="false">G55*G57</f>
        <v>207.5625</v>
      </c>
    </row>
    <row r="59" customFormat="false" ht="15" hidden="false" customHeight="true" outlineLevel="0" collapsed="false">
      <c r="A59" s="3" t="s">
        <v>104</v>
      </c>
      <c r="B59" s="28" t="n">
        <f aca="false">B58*(1-$B$8)</f>
        <v>282.282</v>
      </c>
      <c r="C59" s="28" t="n">
        <f aca="false">C58*(1-$B$8)</f>
        <v>304.2</v>
      </c>
      <c r="D59" s="28" t="n">
        <f aca="false">D58*(1-$B$8)</f>
        <v>275.808</v>
      </c>
      <c r="E59" s="28" t="n">
        <f aca="false">E58*(1-$B$8)</f>
        <v>208.104</v>
      </c>
      <c r="F59" s="28" t="n">
        <f aca="false">F58*(1-$B$8)</f>
        <v>182.52</v>
      </c>
      <c r="G59" s="28" t="n">
        <f aca="false">G58*(1-$B$8)</f>
        <v>161.89875</v>
      </c>
    </row>
    <row r="60" customFormat="false" ht="15" hidden="false" customHeight="true" outlineLevel="0" collapsed="false">
      <c r="A60" s="3" t="s">
        <v>105</v>
      </c>
      <c r="B60" s="13" t="n">
        <v>0.13</v>
      </c>
      <c r="C60" s="13" t="n">
        <v>0.11</v>
      </c>
      <c r="D60" s="13" t="n">
        <v>0.09</v>
      </c>
      <c r="E60" s="13" t="n">
        <v>0.07</v>
      </c>
      <c r="F60" s="13" t="n">
        <v>0.06</v>
      </c>
      <c r="G60" s="13" t="n">
        <v>0.05</v>
      </c>
    </row>
    <row r="61" customFormat="false" ht="15" hidden="false" customHeight="true" outlineLevel="0" collapsed="false">
      <c r="A61" s="3" t="s">
        <v>106</v>
      </c>
      <c r="B61" s="28" t="n">
        <f aca="false">B55*B60</f>
        <v>61.1</v>
      </c>
      <c r="C61" s="28" t="n">
        <f aca="false">C55*C60</f>
        <v>57.2</v>
      </c>
      <c r="D61" s="28" t="n">
        <f aca="false">D55*D60</f>
        <v>46.8</v>
      </c>
      <c r="E61" s="28" t="n">
        <f aca="false">E55*E60</f>
        <v>32.2</v>
      </c>
      <c r="F61" s="28" t="n">
        <f aca="false">F55*F60</f>
        <v>27</v>
      </c>
      <c r="G61" s="28" t="n">
        <f aca="false">G55*G60</f>
        <v>23.0625</v>
      </c>
    </row>
    <row r="62" customFormat="false" ht="15" hidden="false" customHeight="true" outlineLevel="0" collapsed="false">
      <c r="A62" s="3" t="s">
        <v>107</v>
      </c>
      <c r="B62" s="28" t="n">
        <f aca="false">$B$11*(B55-$B$12)</f>
        <v>10.48</v>
      </c>
      <c r="C62" s="28" t="n">
        <f aca="false">$B$11*(C55-B55)</f>
        <v>4</v>
      </c>
      <c r="D62" s="28" t="n">
        <f aca="false">$B$11*(D55-C55)</f>
        <v>0</v>
      </c>
      <c r="E62" s="28" t="n">
        <f aca="false">$B$11*(E55-D55)</f>
        <v>-4.8</v>
      </c>
      <c r="F62" s="28" t="n">
        <f aca="false">$B$11*(F55-E55)</f>
        <v>-0.8</v>
      </c>
      <c r="G62" s="28" t="n">
        <f aca="false">$B$11*(G55-F55)</f>
        <v>0.899999999999996</v>
      </c>
    </row>
    <row r="63" customFormat="false" ht="15" hidden="false" customHeight="true" outlineLevel="0" collapsed="false">
      <c r="A63" s="3" t="s">
        <v>108</v>
      </c>
      <c r="B63" s="28" t="n">
        <f aca="false">B59-B61-B62</f>
        <v>210.702</v>
      </c>
      <c r="C63" s="28" t="n">
        <f aca="false">C59-C61-C62</f>
        <v>243</v>
      </c>
      <c r="D63" s="28" t="n">
        <f aca="false">D59-D61-D62</f>
        <v>229.008</v>
      </c>
      <c r="E63" s="28" t="n">
        <f aca="false">E59-E61-E62</f>
        <v>180.704</v>
      </c>
      <c r="F63" s="28" t="n">
        <f aca="false">F59-F61-F62</f>
        <v>156.32</v>
      </c>
      <c r="G63" s="28" t="n">
        <f aca="false">G59-G61-G62</f>
        <v>137.93625</v>
      </c>
    </row>
    <row r="64" customFormat="false" ht="15" hidden="false" customHeight="true" outlineLevel="0" collapsed="false">
      <c r="A64" s="3" t="s">
        <v>109</v>
      </c>
      <c r="B64" s="29" t="n">
        <f aca="false">1/(1+$B$9)^B$18</f>
        <v>0.940720868383597</v>
      </c>
      <c r="C64" s="29" t="n">
        <f aca="false">1/(1+$B$9)^C$18</f>
        <v>0.832496343702299</v>
      </c>
      <c r="D64" s="29" t="n">
        <f aca="false">1/(1+$B$9)^D$18</f>
        <v>0.736722428055132</v>
      </c>
      <c r="E64" s="29" t="n">
        <f aca="false">1/(1+$B$9)^E$18</f>
        <v>0.651966750491267</v>
      </c>
      <c r="F64" s="29" t="n">
        <f aca="false">1/(1+$B$9)^F$18</f>
        <v>0.576961726098466</v>
      </c>
      <c r="G64" s="3"/>
    </row>
    <row r="65" customFormat="false" ht="15" hidden="false" customHeight="true" outlineLevel="0" collapsed="false">
      <c r="A65" s="3" t="s">
        <v>110</v>
      </c>
      <c r="B65" s="28" t="n">
        <f aca="false">B63*B64</f>
        <v>198.211768410161</v>
      </c>
      <c r="C65" s="28" t="n">
        <f aca="false">C63*C64</f>
        <v>202.296611519659</v>
      </c>
      <c r="D65" s="28" t="n">
        <f aca="false">D63*D64</f>
        <v>168.71532980405</v>
      </c>
      <c r="E65" s="28" t="n">
        <f aca="false">E63*E64</f>
        <v>117.812999680774</v>
      </c>
      <c r="F65" s="28" t="n">
        <f aca="false">F63*F64</f>
        <v>90.1906570237123</v>
      </c>
      <c r="G65" s="28"/>
    </row>
    <row r="66" customFormat="false" ht="15" hidden="false" customHeight="true" outlineLevel="0" collapsed="false">
      <c r="A66" s="3" t="s">
        <v>111</v>
      </c>
      <c r="B66" s="28" t="n">
        <f aca="false">G63/($B$9-$B$10)</f>
        <v>1313.67857142857</v>
      </c>
      <c r="C66" s="3"/>
      <c r="D66" s="3"/>
      <c r="E66" s="3"/>
      <c r="F66" s="3"/>
      <c r="G66" s="3"/>
    </row>
    <row r="67" customFormat="false" ht="15" hidden="false" customHeight="true" outlineLevel="0" collapsed="false">
      <c r="A67" s="3" t="s">
        <v>112</v>
      </c>
      <c r="B67" s="28" t="n">
        <f aca="false">B66/(1+$B$9)^$F$18</f>
        <v>757.942256109996</v>
      </c>
      <c r="C67" s="3"/>
      <c r="D67" s="3"/>
      <c r="E67" s="3"/>
      <c r="F67" s="3"/>
      <c r="G67" s="3"/>
    </row>
    <row r="68" customFormat="false" ht="15" hidden="false" customHeight="true" outlineLevel="0" collapsed="false">
      <c r="A68" s="3" t="s">
        <v>113</v>
      </c>
      <c r="B68" s="28" t="n">
        <f aca="false">SUM(B65:F65)+B67+$B$7</f>
        <v>1602.03962254835</v>
      </c>
      <c r="C68" s="3"/>
      <c r="D68" s="3"/>
      <c r="E68" s="3"/>
      <c r="F68" s="3"/>
      <c r="G68" s="3"/>
    </row>
    <row r="69" customFormat="false" ht="15" hidden="false" customHeight="true" outlineLevel="0" collapsed="false">
      <c r="A69" s="3" t="s">
        <v>114</v>
      </c>
      <c r="B69" s="33" t="n">
        <f aca="false">B68/$B$6*$B$13</f>
        <v>2197977.17363638</v>
      </c>
      <c r="C69" s="3"/>
      <c r="D69" s="3"/>
      <c r="E69" s="3"/>
      <c r="F69" s="3"/>
      <c r="G69" s="3"/>
    </row>
    <row r="70" customFormat="false" ht="15" hidden="false" customHeight="true" outlineLevel="0" collapsed="false">
      <c r="A70" s="3" t="s">
        <v>115</v>
      </c>
      <c r="B70" s="7" t="n">
        <f aca="false">B69/$B$4-1</f>
        <v>0.773992876219842</v>
      </c>
      <c r="C70" s="3"/>
      <c r="D70" s="3"/>
      <c r="E70" s="3"/>
      <c r="F70" s="3"/>
      <c r="G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</row>
    <row r="72" customFormat="false" ht="15" hidden="false" customHeight="true" outlineLevel="0" collapsed="false">
      <c r="A72" s="14" t="s">
        <v>118</v>
      </c>
      <c r="B72" s="27"/>
      <c r="C72" s="14" t="s">
        <v>119</v>
      </c>
      <c r="D72" s="27"/>
      <c r="E72" s="27"/>
      <c r="F72" s="27"/>
      <c r="G72" s="27"/>
    </row>
    <row r="73" customFormat="false" ht="15" hidden="false" customHeight="true" outlineLevel="0" collapsed="false">
      <c r="A73" s="3" t="s">
        <v>120</v>
      </c>
      <c r="B73" s="34" t="n">
        <f aca="false">B35</f>
        <v>662607.242796565</v>
      </c>
      <c r="C73" s="7" t="n">
        <f aca="false">B73/$B$4-1</f>
        <v>-0.465208036483806</v>
      </c>
      <c r="D73" s="3"/>
      <c r="E73" s="3"/>
      <c r="F73" s="3"/>
      <c r="G73" s="3"/>
    </row>
    <row r="74" customFormat="false" ht="15" hidden="false" customHeight="true" outlineLevel="0" collapsed="false">
      <c r="A74" s="3" t="s">
        <v>121</v>
      </c>
      <c r="B74" s="34" t="n">
        <f aca="false">B52</f>
        <v>1321578.83719207</v>
      </c>
      <c r="C74" s="7" t="n">
        <f aca="false">B74/$B$4-1</f>
        <v>0.0666495861114369</v>
      </c>
      <c r="D74" s="3"/>
      <c r="E74" s="3"/>
      <c r="F74" s="3"/>
      <c r="G74" s="3"/>
    </row>
    <row r="75" customFormat="false" ht="15" hidden="false" customHeight="true" outlineLevel="0" collapsed="false">
      <c r="A75" s="3" t="s">
        <v>122</v>
      </c>
      <c r="B75" s="34" t="n">
        <f aca="false">B69</f>
        <v>2197977.17363638</v>
      </c>
      <c r="C75" s="7" t="n">
        <f aca="false">B75/$B$4-1</f>
        <v>0.773992876219842</v>
      </c>
      <c r="D75" s="3"/>
      <c r="E75" s="3"/>
      <c r="F75" s="3"/>
      <c r="G75" s="3"/>
    </row>
    <row r="76" customFormat="false" ht="15" hidden="false" customHeight="true" outlineLevel="0" collapsed="false">
      <c r="A76" s="3" t="s">
        <v>123</v>
      </c>
      <c r="B76" s="34" t="n">
        <f aca="false">INDEX(B35:B69,1+($B$15-1)*17)</f>
        <v>1321578.83719207</v>
      </c>
      <c r="C76" s="7" t="n">
        <f aca="false">B76/$B$4-1</f>
        <v>0.0666495861114369</v>
      </c>
      <c r="D76" s="3"/>
      <c r="E76" s="3"/>
      <c r="F76" s="3"/>
      <c r="G76" s="3"/>
    </row>
    <row r="77" customFormat="false" ht="15" hidden="false" customHeight="true" outlineLevel="0" collapsed="false">
      <c r="A77" s="3" t="s">
        <v>124</v>
      </c>
      <c r="B77" s="34" t="n">
        <f aca="false">B74*(1-$B$14)</f>
        <v>1123342.01161326</v>
      </c>
      <c r="C77" s="3"/>
      <c r="D77" s="3"/>
      <c r="E77" s="3"/>
      <c r="F77" s="3"/>
      <c r="G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</row>
    <row r="79" customFormat="false" ht="15" hidden="false" customHeight="true" outlineLevel="0" collapsed="false">
      <c r="A79" s="3" t="s">
        <v>125</v>
      </c>
      <c r="B79" s="7" t="n">
        <f aca="false">(($B$4*$B$6/$B$13-$B$7-SUM(B48:F48))*(1+$B$9)^$F$18*($B$9-$B$10)+G38*G43+$B$11*(G38-F38))/(G38*(1-$B$8))</f>
        <v>0.307185321544828</v>
      </c>
      <c r="C79" s="4" t="s">
        <v>126</v>
      </c>
      <c r="D79" s="3"/>
      <c r="E79" s="3"/>
      <c r="F79" s="3"/>
      <c r="G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</row>
    <row r="81" customFormat="false" ht="15" hidden="false" customHeight="true" outlineLevel="0" collapsed="false">
      <c r="A81" s="10" t="s">
        <v>127</v>
      </c>
      <c r="B81" s="3"/>
      <c r="C81" s="3"/>
      <c r="D81" s="3"/>
      <c r="E81" s="3"/>
      <c r="F81" s="3"/>
      <c r="G81" s="3"/>
    </row>
    <row r="82" customFormat="false" ht="15" hidden="false" customHeight="true" outlineLevel="0" collapsed="false">
      <c r="A82" s="3" t="s">
        <v>128</v>
      </c>
      <c r="B82" s="13" t="n">
        <v>0.1</v>
      </c>
      <c r="C82" s="13" t="n">
        <v>0.11</v>
      </c>
      <c r="D82" s="13" t="n">
        <v>0.12</v>
      </c>
      <c r="E82" s="13" t="n">
        <v>0.13</v>
      </c>
      <c r="F82" s="13" t="n">
        <v>0.14</v>
      </c>
      <c r="G82" s="3"/>
    </row>
    <row r="83" customFormat="false" ht="15" hidden="false" customHeight="true" outlineLevel="0" collapsed="false">
      <c r="A83" s="3" t="s">
        <v>121</v>
      </c>
      <c r="B83" s="34" t="n">
        <f aca="false">(SUMPRODUCT(B46:F46/(1+B82)^$B$18:$F$18)+G46/(B82-$B$10)/(1+B82)^$F$18+$B$7)/$B$6*$B$13</f>
        <v>1672678.19518705</v>
      </c>
      <c r="C83" s="34" t="n">
        <f aca="false">(SUMPRODUCT(B46:F46/(1+C82)^$B$18:$F$18)+G46/(C82-$B$10)/(1+C82)^$F$18+$B$7)/$B$6*$B$13</f>
        <v>1528941.87509768</v>
      </c>
      <c r="D83" s="34" t="n">
        <f aca="false">(SUMPRODUCT(B46:F46/(1+D82)^$B$18:$F$18)+G46/(D82-$B$10)/(1+D82)^$F$18+$B$7)/$B$6*$B$13</f>
        <v>1414709.76112043</v>
      </c>
      <c r="E83" s="34" t="n">
        <f aca="false">(SUMPRODUCT(B46:F46/(1+E82)^$B$18:$F$18)+G46/(E82-$B$10)/(1+E82)^$F$18+$B$7)/$B$6*$B$13</f>
        <v>1321578.83719207</v>
      </c>
      <c r="F83" s="34" t="n">
        <f aca="false">(SUMPRODUCT(B46:F46/(1+F82)^$B$18:$F$18)+G46/(F82-$B$10)/(1+F82)^$F$18+$B$7)/$B$6*$B$13</f>
        <v>1244067.59864989</v>
      </c>
      <c r="G8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7" min="4" style="1" width="13"/>
  </cols>
  <sheetData>
    <row r="1" customFormat="false" ht="15.75" hidden="false" customHeight="true" outlineLevel="0" collapsed="false">
      <c r="A1" s="2" t="s">
        <v>145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4" t="s">
        <v>71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11" t="s">
        <v>3</v>
      </c>
      <c r="B4" s="21" t="n">
        <v>688.68</v>
      </c>
      <c r="C4" s="4" t="s">
        <v>146</v>
      </c>
      <c r="D4" s="3"/>
      <c r="E4" s="3"/>
      <c r="F4" s="3"/>
      <c r="G4" s="3"/>
    </row>
    <row r="5" customFormat="false" ht="15" hidden="false" customHeight="true" outlineLevel="0" collapsed="false">
      <c r="A5" s="11" t="s">
        <v>73</v>
      </c>
      <c r="B5" s="22" t="s">
        <v>147</v>
      </c>
      <c r="C5" s="4" t="s">
        <v>75</v>
      </c>
      <c r="D5" s="3"/>
      <c r="E5" s="3"/>
      <c r="F5" s="3"/>
      <c r="G5" s="3"/>
    </row>
    <row r="6" customFormat="false" ht="15" hidden="false" customHeight="true" outlineLevel="0" collapsed="false">
      <c r="A6" s="11" t="s">
        <v>76</v>
      </c>
      <c r="B6" s="23" t="n">
        <v>0.22739</v>
      </c>
      <c r="C6" s="4" t="s">
        <v>77</v>
      </c>
      <c r="D6" s="3"/>
      <c r="E6" s="3"/>
      <c r="F6" s="3"/>
      <c r="G6" s="3"/>
    </row>
    <row r="7" customFormat="false" ht="15" hidden="false" customHeight="true" outlineLevel="0" collapsed="false">
      <c r="A7" s="11" t="s">
        <v>78</v>
      </c>
      <c r="B7" s="24" t="n">
        <v>-2.2</v>
      </c>
      <c r="C7" s="4" t="s">
        <v>148</v>
      </c>
      <c r="D7" s="3"/>
      <c r="E7" s="3"/>
      <c r="F7" s="3"/>
      <c r="G7" s="3"/>
    </row>
    <row r="8" customFormat="false" ht="15" hidden="false" customHeight="true" outlineLevel="0" collapsed="false">
      <c r="A8" s="11" t="s">
        <v>54</v>
      </c>
      <c r="B8" s="13" t="n">
        <v>0.1</v>
      </c>
      <c r="C8" s="4" t="s">
        <v>33</v>
      </c>
      <c r="D8" s="3"/>
      <c r="E8" s="3"/>
      <c r="F8" s="3"/>
      <c r="G8" s="3"/>
    </row>
    <row r="9" customFormat="false" ht="15" hidden="false" customHeight="true" outlineLevel="0" collapsed="false">
      <c r="A9" s="11" t="s">
        <v>80</v>
      </c>
      <c r="B9" s="8" t="n">
        <f aca="false">WACC!D26</f>
        <v>0.12</v>
      </c>
      <c r="C9" s="4" t="s">
        <v>81</v>
      </c>
      <c r="D9" s="3"/>
      <c r="E9" s="3"/>
      <c r="F9" s="3"/>
      <c r="G9" s="3"/>
    </row>
    <row r="10" customFormat="false" ht="15" hidden="false" customHeight="true" outlineLevel="0" collapsed="false">
      <c r="A10" s="11" t="s">
        <v>82</v>
      </c>
      <c r="B10" s="19" t="n">
        <v>0.04</v>
      </c>
      <c r="C10" s="4" t="s">
        <v>33</v>
      </c>
      <c r="D10" s="3"/>
      <c r="E10" s="3"/>
      <c r="F10" s="3"/>
      <c r="G10" s="3"/>
    </row>
    <row r="11" customFormat="false" ht="15" hidden="false" customHeight="true" outlineLevel="0" collapsed="false">
      <c r="A11" s="11" t="s">
        <v>83</v>
      </c>
      <c r="B11" s="13" t="n">
        <v>0.1</v>
      </c>
      <c r="C11" s="4" t="s">
        <v>33</v>
      </c>
      <c r="D11" s="3"/>
      <c r="E11" s="3"/>
      <c r="F11" s="3"/>
      <c r="G11" s="3"/>
    </row>
    <row r="12" customFormat="false" ht="15" hidden="false" customHeight="true" outlineLevel="0" collapsed="false">
      <c r="A12" s="11" t="s">
        <v>84</v>
      </c>
      <c r="B12" s="24" t="n">
        <v>12.195</v>
      </c>
      <c r="C12" s="4" t="s">
        <v>149</v>
      </c>
      <c r="D12" s="3"/>
      <c r="E12" s="3"/>
      <c r="F12" s="3"/>
      <c r="G12" s="3"/>
    </row>
    <row r="13" customFormat="false" ht="15" hidden="false" customHeight="true" outlineLevel="0" collapsed="false">
      <c r="A13" s="11" t="s">
        <v>86</v>
      </c>
      <c r="B13" s="25" t="n">
        <v>1</v>
      </c>
      <c r="C13" s="4" t="s">
        <v>87</v>
      </c>
      <c r="D13" s="3"/>
      <c r="E13" s="3"/>
      <c r="F13" s="3"/>
      <c r="G13" s="3"/>
    </row>
    <row r="14" customFormat="false" ht="15" hidden="false" customHeight="true" outlineLevel="0" collapsed="false">
      <c r="A14" s="11" t="s">
        <v>88</v>
      </c>
      <c r="B14" s="13" t="n">
        <v>0.15</v>
      </c>
      <c r="C14" s="4" t="s">
        <v>33</v>
      </c>
      <c r="D14" s="3"/>
      <c r="E14" s="3"/>
      <c r="F14" s="3"/>
      <c r="G14" s="3"/>
    </row>
    <row r="15" customFormat="false" ht="15" hidden="false" customHeight="true" outlineLevel="0" collapsed="false">
      <c r="A15" s="11" t="s">
        <v>89</v>
      </c>
      <c r="B15" s="12" t="n">
        <v>2</v>
      </c>
      <c r="C15" s="4" t="s">
        <v>90</v>
      </c>
      <c r="D15" s="3"/>
      <c r="E15" s="3"/>
      <c r="F15" s="3"/>
      <c r="G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</row>
    <row r="17" customFormat="false" ht="15" hidden="false" customHeight="true" outlineLevel="0" collapsed="false">
      <c r="A17" s="10" t="s">
        <v>91</v>
      </c>
      <c r="B17" s="26" t="s">
        <v>92</v>
      </c>
      <c r="C17" s="26" t="s">
        <v>93</v>
      </c>
      <c r="D17" s="26" t="s">
        <v>94</v>
      </c>
      <c r="E17" s="26" t="s">
        <v>95</v>
      </c>
      <c r="F17" s="26" t="s">
        <v>96</v>
      </c>
      <c r="G17" s="26" t="s">
        <v>97</v>
      </c>
    </row>
    <row r="18" customFormat="false" ht="15" hidden="false" customHeight="true" outlineLevel="0" collapsed="false">
      <c r="A18" s="3" t="s">
        <v>98</v>
      </c>
      <c r="B18" s="22" t="n">
        <v>0.5</v>
      </c>
      <c r="C18" s="3" t="n">
        <f aca="false">B18+1</f>
        <v>1.5</v>
      </c>
      <c r="D18" s="3" t="n">
        <f aca="false">C18+1</f>
        <v>2.5</v>
      </c>
      <c r="E18" s="3" t="n">
        <f aca="false">D18+1</f>
        <v>3.5</v>
      </c>
      <c r="F18" s="3" t="n">
        <f aca="false">E18+1</f>
        <v>4.5</v>
      </c>
      <c r="G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true" outlineLevel="0" collapsed="false">
      <c r="A20" s="14" t="s">
        <v>150</v>
      </c>
      <c r="B20" s="27"/>
      <c r="C20" s="27"/>
      <c r="D20" s="27"/>
      <c r="E20" s="27"/>
      <c r="F20" s="27"/>
      <c r="G20" s="27"/>
    </row>
    <row r="21" customFormat="false" ht="15" hidden="false" customHeight="true" outlineLevel="0" collapsed="false">
      <c r="A21" s="3" t="s">
        <v>100</v>
      </c>
      <c r="B21" s="24" t="n">
        <v>17</v>
      </c>
      <c r="C21" s="24" t="n">
        <v>15.5</v>
      </c>
      <c r="D21" s="24" t="n">
        <v>14</v>
      </c>
      <c r="E21" s="24" t="n">
        <v>14.5</v>
      </c>
      <c r="F21" s="24" t="n">
        <v>15</v>
      </c>
      <c r="G21" s="28" t="n">
        <f aca="false">F21*(1+$B$10)</f>
        <v>15.6</v>
      </c>
    </row>
    <row r="22" customFormat="false" ht="15" hidden="false" customHeight="true" outlineLevel="0" collapsed="false">
      <c r="A22" s="3" t="s">
        <v>101</v>
      </c>
      <c r="B22" s="7" t="n">
        <f aca="false">B21/$B$12-1</f>
        <v>0.394013940139401</v>
      </c>
      <c r="C22" s="7" t="n">
        <f aca="false">C21/B21-1</f>
        <v>-0.0882352941176471</v>
      </c>
      <c r="D22" s="7" t="n">
        <f aca="false">D21/C21-1</f>
        <v>-0.0967741935483871</v>
      </c>
      <c r="E22" s="7" t="n">
        <f aca="false">E21/D21-1</f>
        <v>0.0357142857142858</v>
      </c>
      <c r="F22" s="7" t="n">
        <f aca="false">F21/E21-1</f>
        <v>0.0344827586206897</v>
      </c>
      <c r="G22" s="7" t="n">
        <f aca="false">G21/F21-1</f>
        <v>0.04</v>
      </c>
    </row>
    <row r="23" customFormat="false" ht="15" hidden="false" customHeight="true" outlineLevel="0" collapsed="false">
      <c r="A23" s="3" t="s">
        <v>102</v>
      </c>
      <c r="B23" s="13" t="n">
        <v>0.49</v>
      </c>
      <c r="C23" s="13" t="n">
        <v>0.38</v>
      </c>
      <c r="D23" s="13" t="n">
        <v>0.28</v>
      </c>
      <c r="E23" s="13" t="n">
        <v>0.25</v>
      </c>
      <c r="F23" s="13" t="n">
        <v>0.25</v>
      </c>
      <c r="G23" s="19" t="n">
        <v>0.22</v>
      </c>
    </row>
    <row r="24" customFormat="false" ht="15" hidden="false" customHeight="true" outlineLevel="0" collapsed="false">
      <c r="A24" s="3" t="s">
        <v>103</v>
      </c>
      <c r="B24" s="28" t="n">
        <f aca="false">B21*B23</f>
        <v>8.33</v>
      </c>
      <c r="C24" s="28" t="n">
        <f aca="false">C21*C23</f>
        <v>5.89</v>
      </c>
      <c r="D24" s="28" t="n">
        <f aca="false">D21*D23</f>
        <v>3.92</v>
      </c>
      <c r="E24" s="28" t="n">
        <f aca="false">E21*E23</f>
        <v>3.625</v>
      </c>
      <c r="F24" s="28" t="n">
        <f aca="false">F21*F23</f>
        <v>3.75</v>
      </c>
      <c r="G24" s="28" t="n">
        <f aca="false">G21*G23</f>
        <v>3.432</v>
      </c>
    </row>
    <row r="25" customFormat="false" ht="15" hidden="false" customHeight="true" outlineLevel="0" collapsed="false">
      <c r="A25" s="3" t="s">
        <v>104</v>
      </c>
      <c r="B25" s="28" t="n">
        <f aca="false">B24*(1-$B$8)</f>
        <v>7.497</v>
      </c>
      <c r="C25" s="28" t="n">
        <f aca="false">C24*(1-$B$8)</f>
        <v>5.301</v>
      </c>
      <c r="D25" s="28" t="n">
        <f aca="false">D24*(1-$B$8)</f>
        <v>3.528</v>
      </c>
      <c r="E25" s="28" t="n">
        <f aca="false">E24*(1-$B$8)</f>
        <v>3.2625</v>
      </c>
      <c r="F25" s="28" t="n">
        <f aca="false">F24*(1-$B$8)</f>
        <v>3.375</v>
      </c>
      <c r="G25" s="28" t="n">
        <f aca="false">G24*(1-$B$8)</f>
        <v>3.0888</v>
      </c>
    </row>
    <row r="26" customFormat="false" ht="15" hidden="false" customHeight="true" outlineLevel="0" collapsed="false">
      <c r="A26" s="3" t="s">
        <v>105</v>
      </c>
      <c r="B26" s="13" t="n">
        <v>0.02</v>
      </c>
      <c r="C26" s="13" t="n">
        <v>0.02</v>
      </c>
      <c r="D26" s="13" t="n">
        <v>0.02</v>
      </c>
      <c r="E26" s="13" t="n">
        <v>0.02</v>
      </c>
      <c r="F26" s="13" t="n">
        <v>0.02</v>
      </c>
      <c r="G26" s="13" t="n">
        <v>0.02</v>
      </c>
    </row>
    <row r="27" customFormat="false" ht="15" hidden="false" customHeight="true" outlineLevel="0" collapsed="false">
      <c r="A27" s="3" t="s">
        <v>106</v>
      </c>
      <c r="B27" s="28" t="n">
        <f aca="false">B21*B26</f>
        <v>0.34</v>
      </c>
      <c r="C27" s="28" t="n">
        <f aca="false">C21*C26</f>
        <v>0.31</v>
      </c>
      <c r="D27" s="28" t="n">
        <f aca="false">D21*D26</f>
        <v>0.28</v>
      </c>
      <c r="E27" s="28" t="n">
        <f aca="false">E21*E26</f>
        <v>0.29</v>
      </c>
      <c r="F27" s="28" t="n">
        <f aca="false">F21*F26</f>
        <v>0.3</v>
      </c>
      <c r="G27" s="28" t="n">
        <f aca="false">G21*G26</f>
        <v>0.312</v>
      </c>
    </row>
    <row r="28" customFormat="false" ht="15" hidden="false" customHeight="true" outlineLevel="0" collapsed="false">
      <c r="A28" s="3" t="s">
        <v>107</v>
      </c>
      <c r="B28" s="28" t="n">
        <f aca="false">$B$11*(B21-$B$12)</f>
        <v>0.4805</v>
      </c>
      <c r="C28" s="28" t="n">
        <f aca="false">$B$11*(C21-B21)</f>
        <v>-0.15</v>
      </c>
      <c r="D28" s="28" t="n">
        <f aca="false">$B$11*(D21-C21)</f>
        <v>-0.15</v>
      </c>
      <c r="E28" s="28" t="n">
        <f aca="false">$B$11*(E21-D21)</f>
        <v>0.05</v>
      </c>
      <c r="F28" s="28" t="n">
        <f aca="false">$B$11*(F21-E21)</f>
        <v>0.05</v>
      </c>
      <c r="G28" s="28" t="n">
        <f aca="false">$B$11*(G21-F21)</f>
        <v>0.0600000000000001</v>
      </c>
    </row>
    <row r="29" customFormat="false" ht="15" hidden="false" customHeight="true" outlineLevel="0" collapsed="false">
      <c r="A29" s="3" t="s">
        <v>108</v>
      </c>
      <c r="B29" s="28" t="n">
        <f aca="false">B25-B27-B28</f>
        <v>6.6765</v>
      </c>
      <c r="C29" s="28" t="n">
        <f aca="false">C25-C27-C28</f>
        <v>5.141</v>
      </c>
      <c r="D29" s="28" t="n">
        <f aca="false">D25-D27-D28</f>
        <v>3.398</v>
      </c>
      <c r="E29" s="28" t="n">
        <f aca="false">E25-E27-E28</f>
        <v>2.9225</v>
      </c>
      <c r="F29" s="28" t="n">
        <f aca="false">F25-F27-F28</f>
        <v>3.025</v>
      </c>
      <c r="G29" s="28" t="n">
        <f aca="false">G25-G27-G28</f>
        <v>2.7168</v>
      </c>
    </row>
    <row r="30" customFormat="false" ht="15" hidden="false" customHeight="true" outlineLevel="0" collapsed="false">
      <c r="A30" s="3" t="s">
        <v>109</v>
      </c>
      <c r="B30" s="29" t="n">
        <f aca="false">1/(1+$B$9)^B$18</f>
        <v>0.944911182523068</v>
      </c>
      <c r="C30" s="29" t="n">
        <f aca="false">1/(1+$B$9)^C$18</f>
        <v>0.843670698681311</v>
      </c>
      <c r="D30" s="29" t="n">
        <f aca="false">1/(1+$B$9)^D$18</f>
        <v>0.753277409536885</v>
      </c>
      <c r="E30" s="29" t="n">
        <f aca="false">1/(1+$B$9)^E$18</f>
        <v>0.672569115657932</v>
      </c>
      <c r="F30" s="29" t="n">
        <f aca="false">1/(1+$B$9)^F$18</f>
        <v>0.600508138980297</v>
      </c>
      <c r="G30" s="3"/>
    </row>
    <row r="31" customFormat="false" ht="15" hidden="false" customHeight="true" outlineLevel="0" collapsed="false">
      <c r="A31" s="3" t="s">
        <v>110</v>
      </c>
      <c r="B31" s="28" t="n">
        <f aca="false">B29*B30</f>
        <v>6.30869951011526</v>
      </c>
      <c r="C31" s="28" t="n">
        <f aca="false">C29*C30</f>
        <v>4.33731106192062</v>
      </c>
      <c r="D31" s="28" t="n">
        <f aca="false">D29*D30</f>
        <v>2.55963663760633</v>
      </c>
      <c r="E31" s="28" t="n">
        <f aca="false">E29*E30</f>
        <v>1.96558324051031</v>
      </c>
      <c r="F31" s="28" t="n">
        <f aca="false">F29*F30</f>
        <v>1.8165371204154</v>
      </c>
      <c r="G31" s="28"/>
    </row>
    <row r="32" customFormat="false" ht="15" hidden="false" customHeight="true" outlineLevel="0" collapsed="false">
      <c r="A32" s="3" t="s">
        <v>111</v>
      </c>
      <c r="B32" s="28" t="n">
        <f aca="false">G29/($B$9-$B$10)</f>
        <v>33.96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A33" s="3" t="s">
        <v>112</v>
      </c>
      <c r="B33" s="28" t="n">
        <f aca="false">B32/(1+$B$9)^$F$18</f>
        <v>20.3932563997709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A34" s="3" t="s">
        <v>113</v>
      </c>
      <c r="B34" s="28" t="n">
        <f aca="false">SUM(B31:F31)+B33+$B$7</f>
        <v>35.1810239703388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A35" s="3" t="s">
        <v>114</v>
      </c>
      <c r="B35" s="30" t="n">
        <f aca="false">B34/$B$6*$B$13</f>
        <v>154.716671666911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A36" s="3" t="s">
        <v>115</v>
      </c>
      <c r="B36" s="7" t="n">
        <f aca="false">B35/$B$4-1</f>
        <v>-0.775343161313076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A37" s="14" t="s">
        <v>151</v>
      </c>
      <c r="B37" s="27"/>
      <c r="C37" s="27"/>
      <c r="D37" s="27"/>
      <c r="E37" s="27"/>
      <c r="F37" s="27"/>
      <c r="G37" s="27"/>
    </row>
    <row r="38" customFormat="false" ht="15" hidden="false" customHeight="true" outlineLevel="0" collapsed="false">
      <c r="A38" s="3" t="s">
        <v>100</v>
      </c>
      <c r="B38" s="24" t="n">
        <v>17.5</v>
      </c>
      <c r="C38" s="24" t="n">
        <v>20.5</v>
      </c>
      <c r="D38" s="24" t="n">
        <v>23</v>
      </c>
      <c r="E38" s="24" t="n">
        <v>25</v>
      </c>
      <c r="F38" s="24" t="n">
        <v>26.5</v>
      </c>
      <c r="G38" s="28" t="n">
        <f aca="false">F38*(1+$B$10)</f>
        <v>27.56</v>
      </c>
    </row>
    <row r="39" customFormat="false" ht="15" hidden="false" customHeight="true" outlineLevel="0" collapsed="false">
      <c r="A39" s="3" t="s">
        <v>101</v>
      </c>
      <c r="B39" s="7" t="n">
        <f aca="false">B38/$B$12-1</f>
        <v>0.435014350143501</v>
      </c>
      <c r="C39" s="7" t="n">
        <f aca="false">C38/B38-1</f>
        <v>0.171428571428571</v>
      </c>
      <c r="D39" s="7" t="n">
        <f aca="false">D38/C38-1</f>
        <v>0.121951219512195</v>
      </c>
      <c r="E39" s="7" t="n">
        <f aca="false">E38/D38-1</f>
        <v>0.0869565217391304</v>
      </c>
      <c r="F39" s="7" t="n">
        <f aca="false">F38/E38-1</f>
        <v>0.0600000000000001</v>
      </c>
      <c r="G39" s="7" t="n">
        <f aca="false">G38/F38-1</f>
        <v>0.04</v>
      </c>
    </row>
    <row r="40" customFormat="false" ht="15" hidden="false" customHeight="true" outlineLevel="0" collapsed="false">
      <c r="A40" s="3" t="s">
        <v>102</v>
      </c>
      <c r="B40" s="13" t="n">
        <v>0.51</v>
      </c>
      <c r="C40" s="13" t="n">
        <v>0.51</v>
      </c>
      <c r="D40" s="13" t="n">
        <v>0.48</v>
      </c>
      <c r="E40" s="13" t="n">
        <v>0.45</v>
      </c>
      <c r="F40" s="13" t="n">
        <v>0.42</v>
      </c>
      <c r="G40" s="19" t="n">
        <v>0.38</v>
      </c>
    </row>
    <row r="41" customFormat="false" ht="15" hidden="false" customHeight="true" outlineLevel="0" collapsed="false">
      <c r="A41" s="3" t="s">
        <v>103</v>
      </c>
      <c r="B41" s="28" t="n">
        <f aca="false">B38*B40</f>
        <v>8.925</v>
      </c>
      <c r="C41" s="28" t="n">
        <f aca="false">C38*C40</f>
        <v>10.455</v>
      </c>
      <c r="D41" s="28" t="n">
        <f aca="false">D38*D40</f>
        <v>11.04</v>
      </c>
      <c r="E41" s="28" t="n">
        <f aca="false">E38*E40</f>
        <v>11.25</v>
      </c>
      <c r="F41" s="28" t="n">
        <f aca="false">F38*F40</f>
        <v>11.13</v>
      </c>
      <c r="G41" s="28" t="n">
        <f aca="false">G38*G40</f>
        <v>10.4728</v>
      </c>
    </row>
    <row r="42" customFormat="false" ht="15" hidden="false" customHeight="true" outlineLevel="0" collapsed="false">
      <c r="A42" s="3" t="s">
        <v>104</v>
      </c>
      <c r="B42" s="28" t="n">
        <f aca="false">B41*(1-$B$8)</f>
        <v>8.0325</v>
      </c>
      <c r="C42" s="28" t="n">
        <f aca="false">C41*(1-$B$8)</f>
        <v>9.4095</v>
      </c>
      <c r="D42" s="28" t="n">
        <f aca="false">D41*(1-$B$8)</f>
        <v>9.936</v>
      </c>
      <c r="E42" s="28" t="n">
        <f aca="false">E41*(1-$B$8)</f>
        <v>10.125</v>
      </c>
      <c r="F42" s="28" t="n">
        <f aca="false">F41*(1-$B$8)</f>
        <v>10.017</v>
      </c>
      <c r="G42" s="28" t="n">
        <f aca="false">G41*(1-$B$8)</f>
        <v>9.42552</v>
      </c>
    </row>
    <row r="43" customFormat="false" ht="15" hidden="false" customHeight="true" outlineLevel="0" collapsed="false">
      <c r="A43" s="3" t="s">
        <v>105</v>
      </c>
      <c r="B43" s="13" t="n">
        <v>0.02</v>
      </c>
      <c r="C43" s="13" t="n">
        <v>0.02</v>
      </c>
      <c r="D43" s="13" t="n">
        <v>0.02</v>
      </c>
      <c r="E43" s="13" t="n">
        <v>0.02</v>
      </c>
      <c r="F43" s="13" t="n">
        <v>0.02</v>
      </c>
      <c r="G43" s="13" t="n">
        <v>0.02</v>
      </c>
    </row>
    <row r="44" customFormat="false" ht="15" hidden="false" customHeight="true" outlineLevel="0" collapsed="false">
      <c r="A44" s="3" t="s">
        <v>106</v>
      </c>
      <c r="B44" s="28" t="n">
        <f aca="false">B38*B43</f>
        <v>0.35</v>
      </c>
      <c r="C44" s="28" t="n">
        <f aca="false">C38*C43</f>
        <v>0.41</v>
      </c>
      <c r="D44" s="28" t="n">
        <f aca="false">D38*D43</f>
        <v>0.46</v>
      </c>
      <c r="E44" s="28" t="n">
        <f aca="false">E38*E43</f>
        <v>0.5</v>
      </c>
      <c r="F44" s="28" t="n">
        <f aca="false">F38*F43</f>
        <v>0.53</v>
      </c>
      <c r="G44" s="28" t="n">
        <f aca="false">G38*G43</f>
        <v>0.5512</v>
      </c>
    </row>
    <row r="45" customFormat="false" ht="15" hidden="false" customHeight="true" outlineLevel="0" collapsed="false">
      <c r="A45" s="3" t="s">
        <v>107</v>
      </c>
      <c r="B45" s="28" t="n">
        <f aca="false">$B$11*(B38-$B$12)</f>
        <v>0.5305</v>
      </c>
      <c r="C45" s="28" t="n">
        <f aca="false">$B$11*(C38-B38)</f>
        <v>0.3</v>
      </c>
      <c r="D45" s="28" t="n">
        <f aca="false">$B$11*(D38-C38)</f>
        <v>0.25</v>
      </c>
      <c r="E45" s="28" t="n">
        <f aca="false">$B$11*(E38-D38)</f>
        <v>0.2</v>
      </c>
      <c r="F45" s="28" t="n">
        <f aca="false">$B$11*(F38-E38)</f>
        <v>0.15</v>
      </c>
      <c r="G45" s="28" t="n">
        <f aca="false">$B$11*(G38-F38)</f>
        <v>0.106</v>
      </c>
    </row>
    <row r="46" customFormat="false" ht="15" hidden="false" customHeight="true" outlineLevel="0" collapsed="false">
      <c r="A46" s="3" t="s">
        <v>108</v>
      </c>
      <c r="B46" s="28" t="n">
        <f aca="false">B42-B44-B45</f>
        <v>7.152</v>
      </c>
      <c r="C46" s="28" t="n">
        <f aca="false">C42-C44-C45</f>
        <v>8.6995</v>
      </c>
      <c r="D46" s="28" t="n">
        <f aca="false">D42-D44-D45</f>
        <v>9.226</v>
      </c>
      <c r="E46" s="28" t="n">
        <f aca="false">E42-E44-E45</f>
        <v>9.425</v>
      </c>
      <c r="F46" s="28" t="n">
        <f aca="false">F42-F44-F45</f>
        <v>9.337</v>
      </c>
      <c r="G46" s="28" t="n">
        <f aca="false">G42-G44-G45</f>
        <v>8.76832</v>
      </c>
    </row>
    <row r="47" customFormat="false" ht="15" hidden="false" customHeight="true" outlineLevel="0" collapsed="false">
      <c r="A47" s="3" t="s">
        <v>109</v>
      </c>
      <c r="B47" s="29" t="n">
        <f aca="false">1/(1+$B$9)^B$18</f>
        <v>0.944911182523068</v>
      </c>
      <c r="C47" s="29" t="n">
        <f aca="false">1/(1+$B$9)^C$18</f>
        <v>0.843670698681311</v>
      </c>
      <c r="D47" s="29" t="n">
        <f aca="false">1/(1+$B$9)^D$18</f>
        <v>0.753277409536885</v>
      </c>
      <c r="E47" s="29" t="n">
        <f aca="false">1/(1+$B$9)^E$18</f>
        <v>0.672569115657932</v>
      </c>
      <c r="F47" s="29" t="n">
        <f aca="false">1/(1+$B$9)^F$18</f>
        <v>0.600508138980297</v>
      </c>
      <c r="G47" s="3"/>
    </row>
    <row r="48" customFormat="false" ht="15" hidden="false" customHeight="true" outlineLevel="0" collapsed="false">
      <c r="A48" s="3" t="s">
        <v>110</v>
      </c>
      <c r="B48" s="28" t="n">
        <f aca="false">B46*B47</f>
        <v>6.75800477740498</v>
      </c>
      <c r="C48" s="28" t="n">
        <f aca="false">C46*C47</f>
        <v>7.33951324317806</v>
      </c>
      <c r="D48" s="28" t="n">
        <f aca="false">D46*D47</f>
        <v>6.9497373803873</v>
      </c>
      <c r="E48" s="28" t="n">
        <f aca="false">E46*E47</f>
        <v>6.33896391507601</v>
      </c>
      <c r="F48" s="28" t="n">
        <f aca="false">F46*F47</f>
        <v>5.60694449365903</v>
      </c>
      <c r="G48" s="28"/>
    </row>
    <row r="49" customFormat="false" ht="15" hidden="false" customHeight="true" outlineLevel="0" collapsed="false">
      <c r="A49" s="3" t="s">
        <v>111</v>
      </c>
      <c r="B49" s="28" t="n">
        <f aca="false">G46/($B$9-$B$10)</f>
        <v>109.604</v>
      </c>
      <c r="C49" s="3"/>
      <c r="D49" s="3"/>
      <c r="E49" s="3"/>
      <c r="F49" s="3"/>
      <c r="G49" s="3"/>
    </row>
    <row r="50" customFormat="false" ht="15" hidden="false" customHeight="true" outlineLevel="0" collapsed="false">
      <c r="A50" s="3" t="s">
        <v>112</v>
      </c>
      <c r="B50" s="28" t="n">
        <f aca="false">B49/(1+$B$9)^$F$18</f>
        <v>65.8180940647965</v>
      </c>
      <c r="C50" s="3"/>
      <c r="D50" s="3"/>
      <c r="E50" s="3"/>
      <c r="F50" s="3"/>
      <c r="G50" s="3"/>
    </row>
    <row r="51" customFormat="false" ht="15" hidden="false" customHeight="true" outlineLevel="0" collapsed="false">
      <c r="A51" s="3" t="s">
        <v>113</v>
      </c>
      <c r="B51" s="28" t="n">
        <f aca="false">SUM(B48:F48)+B50+$B$7</f>
        <v>96.6112578745019</v>
      </c>
      <c r="C51" s="3"/>
      <c r="D51" s="3"/>
      <c r="E51" s="3"/>
      <c r="F51" s="3"/>
      <c r="G51" s="3"/>
    </row>
    <row r="52" customFormat="false" ht="15" hidden="false" customHeight="true" outlineLevel="0" collapsed="false">
      <c r="A52" s="3" t="s">
        <v>114</v>
      </c>
      <c r="B52" s="30" t="n">
        <f aca="false">B51/$B$6*$B$13</f>
        <v>424.870301572197</v>
      </c>
      <c r="C52" s="3"/>
      <c r="D52" s="3"/>
      <c r="E52" s="3"/>
      <c r="F52" s="3"/>
      <c r="G52" s="3"/>
    </row>
    <row r="53" customFormat="false" ht="15" hidden="false" customHeight="true" outlineLevel="0" collapsed="false">
      <c r="A53" s="3" t="s">
        <v>115</v>
      </c>
      <c r="B53" s="7" t="n">
        <f aca="false">B52/$B$4-1</f>
        <v>-0.383065717645065</v>
      </c>
      <c r="C53" s="3"/>
      <c r="D53" s="3"/>
      <c r="E53" s="3"/>
      <c r="F53" s="3"/>
      <c r="G53" s="3"/>
    </row>
    <row r="54" customFormat="false" ht="15" hidden="false" customHeight="true" outlineLevel="0" collapsed="false">
      <c r="A54" s="14" t="s">
        <v>152</v>
      </c>
      <c r="B54" s="27"/>
      <c r="C54" s="27"/>
      <c r="D54" s="27"/>
      <c r="E54" s="27"/>
      <c r="F54" s="27"/>
      <c r="G54" s="27"/>
    </row>
    <row r="55" customFormat="false" ht="15" hidden="false" customHeight="true" outlineLevel="0" collapsed="false">
      <c r="A55" s="3" t="s">
        <v>100</v>
      </c>
      <c r="B55" s="24" t="n">
        <v>18</v>
      </c>
      <c r="C55" s="24" t="n">
        <v>22.5</v>
      </c>
      <c r="D55" s="24" t="n">
        <v>27</v>
      </c>
      <c r="E55" s="24" t="n">
        <v>31</v>
      </c>
      <c r="F55" s="24" t="n">
        <v>34</v>
      </c>
      <c r="G55" s="28" t="n">
        <f aca="false">F55*(1+$B$10)</f>
        <v>35.36</v>
      </c>
    </row>
    <row r="56" customFormat="false" ht="15" hidden="false" customHeight="true" outlineLevel="0" collapsed="false">
      <c r="A56" s="3" t="s">
        <v>101</v>
      </c>
      <c r="B56" s="7" t="n">
        <f aca="false">B55/$B$12-1</f>
        <v>0.476014760147601</v>
      </c>
      <c r="C56" s="7" t="n">
        <f aca="false">C55/B55-1</f>
        <v>0.25</v>
      </c>
      <c r="D56" s="7" t="n">
        <f aca="false">D55/C55-1</f>
        <v>0.2</v>
      </c>
      <c r="E56" s="7" t="n">
        <f aca="false">E55/D55-1</f>
        <v>0.148148148148148</v>
      </c>
      <c r="F56" s="7" t="n">
        <f aca="false">F55/E55-1</f>
        <v>0.096774193548387</v>
      </c>
      <c r="G56" s="7" t="n">
        <f aca="false">G55/F55-1</f>
        <v>0.04</v>
      </c>
    </row>
    <row r="57" customFormat="false" ht="15" hidden="false" customHeight="true" outlineLevel="0" collapsed="false">
      <c r="A57" s="3" t="s">
        <v>102</v>
      </c>
      <c r="B57" s="13" t="n">
        <v>0.52</v>
      </c>
      <c r="C57" s="13" t="n">
        <v>0.55</v>
      </c>
      <c r="D57" s="13" t="n">
        <v>0.55</v>
      </c>
      <c r="E57" s="13" t="n">
        <v>0.52</v>
      </c>
      <c r="F57" s="13" t="n">
        <v>0.48</v>
      </c>
      <c r="G57" s="19" t="n">
        <v>0.45</v>
      </c>
    </row>
    <row r="58" customFormat="false" ht="15" hidden="false" customHeight="true" outlineLevel="0" collapsed="false">
      <c r="A58" s="3" t="s">
        <v>103</v>
      </c>
      <c r="B58" s="28" t="n">
        <f aca="false">B55*B57</f>
        <v>9.36</v>
      </c>
      <c r="C58" s="28" t="n">
        <f aca="false">C55*C57</f>
        <v>12.375</v>
      </c>
      <c r="D58" s="28" t="n">
        <f aca="false">D55*D57</f>
        <v>14.85</v>
      </c>
      <c r="E58" s="28" t="n">
        <f aca="false">E55*E57</f>
        <v>16.12</v>
      </c>
      <c r="F58" s="28" t="n">
        <f aca="false">F55*F57</f>
        <v>16.32</v>
      </c>
      <c r="G58" s="28" t="n">
        <f aca="false">G55*G57</f>
        <v>15.912</v>
      </c>
    </row>
    <row r="59" customFormat="false" ht="15" hidden="false" customHeight="true" outlineLevel="0" collapsed="false">
      <c r="A59" s="3" t="s">
        <v>104</v>
      </c>
      <c r="B59" s="28" t="n">
        <f aca="false">B58*(1-$B$8)</f>
        <v>8.424</v>
      </c>
      <c r="C59" s="28" t="n">
        <f aca="false">C58*(1-$B$8)</f>
        <v>11.1375</v>
      </c>
      <c r="D59" s="28" t="n">
        <f aca="false">D58*(1-$B$8)</f>
        <v>13.365</v>
      </c>
      <c r="E59" s="28" t="n">
        <f aca="false">E58*(1-$B$8)</f>
        <v>14.508</v>
      </c>
      <c r="F59" s="28" t="n">
        <f aca="false">F58*(1-$B$8)</f>
        <v>14.688</v>
      </c>
      <c r="G59" s="28" t="n">
        <f aca="false">G58*(1-$B$8)</f>
        <v>14.3208</v>
      </c>
    </row>
    <row r="60" customFormat="false" ht="15" hidden="false" customHeight="true" outlineLevel="0" collapsed="false">
      <c r="A60" s="3" t="s">
        <v>105</v>
      </c>
      <c r="B60" s="13" t="n">
        <v>0.02</v>
      </c>
      <c r="C60" s="13" t="n">
        <v>0.02</v>
      </c>
      <c r="D60" s="13" t="n">
        <v>0.02</v>
      </c>
      <c r="E60" s="13" t="n">
        <v>0.02</v>
      </c>
      <c r="F60" s="13" t="n">
        <v>0.02</v>
      </c>
      <c r="G60" s="13" t="n">
        <v>0.02</v>
      </c>
    </row>
    <row r="61" customFormat="false" ht="15" hidden="false" customHeight="true" outlineLevel="0" collapsed="false">
      <c r="A61" s="3" t="s">
        <v>106</v>
      </c>
      <c r="B61" s="28" t="n">
        <f aca="false">B55*B60</f>
        <v>0.36</v>
      </c>
      <c r="C61" s="28" t="n">
        <f aca="false">C55*C60</f>
        <v>0.45</v>
      </c>
      <c r="D61" s="28" t="n">
        <f aca="false">D55*D60</f>
        <v>0.54</v>
      </c>
      <c r="E61" s="28" t="n">
        <f aca="false">E55*E60</f>
        <v>0.62</v>
      </c>
      <c r="F61" s="28" t="n">
        <f aca="false">F55*F60</f>
        <v>0.68</v>
      </c>
      <c r="G61" s="28" t="n">
        <f aca="false">G55*G60</f>
        <v>0.7072</v>
      </c>
    </row>
    <row r="62" customFormat="false" ht="15" hidden="false" customHeight="true" outlineLevel="0" collapsed="false">
      <c r="A62" s="3" t="s">
        <v>107</v>
      </c>
      <c r="B62" s="28" t="n">
        <f aca="false">$B$11*(B55-$B$12)</f>
        <v>0.5805</v>
      </c>
      <c r="C62" s="28" t="n">
        <f aca="false">$B$11*(C55-B55)</f>
        <v>0.45</v>
      </c>
      <c r="D62" s="28" t="n">
        <f aca="false">$B$11*(D55-C55)</f>
        <v>0.45</v>
      </c>
      <c r="E62" s="28" t="n">
        <f aca="false">$B$11*(E55-D55)</f>
        <v>0.4</v>
      </c>
      <c r="F62" s="28" t="n">
        <f aca="false">$B$11*(F55-E55)</f>
        <v>0.3</v>
      </c>
      <c r="G62" s="28" t="n">
        <f aca="false">$B$11*(G55-F55)</f>
        <v>0.136</v>
      </c>
    </row>
    <row r="63" customFormat="false" ht="15" hidden="false" customHeight="true" outlineLevel="0" collapsed="false">
      <c r="A63" s="3" t="s">
        <v>108</v>
      </c>
      <c r="B63" s="28" t="n">
        <f aca="false">B59-B61-B62</f>
        <v>7.4835</v>
      </c>
      <c r="C63" s="28" t="n">
        <f aca="false">C59-C61-C62</f>
        <v>10.2375</v>
      </c>
      <c r="D63" s="28" t="n">
        <f aca="false">D59-D61-D62</f>
        <v>12.375</v>
      </c>
      <c r="E63" s="28" t="n">
        <f aca="false">E59-E61-E62</f>
        <v>13.488</v>
      </c>
      <c r="F63" s="28" t="n">
        <f aca="false">F59-F61-F62</f>
        <v>13.708</v>
      </c>
      <c r="G63" s="28" t="n">
        <f aca="false">G59-G61-G62</f>
        <v>13.4776</v>
      </c>
    </row>
    <row r="64" customFormat="false" ht="15" hidden="false" customHeight="true" outlineLevel="0" collapsed="false">
      <c r="A64" s="3" t="s">
        <v>109</v>
      </c>
      <c r="B64" s="29" t="n">
        <f aca="false">1/(1+$B$9)^B$18</f>
        <v>0.944911182523068</v>
      </c>
      <c r="C64" s="29" t="n">
        <f aca="false">1/(1+$B$9)^C$18</f>
        <v>0.843670698681311</v>
      </c>
      <c r="D64" s="29" t="n">
        <f aca="false">1/(1+$B$9)^D$18</f>
        <v>0.753277409536885</v>
      </c>
      <c r="E64" s="29" t="n">
        <f aca="false">1/(1+$B$9)^E$18</f>
        <v>0.672569115657932</v>
      </c>
      <c r="F64" s="29" t="n">
        <f aca="false">1/(1+$B$9)^F$18</f>
        <v>0.600508138980297</v>
      </c>
      <c r="G64" s="3"/>
    </row>
    <row r="65" customFormat="false" ht="15" hidden="false" customHeight="true" outlineLevel="0" collapsed="false">
      <c r="A65" s="3" t="s">
        <v>110</v>
      </c>
      <c r="B65" s="28" t="n">
        <f aca="false">B63*B64</f>
        <v>7.07124283441138</v>
      </c>
      <c r="C65" s="28" t="n">
        <f aca="false">C63*C64</f>
        <v>8.63707877774992</v>
      </c>
      <c r="D65" s="28" t="n">
        <f aca="false">D63*D64</f>
        <v>9.32180794301895</v>
      </c>
      <c r="E65" s="28" t="n">
        <f aca="false">E63*E64</f>
        <v>9.07161223199419</v>
      </c>
      <c r="F65" s="28" t="n">
        <f aca="false">F63*F64</f>
        <v>8.23176556914191</v>
      </c>
      <c r="G65" s="28"/>
    </row>
    <row r="66" customFormat="false" ht="15" hidden="false" customHeight="true" outlineLevel="0" collapsed="false">
      <c r="A66" s="3" t="s">
        <v>111</v>
      </c>
      <c r="B66" s="28" t="n">
        <f aca="false">G63/($B$9-$B$10)</f>
        <v>168.47</v>
      </c>
      <c r="C66" s="3"/>
      <c r="D66" s="3"/>
      <c r="E66" s="3"/>
      <c r="F66" s="3"/>
      <c r="G66" s="3"/>
    </row>
    <row r="67" customFormat="false" ht="15" hidden="false" customHeight="true" outlineLevel="0" collapsed="false">
      <c r="A67" s="3" t="s">
        <v>112</v>
      </c>
      <c r="B67" s="28" t="n">
        <f aca="false">B66/(1+$B$9)^$F$18</f>
        <v>101.167606174011</v>
      </c>
      <c r="C67" s="3"/>
      <c r="D67" s="3"/>
      <c r="E67" s="3"/>
      <c r="F67" s="3"/>
      <c r="G67" s="3"/>
    </row>
    <row r="68" customFormat="false" ht="15" hidden="false" customHeight="true" outlineLevel="0" collapsed="false">
      <c r="A68" s="3" t="s">
        <v>113</v>
      </c>
      <c r="B68" s="28" t="n">
        <f aca="false">SUM(B65:F65)+B67+$B$7</f>
        <v>141.301113530327</v>
      </c>
      <c r="C68" s="3"/>
      <c r="D68" s="3"/>
      <c r="E68" s="3"/>
      <c r="F68" s="3"/>
      <c r="G68" s="3"/>
    </row>
    <row r="69" customFormat="false" ht="15" hidden="false" customHeight="true" outlineLevel="0" collapsed="false">
      <c r="A69" s="3" t="s">
        <v>114</v>
      </c>
      <c r="B69" s="30" t="n">
        <f aca="false">B68/$B$6*$B$13</f>
        <v>621.404254937891</v>
      </c>
      <c r="C69" s="3"/>
      <c r="D69" s="3"/>
      <c r="E69" s="3"/>
      <c r="F69" s="3"/>
      <c r="G69" s="3"/>
    </row>
    <row r="70" customFormat="false" ht="15" hidden="false" customHeight="true" outlineLevel="0" collapsed="false">
      <c r="A70" s="3" t="s">
        <v>115</v>
      </c>
      <c r="B70" s="7" t="n">
        <f aca="false">B69/$B$4-1</f>
        <v>-0.0976879611170779</v>
      </c>
      <c r="C70" s="3"/>
      <c r="D70" s="3"/>
      <c r="E70" s="3"/>
      <c r="F70" s="3"/>
      <c r="G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</row>
    <row r="72" customFormat="false" ht="15" hidden="false" customHeight="true" outlineLevel="0" collapsed="false">
      <c r="A72" s="14" t="s">
        <v>118</v>
      </c>
      <c r="B72" s="27"/>
      <c r="C72" s="14" t="s">
        <v>119</v>
      </c>
      <c r="D72" s="27"/>
      <c r="E72" s="27"/>
      <c r="F72" s="27"/>
      <c r="G72" s="27"/>
    </row>
    <row r="73" customFormat="false" ht="15" hidden="false" customHeight="true" outlineLevel="0" collapsed="false">
      <c r="A73" s="3" t="s">
        <v>120</v>
      </c>
      <c r="B73" s="31" t="n">
        <f aca="false">B35</f>
        <v>154.716671666911</v>
      </c>
      <c r="C73" s="7" t="n">
        <f aca="false">B73/$B$4-1</f>
        <v>-0.775343161313076</v>
      </c>
      <c r="D73" s="3"/>
      <c r="E73" s="3"/>
      <c r="F73" s="3"/>
      <c r="G73" s="3"/>
    </row>
    <row r="74" customFormat="false" ht="15" hidden="false" customHeight="true" outlineLevel="0" collapsed="false">
      <c r="A74" s="3" t="s">
        <v>121</v>
      </c>
      <c r="B74" s="31" t="n">
        <f aca="false">B52</f>
        <v>424.870301572197</v>
      </c>
      <c r="C74" s="7" t="n">
        <f aca="false">B74/$B$4-1</f>
        <v>-0.383065717645065</v>
      </c>
      <c r="D74" s="3"/>
      <c r="E74" s="3"/>
      <c r="F74" s="3"/>
      <c r="G74" s="3"/>
    </row>
    <row r="75" customFormat="false" ht="15" hidden="false" customHeight="true" outlineLevel="0" collapsed="false">
      <c r="A75" s="3" t="s">
        <v>122</v>
      </c>
      <c r="B75" s="31" t="n">
        <f aca="false">B69</f>
        <v>621.404254937891</v>
      </c>
      <c r="C75" s="7" t="n">
        <f aca="false">B75/$B$4-1</f>
        <v>-0.0976879611170779</v>
      </c>
      <c r="D75" s="3"/>
      <c r="E75" s="3"/>
      <c r="F75" s="3"/>
      <c r="G75" s="3"/>
    </row>
    <row r="76" customFormat="false" ht="15" hidden="false" customHeight="true" outlineLevel="0" collapsed="false">
      <c r="A76" s="3" t="s">
        <v>123</v>
      </c>
      <c r="B76" s="31" t="n">
        <f aca="false">INDEX(B35:B69,1+($B$15-1)*17)</f>
        <v>424.870301572197</v>
      </c>
      <c r="C76" s="7" t="n">
        <f aca="false">B76/$B$4-1</f>
        <v>-0.383065717645065</v>
      </c>
      <c r="D76" s="3"/>
      <c r="E76" s="3"/>
      <c r="F76" s="3"/>
      <c r="G76" s="3"/>
    </row>
    <row r="77" customFormat="false" ht="15" hidden="false" customHeight="true" outlineLevel="0" collapsed="false">
      <c r="A77" s="3" t="s">
        <v>124</v>
      </c>
      <c r="B77" s="31" t="n">
        <f aca="false">B74*(1-$B$14)</f>
        <v>361.139756336367</v>
      </c>
      <c r="C77" s="3"/>
      <c r="D77" s="3"/>
      <c r="E77" s="3"/>
      <c r="F77" s="3"/>
      <c r="G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</row>
    <row r="79" customFormat="false" ht="15" hidden="false" customHeight="true" outlineLevel="0" collapsed="false">
      <c r="A79" s="3" t="s">
        <v>125</v>
      </c>
      <c r="B79" s="7" t="n">
        <f aca="false">(($B$4*$B$6/$B$13-$B$7-SUM(B48:F48))*(1+$B$9)^$F$18*($B$9-$B$10)+G38*G43+$B$11*(G38-F38))/(G38*(1-$B$8))</f>
        <v>0.702189576111472</v>
      </c>
      <c r="C79" s="4" t="s">
        <v>126</v>
      </c>
      <c r="D79" s="3"/>
      <c r="E79" s="3"/>
      <c r="F79" s="3"/>
      <c r="G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</row>
    <row r="81" customFormat="false" ht="15" hidden="false" customHeight="true" outlineLevel="0" collapsed="false">
      <c r="A81" s="10" t="s">
        <v>127</v>
      </c>
      <c r="B81" s="3"/>
      <c r="C81" s="3"/>
      <c r="D81" s="3"/>
      <c r="E81" s="3"/>
      <c r="F81" s="3"/>
      <c r="G81" s="3"/>
    </row>
    <row r="82" customFormat="false" ht="15" hidden="false" customHeight="true" outlineLevel="0" collapsed="false">
      <c r="A82" s="3" t="s">
        <v>128</v>
      </c>
      <c r="B82" s="13" t="n">
        <v>0.1</v>
      </c>
      <c r="C82" s="13" t="n">
        <v>0.11</v>
      </c>
      <c r="D82" s="13" t="n">
        <v>0.12</v>
      </c>
      <c r="E82" s="13" t="n">
        <v>0.13</v>
      </c>
      <c r="F82" s="13" t="n">
        <v>0.14</v>
      </c>
      <c r="G82" s="3"/>
    </row>
    <row r="83" customFormat="false" ht="15" hidden="false" customHeight="true" outlineLevel="0" collapsed="false">
      <c r="A83" s="3" t="s">
        <v>121</v>
      </c>
      <c r="B83" s="31" t="n">
        <f aca="false">(SUMPRODUCT(B46:F46/(1+B82)^$B$18:$F$18)+G46/(B82-$B$10)/(1+B82)^$F$18+$B$7)/$B$6*$B$13</f>
        <v>560.408924996668</v>
      </c>
      <c r="C83" s="31" t="n">
        <f aca="false">(SUMPRODUCT(B46:F46/(1+C82)^$B$18:$F$18)+G46/(C82-$B$10)/(1+C82)^$F$18+$B$7)/$B$6*$B$13</f>
        <v>483.012404121832</v>
      </c>
      <c r="D83" s="31" t="n">
        <f aca="false">(SUMPRODUCT(B46:F46/(1+D82)^$B$18:$F$18)+G46/(D82-$B$10)/(1+D82)^$F$18+$B$7)/$B$6*$B$13</f>
        <v>424.870301572197</v>
      </c>
      <c r="E83" s="31" t="n">
        <f aca="false">(SUMPRODUCT(B46:F46/(1+E82)^$B$18:$F$18)+G46/(E82-$B$10)/(1+E82)^$F$18+$B$7)/$B$6*$B$13</f>
        <v>379.568854774036</v>
      </c>
      <c r="F83" s="31" t="n">
        <f aca="false">(SUMPRODUCT(B46:F46/(1+F82)^$B$18:$F$18)+G46/(F82-$B$10)/(1+F82)^$F$18+$B$7)/$B$6*$B$13</f>
        <v>343.259560866415</v>
      </c>
      <c r="G8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7" min="4" style="1" width="13"/>
  </cols>
  <sheetData>
    <row r="1" customFormat="false" ht="15.75" hidden="false" customHeight="true" outlineLevel="0" collapsed="false">
      <c r="A1" s="2" t="s">
        <v>153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4" t="s">
        <v>71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11" t="s">
        <v>3</v>
      </c>
      <c r="B4" s="21" t="n">
        <v>369.77</v>
      </c>
      <c r="C4" s="4" t="s">
        <v>154</v>
      </c>
      <c r="D4" s="3"/>
      <c r="E4" s="3"/>
      <c r="F4" s="3"/>
      <c r="G4" s="3"/>
    </row>
    <row r="5" customFormat="false" ht="15" hidden="false" customHeight="true" outlineLevel="0" collapsed="false">
      <c r="A5" s="11" t="s">
        <v>73</v>
      </c>
      <c r="B5" s="22" t="s">
        <v>155</v>
      </c>
      <c r="C5" s="4" t="s">
        <v>75</v>
      </c>
      <c r="D5" s="3"/>
      <c r="E5" s="3"/>
      <c r="F5" s="3"/>
      <c r="G5" s="3"/>
    </row>
    <row r="6" customFormat="false" ht="15" hidden="false" customHeight="true" outlineLevel="0" collapsed="false">
      <c r="A6" s="11" t="s">
        <v>76</v>
      </c>
      <c r="B6" s="23" t="n">
        <v>0.37432</v>
      </c>
      <c r="C6" s="4" t="s">
        <v>77</v>
      </c>
      <c r="D6" s="3"/>
      <c r="E6" s="3"/>
      <c r="F6" s="3"/>
      <c r="G6" s="3"/>
    </row>
    <row r="7" customFormat="false" ht="15" hidden="false" customHeight="true" outlineLevel="0" collapsed="false">
      <c r="A7" s="11" t="s">
        <v>78</v>
      </c>
      <c r="B7" s="24" t="n">
        <v>0.39</v>
      </c>
      <c r="C7" s="4" t="s">
        <v>156</v>
      </c>
      <c r="D7" s="3"/>
      <c r="E7" s="3"/>
      <c r="F7" s="3"/>
      <c r="G7" s="3"/>
    </row>
    <row r="8" customFormat="false" ht="15" hidden="false" customHeight="true" outlineLevel="0" collapsed="false">
      <c r="A8" s="11" t="s">
        <v>54</v>
      </c>
      <c r="B8" s="13" t="n">
        <v>0.15</v>
      </c>
      <c r="C8" s="4" t="s">
        <v>33</v>
      </c>
      <c r="D8" s="3"/>
      <c r="E8" s="3"/>
      <c r="F8" s="3"/>
      <c r="G8" s="3"/>
    </row>
    <row r="9" customFormat="false" ht="15" hidden="false" customHeight="true" outlineLevel="0" collapsed="false">
      <c r="A9" s="11" t="s">
        <v>80</v>
      </c>
      <c r="B9" s="8" t="n">
        <f aca="false">WACC!E26</f>
        <v>0.12</v>
      </c>
      <c r="C9" s="4" t="s">
        <v>81</v>
      </c>
      <c r="D9" s="3"/>
      <c r="E9" s="3"/>
      <c r="F9" s="3"/>
      <c r="G9" s="3"/>
    </row>
    <row r="10" customFormat="false" ht="15" hidden="false" customHeight="true" outlineLevel="0" collapsed="false">
      <c r="A10" s="11" t="s">
        <v>82</v>
      </c>
      <c r="B10" s="19" t="n">
        <v>0.04</v>
      </c>
      <c r="C10" s="4" t="s">
        <v>33</v>
      </c>
      <c r="D10" s="3"/>
      <c r="E10" s="3"/>
      <c r="F10" s="3"/>
      <c r="G10" s="3"/>
    </row>
    <row r="11" customFormat="false" ht="15" hidden="false" customHeight="true" outlineLevel="0" collapsed="false">
      <c r="A11" s="11" t="s">
        <v>83</v>
      </c>
      <c r="B11" s="13" t="n">
        <v>0.1</v>
      </c>
      <c r="C11" s="4" t="s">
        <v>33</v>
      </c>
      <c r="D11" s="3"/>
      <c r="E11" s="3"/>
      <c r="F11" s="3"/>
      <c r="G11" s="3"/>
    </row>
    <row r="12" customFormat="false" ht="15" hidden="false" customHeight="true" outlineLevel="0" collapsed="false">
      <c r="A12" s="11" t="s">
        <v>84</v>
      </c>
      <c r="B12" s="24" t="n">
        <v>12.919</v>
      </c>
      <c r="C12" s="4" t="s">
        <v>157</v>
      </c>
      <c r="D12" s="3"/>
      <c r="E12" s="3"/>
      <c r="F12" s="3"/>
      <c r="G12" s="3"/>
    </row>
    <row r="13" customFormat="false" ht="15" hidden="false" customHeight="true" outlineLevel="0" collapsed="false">
      <c r="A13" s="11" t="s">
        <v>86</v>
      </c>
      <c r="B13" s="25" t="n">
        <v>1</v>
      </c>
      <c r="C13" s="4" t="s">
        <v>87</v>
      </c>
      <c r="D13" s="3"/>
      <c r="E13" s="3"/>
      <c r="F13" s="3"/>
      <c r="G13" s="3"/>
    </row>
    <row r="14" customFormat="false" ht="15" hidden="false" customHeight="true" outlineLevel="0" collapsed="false">
      <c r="A14" s="11" t="s">
        <v>88</v>
      </c>
      <c r="B14" s="13" t="n">
        <v>0.15</v>
      </c>
      <c r="C14" s="4" t="s">
        <v>33</v>
      </c>
      <c r="D14" s="3"/>
      <c r="E14" s="3"/>
      <c r="F14" s="3"/>
      <c r="G14" s="3"/>
    </row>
    <row r="15" customFormat="false" ht="15" hidden="false" customHeight="true" outlineLevel="0" collapsed="false">
      <c r="A15" s="11" t="s">
        <v>89</v>
      </c>
      <c r="B15" s="12" t="n">
        <v>2</v>
      </c>
      <c r="C15" s="4" t="s">
        <v>90</v>
      </c>
      <c r="D15" s="3"/>
      <c r="E15" s="3"/>
      <c r="F15" s="3"/>
      <c r="G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</row>
    <row r="17" customFormat="false" ht="15" hidden="false" customHeight="true" outlineLevel="0" collapsed="false">
      <c r="A17" s="10" t="s">
        <v>91</v>
      </c>
      <c r="B17" s="26" t="s">
        <v>92</v>
      </c>
      <c r="C17" s="26" t="s">
        <v>93</v>
      </c>
      <c r="D17" s="26" t="s">
        <v>94</v>
      </c>
      <c r="E17" s="26" t="s">
        <v>95</v>
      </c>
      <c r="F17" s="26" t="s">
        <v>96</v>
      </c>
      <c r="G17" s="26" t="s">
        <v>97</v>
      </c>
    </row>
    <row r="18" customFormat="false" ht="15" hidden="false" customHeight="true" outlineLevel="0" collapsed="false">
      <c r="A18" s="3" t="s">
        <v>98</v>
      </c>
      <c r="B18" s="22" t="n">
        <v>0.5</v>
      </c>
      <c r="C18" s="3" t="n">
        <f aca="false">B18+1</f>
        <v>1.5</v>
      </c>
      <c r="D18" s="3" t="n">
        <f aca="false">C18+1</f>
        <v>2.5</v>
      </c>
      <c r="E18" s="3" t="n">
        <f aca="false">D18+1</f>
        <v>3.5</v>
      </c>
      <c r="F18" s="3" t="n">
        <f aca="false">E18+1</f>
        <v>4.5</v>
      </c>
      <c r="G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true" outlineLevel="0" collapsed="false">
      <c r="A20" s="14" t="s">
        <v>150</v>
      </c>
      <c r="B20" s="27"/>
      <c r="C20" s="27"/>
      <c r="D20" s="27"/>
      <c r="E20" s="27"/>
      <c r="F20" s="27"/>
      <c r="G20" s="27"/>
    </row>
    <row r="21" customFormat="false" ht="15" hidden="false" customHeight="true" outlineLevel="0" collapsed="false">
      <c r="A21" s="3" t="s">
        <v>100</v>
      </c>
      <c r="B21" s="24" t="n">
        <v>16.5</v>
      </c>
      <c r="C21" s="24" t="n">
        <v>14.5</v>
      </c>
      <c r="D21" s="24" t="n">
        <v>13</v>
      </c>
      <c r="E21" s="24" t="n">
        <v>13.5</v>
      </c>
      <c r="F21" s="24" t="n">
        <v>14</v>
      </c>
      <c r="G21" s="28" t="n">
        <f aca="false">F21*(1+$B$10)</f>
        <v>14.56</v>
      </c>
    </row>
    <row r="22" customFormat="false" ht="15" hidden="false" customHeight="true" outlineLevel="0" collapsed="false">
      <c r="A22" s="3" t="s">
        <v>101</v>
      </c>
      <c r="B22" s="7" t="n">
        <f aca="false">B21/$B$12-1</f>
        <v>0.2771886368914</v>
      </c>
      <c r="C22" s="7" t="n">
        <f aca="false">C21/B21-1</f>
        <v>-0.121212121212121</v>
      </c>
      <c r="D22" s="7" t="n">
        <f aca="false">D21/C21-1</f>
        <v>-0.103448275862069</v>
      </c>
      <c r="E22" s="7" t="n">
        <f aca="false">E21/D21-1</f>
        <v>0.0384615384615386</v>
      </c>
      <c r="F22" s="7" t="n">
        <f aca="false">F21/E21-1</f>
        <v>0.037037037037037</v>
      </c>
      <c r="G22" s="7" t="n">
        <f aca="false">G21/F21-1</f>
        <v>0.04</v>
      </c>
    </row>
    <row r="23" customFormat="false" ht="15" hidden="false" customHeight="true" outlineLevel="0" collapsed="false">
      <c r="A23" s="3" t="s">
        <v>102</v>
      </c>
      <c r="B23" s="13" t="n">
        <v>0.44</v>
      </c>
      <c r="C23" s="13" t="n">
        <v>0.33</v>
      </c>
      <c r="D23" s="13" t="n">
        <v>0.24</v>
      </c>
      <c r="E23" s="13" t="n">
        <v>0.22</v>
      </c>
      <c r="F23" s="13" t="n">
        <v>0.22</v>
      </c>
      <c r="G23" s="19" t="n">
        <v>0.2</v>
      </c>
    </row>
    <row r="24" customFormat="false" ht="15" hidden="false" customHeight="true" outlineLevel="0" collapsed="false">
      <c r="A24" s="3" t="s">
        <v>103</v>
      </c>
      <c r="B24" s="28" t="n">
        <f aca="false">B21*B23</f>
        <v>7.26</v>
      </c>
      <c r="C24" s="28" t="n">
        <f aca="false">C21*C23</f>
        <v>4.785</v>
      </c>
      <c r="D24" s="28" t="n">
        <f aca="false">D21*D23</f>
        <v>3.12</v>
      </c>
      <c r="E24" s="28" t="n">
        <f aca="false">E21*E23</f>
        <v>2.97</v>
      </c>
      <c r="F24" s="28" t="n">
        <f aca="false">F21*F23</f>
        <v>3.08</v>
      </c>
      <c r="G24" s="28" t="n">
        <f aca="false">G21*G23</f>
        <v>2.912</v>
      </c>
    </row>
    <row r="25" customFormat="false" ht="15" hidden="false" customHeight="true" outlineLevel="0" collapsed="false">
      <c r="A25" s="3" t="s">
        <v>104</v>
      </c>
      <c r="B25" s="28" t="n">
        <f aca="false">B24*(1-$B$8)</f>
        <v>6.171</v>
      </c>
      <c r="C25" s="28" t="n">
        <f aca="false">C24*(1-$B$8)</f>
        <v>4.06725</v>
      </c>
      <c r="D25" s="28" t="n">
        <f aca="false">D24*(1-$B$8)</f>
        <v>2.652</v>
      </c>
      <c r="E25" s="28" t="n">
        <f aca="false">E24*(1-$B$8)</f>
        <v>2.5245</v>
      </c>
      <c r="F25" s="28" t="n">
        <f aca="false">F24*(1-$B$8)</f>
        <v>2.618</v>
      </c>
      <c r="G25" s="28" t="n">
        <f aca="false">G24*(1-$B$8)</f>
        <v>2.4752</v>
      </c>
    </row>
    <row r="26" customFormat="false" ht="15" hidden="false" customHeight="true" outlineLevel="0" collapsed="false">
      <c r="A26" s="3" t="s">
        <v>105</v>
      </c>
      <c r="B26" s="13" t="n">
        <v>0.02</v>
      </c>
      <c r="C26" s="13" t="n">
        <v>0.02</v>
      </c>
      <c r="D26" s="13" t="n">
        <v>0.02</v>
      </c>
      <c r="E26" s="13" t="n">
        <v>0.02</v>
      </c>
      <c r="F26" s="13" t="n">
        <v>0.02</v>
      </c>
      <c r="G26" s="13" t="n">
        <v>0.02</v>
      </c>
    </row>
    <row r="27" customFormat="false" ht="15" hidden="false" customHeight="true" outlineLevel="0" collapsed="false">
      <c r="A27" s="3" t="s">
        <v>106</v>
      </c>
      <c r="B27" s="28" t="n">
        <f aca="false">B21*B26</f>
        <v>0.33</v>
      </c>
      <c r="C27" s="28" t="n">
        <f aca="false">C21*C26</f>
        <v>0.29</v>
      </c>
      <c r="D27" s="28" t="n">
        <f aca="false">D21*D26</f>
        <v>0.26</v>
      </c>
      <c r="E27" s="28" t="n">
        <f aca="false">E21*E26</f>
        <v>0.27</v>
      </c>
      <c r="F27" s="28" t="n">
        <f aca="false">F21*F26</f>
        <v>0.28</v>
      </c>
      <c r="G27" s="28" t="n">
        <f aca="false">G21*G26</f>
        <v>0.2912</v>
      </c>
    </row>
    <row r="28" customFormat="false" ht="15" hidden="false" customHeight="true" outlineLevel="0" collapsed="false">
      <c r="A28" s="3" t="s">
        <v>107</v>
      </c>
      <c r="B28" s="28" t="n">
        <f aca="false">$B$11*(B21-$B$12)</f>
        <v>0.3581</v>
      </c>
      <c r="C28" s="28" t="n">
        <f aca="false">$B$11*(C21-B21)</f>
        <v>-0.2</v>
      </c>
      <c r="D28" s="28" t="n">
        <f aca="false">$B$11*(D21-C21)</f>
        <v>-0.15</v>
      </c>
      <c r="E28" s="28" t="n">
        <f aca="false">$B$11*(E21-D21)</f>
        <v>0.05</v>
      </c>
      <c r="F28" s="28" t="n">
        <f aca="false">$B$11*(F21-E21)</f>
        <v>0.05</v>
      </c>
      <c r="G28" s="28" t="n">
        <f aca="false">$B$11*(G21-F21)</f>
        <v>0.0560000000000001</v>
      </c>
    </row>
    <row r="29" customFormat="false" ht="15" hidden="false" customHeight="true" outlineLevel="0" collapsed="false">
      <c r="A29" s="3" t="s">
        <v>108</v>
      </c>
      <c r="B29" s="28" t="n">
        <f aca="false">B25-B27-B28</f>
        <v>5.4829</v>
      </c>
      <c r="C29" s="28" t="n">
        <f aca="false">C25-C27-C28</f>
        <v>3.97725</v>
      </c>
      <c r="D29" s="28" t="n">
        <f aca="false">D25-D27-D28</f>
        <v>2.542</v>
      </c>
      <c r="E29" s="28" t="n">
        <f aca="false">E25-E27-E28</f>
        <v>2.2045</v>
      </c>
      <c r="F29" s="28" t="n">
        <f aca="false">F25-F27-F28</f>
        <v>2.288</v>
      </c>
      <c r="G29" s="28" t="n">
        <f aca="false">G25-G27-G28</f>
        <v>2.128</v>
      </c>
    </row>
    <row r="30" customFormat="false" ht="15" hidden="false" customHeight="true" outlineLevel="0" collapsed="false">
      <c r="A30" s="3" t="s">
        <v>109</v>
      </c>
      <c r="B30" s="29" t="n">
        <f aca="false">1/(1+$B$9)^B$18</f>
        <v>0.944911182523068</v>
      </c>
      <c r="C30" s="29" t="n">
        <f aca="false">1/(1+$B$9)^C$18</f>
        <v>0.843670698681311</v>
      </c>
      <c r="D30" s="29" t="n">
        <f aca="false">1/(1+$B$9)^D$18</f>
        <v>0.753277409536885</v>
      </c>
      <c r="E30" s="29" t="n">
        <f aca="false">1/(1+$B$9)^E$18</f>
        <v>0.672569115657932</v>
      </c>
      <c r="F30" s="29" t="n">
        <f aca="false">1/(1+$B$9)^F$18</f>
        <v>0.600508138980297</v>
      </c>
      <c r="G30" s="3"/>
    </row>
    <row r="31" customFormat="false" ht="15" hidden="false" customHeight="true" outlineLevel="0" collapsed="false">
      <c r="A31" s="3" t="s">
        <v>110</v>
      </c>
      <c r="B31" s="28" t="n">
        <f aca="false">B29*B30</f>
        <v>5.18085352265573</v>
      </c>
      <c r="C31" s="28" t="n">
        <f aca="false">C29*C30</f>
        <v>3.35548928633024</v>
      </c>
      <c r="D31" s="28" t="n">
        <f aca="false">D29*D30</f>
        <v>1.91483117504276</v>
      </c>
      <c r="E31" s="28" t="n">
        <f aca="false">E29*E30</f>
        <v>1.48267861546791</v>
      </c>
      <c r="F31" s="28" t="n">
        <f aca="false">F29*F30</f>
        <v>1.37396262198692</v>
      </c>
      <c r="G31" s="28"/>
    </row>
    <row r="32" customFormat="false" ht="15" hidden="false" customHeight="true" outlineLevel="0" collapsed="false">
      <c r="A32" s="3" t="s">
        <v>111</v>
      </c>
      <c r="B32" s="28" t="n">
        <f aca="false">G29/($B$9-$B$10)</f>
        <v>26.6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A33" s="3" t="s">
        <v>112</v>
      </c>
      <c r="B33" s="28" t="n">
        <f aca="false">B32/(1+$B$9)^$F$18</f>
        <v>15.9735164968759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A34" s="3" t="s">
        <v>113</v>
      </c>
      <c r="B34" s="28" t="n">
        <f aca="false">SUM(B31:F31)+B33+$B$7</f>
        <v>29.6713317183595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A35" s="3" t="s">
        <v>114</v>
      </c>
      <c r="B35" s="30" t="n">
        <f aca="false">B34/$B$6*$B$13</f>
        <v>79.2672892668291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A36" s="3" t="s">
        <v>115</v>
      </c>
      <c r="B36" s="7" t="n">
        <f aca="false">B35/$B$4-1</f>
        <v>-0.785630826549398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A37" s="14" t="s">
        <v>151</v>
      </c>
      <c r="B37" s="27"/>
      <c r="C37" s="27"/>
      <c r="D37" s="27"/>
      <c r="E37" s="27"/>
      <c r="F37" s="27"/>
      <c r="G37" s="27"/>
    </row>
    <row r="38" customFormat="false" ht="15" hidden="false" customHeight="true" outlineLevel="0" collapsed="false">
      <c r="A38" s="3" t="s">
        <v>100</v>
      </c>
      <c r="B38" s="24" t="n">
        <v>17</v>
      </c>
      <c r="C38" s="24" t="n">
        <v>19.5</v>
      </c>
      <c r="D38" s="24" t="n">
        <v>22</v>
      </c>
      <c r="E38" s="24" t="n">
        <v>24</v>
      </c>
      <c r="F38" s="24" t="n">
        <v>25.5</v>
      </c>
      <c r="G38" s="28" t="n">
        <f aca="false">F38*(1+$B$10)</f>
        <v>26.52</v>
      </c>
    </row>
    <row r="39" customFormat="false" ht="15" hidden="false" customHeight="true" outlineLevel="0" collapsed="false">
      <c r="A39" s="3" t="s">
        <v>101</v>
      </c>
      <c r="B39" s="7" t="n">
        <f aca="false">B38/$B$12-1</f>
        <v>0.315891322857806</v>
      </c>
      <c r="C39" s="7" t="n">
        <f aca="false">C38/B38-1</f>
        <v>0.147058823529412</v>
      </c>
      <c r="D39" s="7" t="n">
        <f aca="false">D38/C38-1</f>
        <v>0.128205128205128</v>
      </c>
      <c r="E39" s="7" t="n">
        <f aca="false">E38/D38-1</f>
        <v>0.0909090909090908</v>
      </c>
      <c r="F39" s="7" t="n">
        <f aca="false">F38/E38-1</f>
        <v>0.0625</v>
      </c>
      <c r="G39" s="7" t="n">
        <f aca="false">G38/F38-1</f>
        <v>0.04</v>
      </c>
    </row>
    <row r="40" customFormat="false" ht="15" hidden="false" customHeight="true" outlineLevel="0" collapsed="false">
      <c r="A40" s="3" t="s">
        <v>102</v>
      </c>
      <c r="B40" s="13" t="n">
        <v>0.46</v>
      </c>
      <c r="C40" s="13" t="n">
        <v>0.46</v>
      </c>
      <c r="D40" s="13" t="n">
        <v>0.44</v>
      </c>
      <c r="E40" s="13" t="n">
        <v>0.41</v>
      </c>
      <c r="F40" s="13" t="n">
        <v>0.38</v>
      </c>
      <c r="G40" s="19" t="n">
        <v>0.34</v>
      </c>
    </row>
    <row r="41" customFormat="false" ht="15" hidden="false" customHeight="true" outlineLevel="0" collapsed="false">
      <c r="A41" s="3" t="s">
        <v>103</v>
      </c>
      <c r="B41" s="28" t="n">
        <f aca="false">B38*B40</f>
        <v>7.82</v>
      </c>
      <c r="C41" s="28" t="n">
        <f aca="false">C38*C40</f>
        <v>8.97</v>
      </c>
      <c r="D41" s="28" t="n">
        <f aca="false">D38*D40</f>
        <v>9.68</v>
      </c>
      <c r="E41" s="28" t="n">
        <f aca="false">E38*E40</f>
        <v>9.84</v>
      </c>
      <c r="F41" s="28" t="n">
        <f aca="false">F38*F40</f>
        <v>9.69</v>
      </c>
      <c r="G41" s="28" t="n">
        <f aca="false">G38*G40</f>
        <v>9.0168</v>
      </c>
    </row>
    <row r="42" customFormat="false" ht="15" hidden="false" customHeight="true" outlineLevel="0" collapsed="false">
      <c r="A42" s="3" t="s">
        <v>104</v>
      </c>
      <c r="B42" s="28" t="n">
        <f aca="false">B41*(1-$B$8)</f>
        <v>6.647</v>
      </c>
      <c r="C42" s="28" t="n">
        <f aca="false">C41*(1-$B$8)</f>
        <v>7.6245</v>
      </c>
      <c r="D42" s="28" t="n">
        <f aca="false">D41*(1-$B$8)</f>
        <v>8.228</v>
      </c>
      <c r="E42" s="28" t="n">
        <f aca="false">E41*(1-$B$8)</f>
        <v>8.364</v>
      </c>
      <c r="F42" s="28" t="n">
        <f aca="false">F41*(1-$B$8)</f>
        <v>8.2365</v>
      </c>
      <c r="G42" s="28" t="n">
        <f aca="false">G41*(1-$B$8)</f>
        <v>7.66428</v>
      </c>
    </row>
    <row r="43" customFormat="false" ht="15" hidden="false" customHeight="true" outlineLevel="0" collapsed="false">
      <c r="A43" s="3" t="s">
        <v>105</v>
      </c>
      <c r="B43" s="13" t="n">
        <v>0.02</v>
      </c>
      <c r="C43" s="13" t="n">
        <v>0.02</v>
      </c>
      <c r="D43" s="13" t="n">
        <v>0.02</v>
      </c>
      <c r="E43" s="13" t="n">
        <v>0.02</v>
      </c>
      <c r="F43" s="13" t="n">
        <v>0.02</v>
      </c>
      <c r="G43" s="13" t="n">
        <v>0.02</v>
      </c>
    </row>
    <row r="44" customFormat="false" ht="15" hidden="false" customHeight="true" outlineLevel="0" collapsed="false">
      <c r="A44" s="3" t="s">
        <v>106</v>
      </c>
      <c r="B44" s="28" t="n">
        <f aca="false">B38*B43</f>
        <v>0.34</v>
      </c>
      <c r="C44" s="28" t="n">
        <f aca="false">C38*C43</f>
        <v>0.39</v>
      </c>
      <c r="D44" s="28" t="n">
        <f aca="false">D38*D43</f>
        <v>0.44</v>
      </c>
      <c r="E44" s="28" t="n">
        <f aca="false">E38*E43</f>
        <v>0.48</v>
      </c>
      <c r="F44" s="28" t="n">
        <f aca="false">F38*F43</f>
        <v>0.51</v>
      </c>
      <c r="G44" s="28" t="n">
        <f aca="false">G38*G43</f>
        <v>0.5304</v>
      </c>
    </row>
    <row r="45" customFormat="false" ht="15" hidden="false" customHeight="true" outlineLevel="0" collapsed="false">
      <c r="A45" s="3" t="s">
        <v>107</v>
      </c>
      <c r="B45" s="28" t="n">
        <f aca="false">$B$11*(B38-$B$12)</f>
        <v>0.4081</v>
      </c>
      <c r="C45" s="28" t="n">
        <f aca="false">$B$11*(C38-B38)</f>
        <v>0.25</v>
      </c>
      <c r="D45" s="28" t="n">
        <f aca="false">$B$11*(D38-C38)</f>
        <v>0.25</v>
      </c>
      <c r="E45" s="28" t="n">
        <f aca="false">$B$11*(E38-D38)</f>
        <v>0.2</v>
      </c>
      <c r="F45" s="28" t="n">
        <f aca="false">$B$11*(F38-E38)</f>
        <v>0.15</v>
      </c>
      <c r="G45" s="28" t="n">
        <f aca="false">$B$11*(G38-F38)</f>
        <v>0.102</v>
      </c>
    </row>
    <row r="46" customFormat="false" ht="15" hidden="false" customHeight="true" outlineLevel="0" collapsed="false">
      <c r="A46" s="3" t="s">
        <v>108</v>
      </c>
      <c r="B46" s="28" t="n">
        <f aca="false">B42-B44-B45</f>
        <v>5.8989</v>
      </c>
      <c r="C46" s="28" t="n">
        <f aca="false">C42-C44-C45</f>
        <v>6.9845</v>
      </c>
      <c r="D46" s="28" t="n">
        <f aca="false">D42-D44-D45</f>
        <v>7.538</v>
      </c>
      <c r="E46" s="28" t="n">
        <f aca="false">E42-E44-E45</f>
        <v>7.684</v>
      </c>
      <c r="F46" s="28" t="n">
        <f aca="false">F42-F44-F45</f>
        <v>7.5765</v>
      </c>
      <c r="G46" s="28" t="n">
        <f aca="false">G42-G44-G45</f>
        <v>7.03188</v>
      </c>
    </row>
    <row r="47" customFormat="false" ht="15" hidden="false" customHeight="true" outlineLevel="0" collapsed="false">
      <c r="A47" s="3" t="s">
        <v>109</v>
      </c>
      <c r="B47" s="29" t="n">
        <f aca="false">1/(1+$B$9)^B$18</f>
        <v>0.944911182523068</v>
      </c>
      <c r="C47" s="29" t="n">
        <f aca="false">1/(1+$B$9)^C$18</f>
        <v>0.843670698681311</v>
      </c>
      <c r="D47" s="29" t="n">
        <f aca="false">1/(1+$B$9)^D$18</f>
        <v>0.753277409536885</v>
      </c>
      <c r="E47" s="29" t="n">
        <f aca="false">1/(1+$B$9)^E$18</f>
        <v>0.672569115657932</v>
      </c>
      <c r="F47" s="29" t="n">
        <f aca="false">1/(1+$B$9)^F$18</f>
        <v>0.600508138980297</v>
      </c>
      <c r="G47" s="3"/>
    </row>
    <row r="48" customFormat="false" ht="15" hidden="false" customHeight="true" outlineLevel="0" collapsed="false">
      <c r="A48" s="3" t="s">
        <v>110</v>
      </c>
      <c r="B48" s="28" t="n">
        <f aca="false">B46*B47</f>
        <v>5.57393657458533</v>
      </c>
      <c r="C48" s="28" t="n">
        <f aca="false">C46*C47</f>
        <v>5.89261799493962</v>
      </c>
      <c r="D48" s="28" t="n">
        <f aca="false">D46*D47</f>
        <v>5.67820511308904</v>
      </c>
      <c r="E48" s="28" t="n">
        <f aca="false">E46*E47</f>
        <v>5.16802108471555</v>
      </c>
      <c r="F48" s="28" t="n">
        <f aca="false">F46*F47</f>
        <v>4.54974991498422</v>
      </c>
      <c r="G48" s="28"/>
    </row>
    <row r="49" customFormat="false" ht="15" hidden="false" customHeight="true" outlineLevel="0" collapsed="false">
      <c r="A49" s="3" t="s">
        <v>111</v>
      </c>
      <c r="B49" s="28" t="n">
        <f aca="false">G46/($B$9-$B$10)</f>
        <v>87.8985</v>
      </c>
      <c r="C49" s="3"/>
      <c r="D49" s="3"/>
      <c r="E49" s="3"/>
      <c r="F49" s="3"/>
      <c r="G49" s="3"/>
    </row>
    <row r="50" customFormat="false" ht="15" hidden="false" customHeight="true" outlineLevel="0" collapsed="false">
      <c r="A50" s="3" t="s">
        <v>112</v>
      </c>
      <c r="B50" s="28" t="n">
        <f aca="false">B49/(1+$B$9)^$F$18</f>
        <v>52.7837646541596</v>
      </c>
      <c r="C50" s="3"/>
      <c r="D50" s="3"/>
      <c r="E50" s="3"/>
      <c r="F50" s="3"/>
      <c r="G50" s="3"/>
    </row>
    <row r="51" customFormat="false" ht="15" hidden="false" customHeight="true" outlineLevel="0" collapsed="false">
      <c r="A51" s="3" t="s">
        <v>113</v>
      </c>
      <c r="B51" s="28" t="n">
        <f aca="false">SUM(B48:F48)+B50+$B$7</f>
        <v>80.0362953364734</v>
      </c>
      <c r="C51" s="3"/>
      <c r="D51" s="3"/>
      <c r="E51" s="3"/>
      <c r="F51" s="3"/>
      <c r="G51" s="3"/>
    </row>
    <row r="52" customFormat="false" ht="15" hidden="false" customHeight="true" outlineLevel="0" collapsed="false">
      <c r="A52" s="3" t="s">
        <v>114</v>
      </c>
      <c r="B52" s="30" t="n">
        <f aca="false">B51/$B$6*$B$13</f>
        <v>213.817843920906</v>
      </c>
      <c r="C52" s="3"/>
      <c r="D52" s="3"/>
      <c r="E52" s="3"/>
      <c r="F52" s="3"/>
      <c r="G52" s="3"/>
    </row>
    <row r="53" customFormat="false" ht="15" hidden="false" customHeight="true" outlineLevel="0" collapsed="false">
      <c r="A53" s="3" t="s">
        <v>115</v>
      </c>
      <c r="B53" s="7" t="n">
        <f aca="false">B52/$B$4-1</f>
        <v>-0.421754485434444</v>
      </c>
      <c r="C53" s="3"/>
      <c r="D53" s="3"/>
      <c r="E53" s="3"/>
      <c r="F53" s="3"/>
      <c r="G53" s="3"/>
    </row>
    <row r="54" customFormat="false" ht="15" hidden="false" customHeight="true" outlineLevel="0" collapsed="false">
      <c r="A54" s="14" t="s">
        <v>158</v>
      </c>
      <c r="B54" s="27"/>
      <c r="C54" s="27"/>
      <c r="D54" s="27"/>
      <c r="E54" s="27"/>
      <c r="F54" s="27"/>
      <c r="G54" s="27"/>
    </row>
    <row r="55" customFormat="false" ht="15" hidden="false" customHeight="true" outlineLevel="0" collapsed="false">
      <c r="A55" s="3" t="s">
        <v>100</v>
      </c>
      <c r="B55" s="24" t="n">
        <v>17.5</v>
      </c>
      <c r="C55" s="24" t="n">
        <v>21.5</v>
      </c>
      <c r="D55" s="24" t="n">
        <v>26</v>
      </c>
      <c r="E55" s="24" t="n">
        <v>30</v>
      </c>
      <c r="F55" s="24" t="n">
        <v>33</v>
      </c>
      <c r="G55" s="28" t="n">
        <f aca="false">F55*(1+$B$10)</f>
        <v>34.32</v>
      </c>
    </row>
    <row r="56" customFormat="false" ht="15" hidden="false" customHeight="true" outlineLevel="0" collapsed="false">
      <c r="A56" s="3" t="s">
        <v>101</v>
      </c>
      <c r="B56" s="7" t="n">
        <f aca="false">B55/$B$12-1</f>
        <v>0.354594008824212</v>
      </c>
      <c r="C56" s="7" t="n">
        <f aca="false">C55/B55-1</f>
        <v>0.228571428571429</v>
      </c>
      <c r="D56" s="7" t="n">
        <f aca="false">D55/C55-1</f>
        <v>0.209302325581395</v>
      </c>
      <c r="E56" s="7" t="n">
        <f aca="false">E55/D55-1</f>
        <v>0.153846153846154</v>
      </c>
      <c r="F56" s="7" t="n">
        <f aca="false">F55/E55-1</f>
        <v>0.1</v>
      </c>
      <c r="G56" s="7" t="n">
        <f aca="false">G55/F55-1</f>
        <v>0.04</v>
      </c>
    </row>
    <row r="57" customFormat="false" ht="15" hidden="false" customHeight="true" outlineLevel="0" collapsed="false">
      <c r="A57" s="3" t="s">
        <v>102</v>
      </c>
      <c r="B57" s="13" t="n">
        <v>0.47</v>
      </c>
      <c r="C57" s="13" t="n">
        <v>0.5</v>
      </c>
      <c r="D57" s="13" t="n">
        <v>0.5</v>
      </c>
      <c r="E57" s="13" t="n">
        <v>0.47</v>
      </c>
      <c r="F57" s="13" t="n">
        <v>0.44</v>
      </c>
      <c r="G57" s="19" t="n">
        <v>0.4</v>
      </c>
    </row>
    <row r="58" customFormat="false" ht="15" hidden="false" customHeight="true" outlineLevel="0" collapsed="false">
      <c r="A58" s="3" t="s">
        <v>103</v>
      </c>
      <c r="B58" s="28" t="n">
        <f aca="false">B55*B57</f>
        <v>8.225</v>
      </c>
      <c r="C58" s="28" t="n">
        <f aca="false">C55*C57</f>
        <v>10.75</v>
      </c>
      <c r="D58" s="28" t="n">
        <f aca="false">D55*D57</f>
        <v>13</v>
      </c>
      <c r="E58" s="28" t="n">
        <f aca="false">E55*E57</f>
        <v>14.1</v>
      </c>
      <c r="F58" s="28" t="n">
        <f aca="false">F55*F57</f>
        <v>14.52</v>
      </c>
      <c r="G58" s="28" t="n">
        <f aca="false">G55*G57</f>
        <v>13.728</v>
      </c>
    </row>
    <row r="59" customFormat="false" ht="15" hidden="false" customHeight="true" outlineLevel="0" collapsed="false">
      <c r="A59" s="3" t="s">
        <v>104</v>
      </c>
      <c r="B59" s="28" t="n">
        <f aca="false">B58*(1-$B$8)</f>
        <v>6.99125</v>
      </c>
      <c r="C59" s="28" t="n">
        <f aca="false">C58*(1-$B$8)</f>
        <v>9.1375</v>
      </c>
      <c r="D59" s="28" t="n">
        <f aca="false">D58*(1-$B$8)</f>
        <v>11.05</v>
      </c>
      <c r="E59" s="28" t="n">
        <f aca="false">E58*(1-$B$8)</f>
        <v>11.985</v>
      </c>
      <c r="F59" s="28" t="n">
        <f aca="false">F58*(1-$B$8)</f>
        <v>12.342</v>
      </c>
      <c r="G59" s="28" t="n">
        <f aca="false">G58*(1-$B$8)</f>
        <v>11.6688</v>
      </c>
    </row>
    <row r="60" customFormat="false" ht="15" hidden="false" customHeight="true" outlineLevel="0" collapsed="false">
      <c r="A60" s="3" t="s">
        <v>105</v>
      </c>
      <c r="B60" s="13" t="n">
        <v>0.02</v>
      </c>
      <c r="C60" s="13" t="n">
        <v>0.02</v>
      </c>
      <c r="D60" s="13" t="n">
        <v>0.02</v>
      </c>
      <c r="E60" s="13" t="n">
        <v>0.02</v>
      </c>
      <c r="F60" s="13" t="n">
        <v>0.02</v>
      </c>
      <c r="G60" s="13" t="n">
        <v>0.02</v>
      </c>
    </row>
    <row r="61" customFormat="false" ht="15" hidden="false" customHeight="true" outlineLevel="0" collapsed="false">
      <c r="A61" s="3" t="s">
        <v>106</v>
      </c>
      <c r="B61" s="28" t="n">
        <f aca="false">B55*B60</f>
        <v>0.35</v>
      </c>
      <c r="C61" s="28" t="n">
        <f aca="false">C55*C60</f>
        <v>0.43</v>
      </c>
      <c r="D61" s="28" t="n">
        <f aca="false">D55*D60</f>
        <v>0.52</v>
      </c>
      <c r="E61" s="28" t="n">
        <f aca="false">E55*E60</f>
        <v>0.6</v>
      </c>
      <c r="F61" s="28" t="n">
        <f aca="false">F55*F60</f>
        <v>0.66</v>
      </c>
      <c r="G61" s="28" t="n">
        <f aca="false">G55*G60</f>
        <v>0.6864</v>
      </c>
    </row>
    <row r="62" customFormat="false" ht="15" hidden="false" customHeight="true" outlineLevel="0" collapsed="false">
      <c r="A62" s="3" t="s">
        <v>107</v>
      </c>
      <c r="B62" s="28" t="n">
        <f aca="false">$B$11*(B55-$B$12)</f>
        <v>0.4581</v>
      </c>
      <c r="C62" s="28" t="n">
        <f aca="false">$B$11*(C55-B55)</f>
        <v>0.4</v>
      </c>
      <c r="D62" s="28" t="n">
        <f aca="false">$B$11*(D55-C55)</f>
        <v>0.45</v>
      </c>
      <c r="E62" s="28" t="n">
        <f aca="false">$B$11*(E55-D55)</f>
        <v>0.4</v>
      </c>
      <c r="F62" s="28" t="n">
        <f aca="false">$B$11*(F55-E55)</f>
        <v>0.3</v>
      </c>
      <c r="G62" s="28" t="n">
        <f aca="false">$B$11*(G55-F55)</f>
        <v>0.132</v>
      </c>
    </row>
    <row r="63" customFormat="false" ht="15" hidden="false" customHeight="true" outlineLevel="0" collapsed="false">
      <c r="A63" s="3" t="s">
        <v>108</v>
      </c>
      <c r="B63" s="28" t="n">
        <f aca="false">B59-B61-B62</f>
        <v>6.18315</v>
      </c>
      <c r="C63" s="28" t="n">
        <f aca="false">C59-C61-C62</f>
        <v>8.3075</v>
      </c>
      <c r="D63" s="28" t="n">
        <f aca="false">D59-D61-D62</f>
        <v>10.08</v>
      </c>
      <c r="E63" s="28" t="n">
        <f aca="false">E59-E61-E62</f>
        <v>10.985</v>
      </c>
      <c r="F63" s="28" t="n">
        <f aca="false">F59-F61-F62</f>
        <v>11.382</v>
      </c>
      <c r="G63" s="28" t="n">
        <f aca="false">G59-G61-G62</f>
        <v>10.8504</v>
      </c>
    </row>
    <row r="64" customFormat="false" ht="15" hidden="false" customHeight="true" outlineLevel="0" collapsed="false">
      <c r="A64" s="3" t="s">
        <v>109</v>
      </c>
      <c r="B64" s="29" t="n">
        <f aca="false">1/(1+$B$9)^B$18</f>
        <v>0.944911182523068</v>
      </c>
      <c r="C64" s="29" t="n">
        <f aca="false">1/(1+$B$9)^C$18</f>
        <v>0.843670698681311</v>
      </c>
      <c r="D64" s="29" t="n">
        <f aca="false">1/(1+$B$9)^D$18</f>
        <v>0.753277409536885</v>
      </c>
      <c r="E64" s="29" t="n">
        <f aca="false">1/(1+$B$9)^E$18</f>
        <v>0.672569115657932</v>
      </c>
      <c r="F64" s="29" t="n">
        <f aca="false">1/(1+$B$9)^F$18</f>
        <v>0.600508138980297</v>
      </c>
      <c r="G64" s="3"/>
    </row>
    <row r="65" customFormat="false" ht="15" hidden="false" customHeight="true" outlineLevel="0" collapsed="false">
      <c r="A65" s="3" t="s">
        <v>110</v>
      </c>
      <c r="B65" s="28" t="n">
        <f aca="false">B63*B64</f>
        <v>5.84252757821751</v>
      </c>
      <c r="C65" s="28" t="n">
        <f aca="false">C63*C64</f>
        <v>7.00879432929499</v>
      </c>
      <c r="D65" s="28" t="n">
        <f aca="false">D63*D64</f>
        <v>7.5930362881318</v>
      </c>
      <c r="E65" s="28" t="n">
        <f aca="false">E63*E64</f>
        <v>7.38817173550239</v>
      </c>
      <c r="F65" s="28" t="n">
        <f aca="false">F63*F64</f>
        <v>6.83498363787374</v>
      </c>
      <c r="G65" s="28"/>
    </row>
    <row r="66" customFormat="false" ht="15" hidden="false" customHeight="true" outlineLevel="0" collapsed="false">
      <c r="A66" s="3" t="s">
        <v>111</v>
      </c>
      <c r="B66" s="28" t="n">
        <f aca="false">G63/($B$9-$B$10)</f>
        <v>135.63</v>
      </c>
      <c r="C66" s="3"/>
      <c r="D66" s="3"/>
      <c r="E66" s="3"/>
      <c r="F66" s="3"/>
      <c r="G66" s="3"/>
    </row>
    <row r="67" customFormat="false" ht="15" hidden="false" customHeight="true" outlineLevel="0" collapsed="false">
      <c r="A67" s="3" t="s">
        <v>112</v>
      </c>
      <c r="B67" s="28" t="n">
        <f aca="false">B66/(1+$B$9)^$F$18</f>
        <v>81.4469188898977</v>
      </c>
      <c r="C67" s="3"/>
      <c r="D67" s="3"/>
      <c r="E67" s="3"/>
      <c r="F67" s="3"/>
      <c r="G67" s="3"/>
    </row>
    <row r="68" customFormat="false" ht="15" hidden="false" customHeight="true" outlineLevel="0" collapsed="false">
      <c r="A68" s="3" t="s">
        <v>113</v>
      </c>
      <c r="B68" s="28" t="n">
        <f aca="false">SUM(B65:F65)+B67+$B$7</f>
        <v>116.504432458918</v>
      </c>
      <c r="C68" s="3"/>
      <c r="D68" s="3"/>
      <c r="E68" s="3"/>
      <c r="F68" s="3"/>
      <c r="G68" s="3"/>
    </row>
    <row r="69" customFormat="false" ht="15" hidden="false" customHeight="true" outlineLevel="0" collapsed="false">
      <c r="A69" s="3" t="s">
        <v>114</v>
      </c>
      <c r="B69" s="30" t="n">
        <f aca="false">B68/$B$6*$B$13</f>
        <v>311.242873634639</v>
      </c>
      <c r="C69" s="3"/>
      <c r="D69" s="3"/>
      <c r="E69" s="3"/>
      <c r="F69" s="3"/>
      <c r="G69" s="3"/>
    </row>
    <row r="70" customFormat="false" ht="15" hidden="false" customHeight="true" outlineLevel="0" collapsed="false">
      <c r="A70" s="3" t="s">
        <v>115</v>
      </c>
      <c r="B70" s="7" t="n">
        <f aca="false">B69/$B$4-1</f>
        <v>-0.158279812762963</v>
      </c>
      <c r="C70" s="3"/>
      <c r="D70" s="3"/>
      <c r="E70" s="3"/>
      <c r="F70" s="3"/>
      <c r="G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</row>
    <row r="72" customFormat="false" ht="15" hidden="false" customHeight="true" outlineLevel="0" collapsed="false">
      <c r="A72" s="14" t="s">
        <v>118</v>
      </c>
      <c r="B72" s="27"/>
      <c r="C72" s="14" t="s">
        <v>119</v>
      </c>
      <c r="D72" s="27"/>
      <c r="E72" s="27"/>
      <c r="F72" s="27"/>
      <c r="G72" s="27"/>
    </row>
    <row r="73" customFormat="false" ht="15" hidden="false" customHeight="true" outlineLevel="0" collapsed="false">
      <c r="A73" s="3" t="s">
        <v>120</v>
      </c>
      <c r="B73" s="31" t="n">
        <f aca="false">B35</f>
        <v>79.2672892668291</v>
      </c>
      <c r="C73" s="7" t="n">
        <f aca="false">B73/$B$4-1</f>
        <v>-0.785630826549398</v>
      </c>
      <c r="D73" s="3"/>
      <c r="E73" s="3"/>
      <c r="F73" s="3"/>
      <c r="G73" s="3"/>
    </row>
    <row r="74" customFormat="false" ht="15" hidden="false" customHeight="true" outlineLevel="0" collapsed="false">
      <c r="A74" s="3" t="s">
        <v>121</v>
      </c>
      <c r="B74" s="31" t="n">
        <f aca="false">B52</f>
        <v>213.817843920906</v>
      </c>
      <c r="C74" s="7" t="n">
        <f aca="false">B74/$B$4-1</f>
        <v>-0.421754485434444</v>
      </c>
      <c r="D74" s="3"/>
      <c r="E74" s="3"/>
      <c r="F74" s="3"/>
      <c r="G74" s="3"/>
    </row>
    <row r="75" customFormat="false" ht="15" hidden="false" customHeight="true" outlineLevel="0" collapsed="false">
      <c r="A75" s="3" t="s">
        <v>122</v>
      </c>
      <c r="B75" s="31" t="n">
        <f aca="false">B69</f>
        <v>311.242873634639</v>
      </c>
      <c r="C75" s="7" t="n">
        <f aca="false">B75/$B$4-1</f>
        <v>-0.158279812762963</v>
      </c>
      <c r="D75" s="3"/>
      <c r="E75" s="3"/>
      <c r="F75" s="3"/>
      <c r="G75" s="3"/>
    </row>
    <row r="76" customFormat="false" ht="15" hidden="false" customHeight="true" outlineLevel="0" collapsed="false">
      <c r="A76" s="3" t="s">
        <v>123</v>
      </c>
      <c r="B76" s="31" t="n">
        <f aca="false">INDEX(B35:B69,1+($B$15-1)*17)</f>
        <v>213.817843920906</v>
      </c>
      <c r="C76" s="7" t="n">
        <f aca="false">B76/$B$4-1</f>
        <v>-0.421754485434444</v>
      </c>
      <c r="D76" s="3"/>
      <c r="E76" s="3"/>
      <c r="F76" s="3"/>
      <c r="G76" s="3"/>
    </row>
    <row r="77" customFormat="false" ht="15" hidden="false" customHeight="true" outlineLevel="0" collapsed="false">
      <c r="A77" s="3" t="s">
        <v>124</v>
      </c>
      <c r="B77" s="31" t="n">
        <f aca="false">B74*(1-$B$14)</f>
        <v>181.74516733277</v>
      </c>
      <c r="C77" s="3"/>
      <c r="D77" s="3"/>
      <c r="E77" s="3"/>
      <c r="F77" s="3"/>
      <c r="G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</row>
    <row r="79" customFormat="false" ht="15" hidden="false" customHeight="true" outlineLevel="0" collapsed="false">
      <c r="A79" s="3" t="s">
        <v>125</v>
      </c>
      <c r="B79" s="7" t="n">
        <f aca="false">(($B$4*$B$6/$B$13-$B$7-SUM(B48:F48))*(1+$B$9)^$F$18*($B$9-$B$10)+G38*G43+$B$11*(G38-F38))/(G38*(1-$B$8))</f>
        <v>0.684995205116124</v>
      </c>
      <c r="C79" s="4" t="s">
        <v>126</v>
      </c>
      <c r="D79" s="3"/>
      <c r="E79" s="3"/>
      <c r="F79" s="3"/>
      <c r="G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</row>
    <row r="81" customFormat="false" ht="15" hidden="false" customHeight="true" outlineLevel="0" collapsed="false">
      <c r="A81" s="10" t="s">
        <v>127</v>
      </c>
      <c r="B81" s="3"/>
      <c r="C81" s="3"/>
      <c r="D81" s="3"/>
      <c r="E81" s="3"/>
      <c r="F81" s="3"/>
      <c r="G81" s="3"/>
    </row>
    <row r="82" customFormat="false" ht="15" hidden="false" customHeight="true" outlineLevel="0" collapsed="false">
      <c r="A82" s="3" t="s">
        <v>128</v>
      </c>
      <c r="B82" s="13" t="n">
        <v>0.1</v>
      </c>
      <c r="C82" s="13" t="n">
        <v>0.11</v>
      </c>
      <c r="D82" s="13" t="n">
        <v>0.12</v>
      </c>
      <c r="E82" s="13" t="n">
        <v>0.13</v>
      </c>
      <c r="F82" s="13" t="n">
        <v>0.14</v>
      </c>
      <c r="G82" s="3"/>
    </row>
    <row r="83" customFormat="false" ht="15" hidden="false" customHeight="true" outlineLevel="0" collapsed="false">
      <c r="A83" s="3" t="s">
        <v>121</v>
      </c>
      <c r="B83" s="31" t="n">
        <f aca="false">(SUMPRODUCT(B46:F46/(1+B82)^$B$18:$F$18)+G46/(B82-$B$10)/(1+B82)^$F$18+$B$7)/$B$6*$B$13</f>
        <v>279.892413073757</v>
      </c>
      <c r="C83" s="31" t="n">
        <f aca="false">(SUMPRODUCT(B46:F46/(1+C82)^$B$18:$F$18)+G46/(C82-$B$10)/(1+C82)^$F$18+$B$7)/$B$6*$B$13</f>
        <v>242.16459587375</v>
      </c>
      <c r="D83" s="31" t="n">
        <f aca="false">(SUMPRODUCT(B46:F46/(1+D82)^$B$18:$F$18)+G46/(D82-$B$10)/(1+D82)^$F$18+$B$7)/$B$6*$B$13</f>
        <v>213.817843920906</v>
      </c>
      <c r="E83" s="31" t="n">
        <f aca="false">(SUMPRODUCT(B46:F46/(1+E82)^$B$18:$F$18)+G46/(E82-$B$10)/(1+E82)^$F$18+$B$7)/$B$6*$B$13</f>
        <v>191.727504054984</v>
      </c>
      <c r="F83" s="31" t="n">
        <f aca="false">(SUMPRODUCT(B46:F46/(1+F82)^$B$18:$F$18)+G46/(F82-$B$10)/(1+F82)^$F$18+$B$7)/$B$6*$B$13</f>
        <v>174.018651206451</v>
      </c>
      <c r="G8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2026-10-21T14:59:43Z</dcterms:created>
  <dc:creator>Jesper Holke-Farnam</dc:creator>
  <dc:description/>
  <dc:language>en-US</dc:language>
  <cp:lastModifiedBy/>
  <dcterms:modified xsi:type="dcterms:W3CDTF">2026-10-22T19:28:49Z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