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WACC" sheetId="2" state="visible" r:id="rId4"/>
    <sheet name="TSM" sheetId="3" state="visible" r:id="rId5"/>
    <sheet name="ASML" sheetId="4" state="visible" r:id="rId6"/>
    <sheet name="AMAT" sheetId="5" state="visible" r:id="rId7"/>
    <sheet name="VRT" sheetId="6" state="visible" r:id="rId8"/>
    <sheet name="ENR" sheetId="7" state="visible" r:id="rId9"/>
    <sheet name="NV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<sst xmlns="http://schemas.openxmlformats.org/spreadsheetml/2006/main" count="678" uniqueCount="188">
  <si>
    <t xml:space="preserve">Power and Chip Equipment Company Pass: scenario values</t>
  </si>
  <si>
    <t xml:space="preserve">Values link to each company sheet (green). Switch the discount rate on the WACC tab.</t>
  </si>
  <si>
    <t xml:space="preserve">Company</t>
  </si>
  <si>
    <t xml:space="preserve">Share price</t>
  </si>
  <si>
    <t xml:space="preserve">Discount rate used</t>
  </si>
  <si>
    <t xml:space="preserve">Bear value</t>
  </si>
  <si>
    <t xml:space="preserve">Base value</t>
  </si>
  <si>
    <t xml:space="preserve">Bull value</t>
  </si>
  <si>
    <t xml:space="preserve">Bear vs price</t>
  </si>
  <si>
    <t xml:space="preserve">Base vs price</t>
  </si>
  <si>
    <t xml:space="preserve">Bull vs price</t>
  </si>
  <si>
    <t xml:space="preserve">Buy below</t>
  </si>
  <si>
    <t xml:space="preserve">TSMC (TSM ADR)</t>
  </si>
  <si>
    <t xml:space="preserve">ASML Holding (ASML)</t>
  </si>
  <si>
    <t xml:space="preserve">Applied Materials (AMAT)</t>
  </si>
  <si>
    <t xml:space="preserve">Vertiv (VRT)</t>
  </si>
  <si>
    <t xml:space="preserve">Siemens Energy (ETR: ENR)</t>
  </si>
  <si>
    <t xml:space="preserve">nVent Electric (NVT)</t>
  </si>
  <si>
    <t xml:space="preserve">Notes</t>
  </si>
  <si>
    <t xml:space="preserve">Ten-year free cash flow DCF: five explicit years, then five years fading growth, margin and reinvestment toward terminal levels; not a three-statement model.</t>
  </si>
  <si>
    <t xml:space="preserve">FCF = operating income x (1 - tax) - net reinvestment (capex above depreciation) - working capital x revenue change. Mid-year discounting from October 2026.</t>
  </si>
  <si>
    <t xml:space="preserve">Scenario paths, margins, reinvestment, discount rates and terminal assumptions are analyst judgments. Bear cases assume an AI capex slowdown in 2027 to 2028.</t>
  </si>
  <si>
    <t xml:space="preserve">Implied returns quoted in the journal entry were solved outside the workbook; the rate sensitivity row on each sheet shows where base value crosses the price.</t>
  </si>
  <si>
    <t xml:space="preserve">Prices: Stock Analysis, Oct 21, 2026 (nVent Oct 20 close; Siemens Energy in EUR). Research for discussion, not investment advice.</t>
  </si>
  <si>
    <t xml:space="preserve">WACC build: calculated (CAPM) versus assumed</t>
  </si>
  <si>
    <t xml:space="preserve">Blue = input, black = formula, green = link. The yellow switches apply to all six companies.</t>
  </si>
  <si>
    <t xml:space="preserve">WACC used in valuations (1 = Calculated, 2 = Assumed)</t>
  </si>
  <si>
    <t xml:space="preserve">Switch. 2 reproduces the journal entry's figures</t>
  </si>
  <si>
    <t xml:space="preserve">Beta used (1 = Raw 5-year, 2 = Blume adjusted)</t>
  </si>
  <si>
    <t xml:space="preserve">Blume adjusted = 0.67 x raw + 0.33</t>
  </si>
  <si>
    <t xml:space="preserve">Risk-free rate (10-year Treasury)</t>
  </si>
  <si>
    <t xml:space="preserve">FRED via MacroRadar, Oct 6, 2026</t>
  </si>
  <si>
    <t xml:space="preserve">Equity risk premium</t>
  </si>
  <si>
    <t xml:space="preserve">Analyst assumption</t>
  </si>
  <si>
    <t xml:space="preserve">Credit spread over risk-free (pre-tax cost of debt)</t>
  </si>
  <si>
    <t xml:space="preserve">Analyst assumption: investment-grade spread</t>
  </si>
  <si>
    <t xml:space="preserve">Item</t>
  </si>
  <si>
    <t xml:space="preserve">TSM</t>
  </si>
  <si>
    <t xml:space="preserve">ASML</t>
  </si>
  <si>
    <t xml:space="preserve">AMAT</t>
  </si>
  <si>
    <t xml:space="preserve">VRT</t>
  </si>
  <si>
    <t xml:space="preserve">ENR</t>
  </si>
  <si>
    <t xml:space="preserve">NVT</t>
  </si>
  <si>
    <t xml:space="preserve">Source / note</t>
  </si>
  <si>
    <t xml:space="preserve">Raw beta (5-year)</t>
  </si>
  <si>
    <t xml:space="preserve">Stock Analysis statistics, Oct 2026</t>
  </si>
  <si>
    <t xml:space="preserve">Adjusted beta</t>
  </si>
  <si>
    <t xml:space="preserve">Blume: 0.67 x raw + 0.33</t>
  </si>
  <si>
    <t xml:space="preserve">Beta used</t>
  </si>
  <si>
    <t xml:space="preserve">Per switch in B6</t>
  </si>
  <si>
    <t xml:space="preserve">Country risk premium</t>
  </si>
  <si>
    <t xml:space="preserve">Analyst assumption (Taiwan for TSMC)</t>
  </si>
  <si>
    <t xml:space="preserve">Cost of equity</t>
  </si>
  <si>
    <t xml:space="preserve">Risk-free + beta x ERP + country premium</t>
  </si>
  <si>
    <t xml:space="preserve">Pre-tax cost of debt</t>
  </si>
  <si>
    <t xml:space="preserve">Risk-free + spread + country premium</t>
  </si>
  <si>
    <t xml:space="preserve">Tax rate</t>
  </si>
  <si>
    <t xml:space="preserve">Linked from company sheet</t>
  </si>
  <si>
    <t xml:space="preserve">After-tax cost of debt</t>
  </si>
  <si>
    <t xml:space="preserve">Market value of equity (company units)</t>
  </si>
  <si>
    <t xml:space="preserve">Price x shares</t>
  </si>
  <si>
    <t xml:space="preserve">Debt (company units)</t>
  </si>
  <si>
    <t xml:space="preserve">Stock Analysis, total debt</t>
  </si>
  <si>
    <t xml:space="preserve">Equity weight</t>
  </si>
  <si>
    <t xml:space="preserve">Debt weight</t>
  </si>
  <si>
    <t xml:space="preserve">Calculated WACC (CAPM)</t>
  </si>
  <si>
    <t xml:space="preserve">Weighted cost of capital</t>
  </si>
  <si>
    <t xml:space="preserve">Assumed WACC</t>
  </si>
  <si>
    <t xml:space="preserve">Analyst assumption used in the journal entry</t>
  </si>
  <si>
    <t xml:space="preserve">WACC used</t>
  </si>
  <si>
    <t xml:space="preserve">Per switch in B5; feeds each sheet's B9</t>
  </si>
  <si>
    <t xml:space="preserve">Check: WACC above terminal growth</t>
  </si>
  <si>
    <t xml:space="preserve">TSMC (TSM ADR): 10-year scenario DCF</t>
  </si>
  <si>
    <t xml:space="preserve">Units: $B unless noted. Blue = input, black = formula, green = link, yellow = key lever. Years 6 to 10 fade growth, margin and reinvestment toward terminal levels.</t>
  </si>
  <si>
    <t xml:space="preserve">Source: Stock Analysis, Oct 21, 2026 11:34 ET</t>
  </si>
  <si>
    <t xml:space="preserve">Price date</t>
  </si>
  <si>
    <t xml:space="preserve">Oct 21, 2026 11:34 ET</t>
  </si>
  <si>
    <t xml:space="preserve">Text</t>
  </si>
  <si>
    <t xml:space="preserve">Shares outstanding (billions)</t>
  </si>
  <si>
    <t xml:space="preserve">ADR-equivalent units: 25.93B ordinary shares / 5 per ADR (Stock Analysis)</t>
  </si>
  <si>
    <t xml:space="preserve">Net cash, negative = net debt ($B)</t>
  </si>
  <si>
    <t xml:space="preserve">Stock Analysis: cash $126.04B less debt $25.68B</t>
  </si>
  <si>
    <t xml:space="preserve">Discount rate (WACC), from WACC tab</t>
  </si>
  <si>
    <t xml:space="preserve">Calculated or assumed, per switch in WACC!B5</t>
  </si>
  <si>
    <t xml:space="preserve">Terminal growth</t>
  </si>
  <si>
    <t xml:space="preserve">Working capital, % of revenue change</t>
  </si>
  <si>
    <t xml:space="preserve">Base-year revenue ($B)</t>
  </si>
  <si>
    <t xml:space="preserve">2026E: three reported quarters plus Q4 guide midpoint $53.3B (TSMC 6-K, Oct 2026); analyst estimate</t>
  </si>
  <si>
    <t xml:space="preserve">Per-share multiplier</t>
  </si>
  <si>
    <t xml:space="preserve">Units conversion (1 here)</t>
  </si>
  <si>
    <t xml:space="preserve">Selected scenario (1 Bear, 2 Base, 3 Bull)</t>
  </si>
  <si>
    <t xml:space="preserve">Lever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</si>
  <si>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</si>
  <si>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</si>
  <si>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</si>
  <si>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</si>
  <si>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</si>
  <si>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</si>
  <si>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</si>
  <si>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</si>
  <si>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</si>
  <si>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</si>
  <si>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</si>
  <si>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Terminal</t>
  </si>
  <si>
    <t xml:space="preserve">Discount period (years, mid-year)</t>
  </si>
  <si>
    <t xml:space="preserve">Fade step (years 6 to 10)</t>
  </si>
  <si>
    <t xml:space="preserve">Bear: AI capex slows in 2027 to 2028</t>
  </si>
  <si>
    <t xml:space="preserve">Revenue</t>
  </si>
  <si>
    <t xml:space="preserve">Revenue growth</t>
  </si>
  <si>
    <t xml:space="preserve">Operating margin</t>
  </si>
  <si>
    <t xml:space="preserve">Operating income</t>
  </si>
  <si>
    <t xml:space="preserve">NOPAT</t>
  </si>
  <si>
    <t xml:space="preserve">Net reinvestment, % of revenue</t>
  </si>
  <si>
    <t xml:space="preserve">Net reinvestment</t>
  </si>
  <si>
    <t xml:space="preserve">Change in working capital</t>
  </si>
  <si>
    <t xml:space="preserve">Free cash flow</t>
  </si>
  <si>
    <t xml:space="preserve">Discount factor</t>
  </si>
  <si>
    <t xml:space="preserve">PV of free cash flow</t>
  </si>
  <si>
    <t xml:space="preserve">Terminal value</t>
  </si>
  <si>
    <t xml:space="preserve">PV of terminal value</t>
  </si>
  <si>
    <t xml:space="preserve">Equity value (PV FCF + PV TV + net cash)</t>
  </si>
  <si>
    <t xml:space="preserve">Value per share</t>
  </si>
  <si>
    <t xml:space="preserve">Value vs share price</t>
  </si>
  <si>
    <t xml:space="preserve">Base: AI growth continues, slower after 2028</t>
  </si>
  <si>
    <t xml:space="preserve">Bull: AI compounding through 2031</t>
  </si>
  <si>
    <t xml:space="preserve">Outputs</t>
  </si>
  <si>
    <t xml:space="preserve">vs price</t>
  </si>
  <si>
    <t xml:space="preserve">Bear value per share</t>
  </si>
  <si>
    <t xml:space="preserve">Base value per share</t>
  </si>
  <si>
    <t xml:space="preserve">Bull value per share</t>
  </si>
  <si>
    <t xml:space="preserve">Selected scenario value per share</t>
  </si>
  <si>
    <t xml:space="preserve">Buy below: base value (earns the discount rate if the base case plays out)</t>
  </si>
  <si>
    <t xml:space="preserve">Base value per share at other discount rates (where it crosses the price is roughly the implied return)</t>
  </si>
  <si>
    <t xml:space="preserve">Discount rate</t>
  </si>
  <si>
    <t xml:space="preserve">vs share price</t>
  </si>
  <si>
    <t xml:space="preserve">ASML Holding (ASML): 10-year scenario DCF</t>
  </si>
  <si>
    <t xml:space="preserve">Source: Stock Analysis, Oct 21, 2026 11:39 ET</t>
  </si>
  <si>
    <t xml:space="preserve">Oct 21, 2026 11:39 ET</t>
  </si>
  <si>
    <t xml:space="preserve">Source: Stock Analysis, https://stockanalysis.com</t>
  </si>
  <si>
    <t xml:space="preserve">Stock Analysis: cash $14.51B less debt $2.24B</t>
  </si>
  <si>
    <t xml:space="preserve">2026 outlook midpoint EUR 44.5B (ASML 6-K, Oct 14, 2026) at $1.1259/EUR (FRED via MacroRadar, Oct 5)</t>
  </si>
  <si>
    <t xml:space="preserve">Bear: tool orders fall in 2028</t>
  </si>
  <si>
    <t xml:space="preserve">Base: capacity-limited growth</t>
  </si>
  <si>
    <t xml:space="preserve">Bull: shortage through 2030</t>
  </si>
  <si>
    <t xml:space="preserve">Applied Materials (AMAT): 10-year scenario DCF</t>
  </si>
  <si>
    <t xml:space="preserve">Source: Stock Analysis, Oct 21, 2026 11:33 ET</t>
  </si>
  <si>
    <t xml:space="preserve">Oct 21, 2026 11:33 ET</t>
  </si>
  <si>
    <t xml:space="preserve">Stock Analysis: cash $9.23B less debt $7.35B</t>
  </si>
  <si>
    <t xml:space="preserve">FY26E: TTM $30.84B (to Jul 2026) less FQ4 FY25 (~$6.8B) plus FQ4 guide $10.25B; analyst estimate</t>
  </si>
  <si>
    <t xml:space="preserve">FY27</t>
  </si>
  <si>
    <t xml:space="preserve">FY28</t>
  </si>
  <si>
    <t xml:space="preserve">FY29</t>
  </si>
  <si>
    <t xml:space="preserve">FY30</t>
  </si>
  <si>
    <t xml:space="preserve">FY31</t>
  </si>
  <si>
    <t xml:space="preserve">FY32</t>
  </si>
  <si>
    <t xml:space="preserve">FY33</t>
  </si>
  <si>
    <t xml:space="preserve">FY34</t>
  </si>
  <si>
    <t xml:space="preserve">FY35</t>
  </si>
  <si>
    <t xml:space="preserve">FY36</t>
  </si>
  <si>
    <t xml:space="preserve">Bear: equipment downturn in FY28</t>
  </si>
  <si>
    <t xml:space="preserve">Base: strong FY27, pause in FY29</t>
  </si>
  <si>
    <t xml:space="preserve">Bull: chip equipment boom continues</t>
  </si>
  <si>
    <t xml:space="preserve">Vertiv (VRT): 10-year scenario DCF</t>
  </si>
  <si>
    <t xml:space="preserve">Source: Stock Analysis, Oct 21, 2026 11:36 ET</t>
  </si>
  <si>
    <t xml:space="preserve">Oct 21, 2026 11:36 ET</t>
  </si>
  <si>
    <t xml:space="preserve">Stock Analysis: cash $3.11B less debt $3.34B</t>
  </si>
  <si>
    <t xml:space="preserve">2026 guidance midpoint $13.8B to $14.2B (Vertiv 8-K, Jul 29, 2026). Margins are adjusted operating margins</t>
  </si>
  <si>
    <t xml:space="preserve">Bear: data center orders stall in 2028</t>
  </si>
  <si>
    <t xml:space="preserve">Base: backlog converts, growth slows after 2028</t>
  </si>
  <si>
    <t xml:space="preserve">Bull: AI build stays strong through 2031</t>
  </si>
  <si>
    <t xml:space="preserve">Siemens Energy (ETR: ENR): 10-year scenario DCF</t>
  </si>
  <si>
    <t xml:space="preserve">Units: EUR B unless noted. Blue = input, black = formula, green = link, yellow = key lever. Years 6 to 10 fade growth, margin and reinvestment toward terminal levels.</t>
  </si>
  <si>
    <t xml:space="preserve">Source: Stock Analysis, Oct 21, 2026 17:17 CEST</t>
  </si>
  <si>
    <t xml:space="preserve">Oct 21, 2026 17:17 CEST</t>
  </si>
  <si>
    <t xml:space="preserve">Net cash, negative = net debt (EUR B)</t>
  </si>
  <si>
    <t xml:space="preserve">Stock Analysis: cash EUR 11.09B less debt EUR 2.96B</t>
  </si>
  <si>
    <t xml:space="preserve">Base-year revenue (EUR B)</t>
  </si>
  <si>
    <t xml:space="preserve">FY26E about EUR 44B from TTM EUR 41.84B; analyst estimate. Working capital set to 0 (prepayments ignored, conservative)</t>
  </si>
  <si>
    <t xml:space="preserve">Bear: wind relapse plus slower gas orders</t>
  </si>
  <si>
    <t xml:space="preserve">Base: backlog converts at mid-teens margins</t>
  </si>
  <si>
    <t xml:space="preserve">Bull: gas turbine pricing keeps rising</t>
  </si>
  <si>
    <t xml:space="preserve">nVent Electric (NVT): 10-year scenario DCF</t>
  </si>
  <si>
    <t xml:space="preserve">Source: Stock Analysis, Oct 20, 2026 close</t>
  </si>
  <si>
    <t xml:space="preserve">Oct 20, 2026 close</t>
  </si>
  <si>
    <t xml:space="preserve">Stock Analysis: cash $0.26B less debt $1.63B</t>
  </si>
  <si>
    <t xml:space="preserve">2026E: FY25 revenue $3.893B plus 38% guided reported growth (Q2 call, Aug 2026); analyst estimate</t>
  </si>
  <si>
    <t xml:space="preserve">Base: data center growth slows, grid steady</t>
  </si>
  <si>
    <t xml:space="preserve">Bull: liquid cooling share gains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</si>
</sst>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%;\(0.0%\);\-"/>
    <numFmt numFmtId="167" formatCode="\€#,##0;&quot;(€&quot;#,##0\);\-"/>
    <numFmt numFmtId="168" formatCode="0"/>
    <numFmt numFmtId="169" formatCode="0.00"/>
    <numFmt numFmtId="170" formatCode="#,##0.0"/>
    <numFmt numFmtId="171" formatCode="0.000"/>
    <numFmt numFmtId="172" formatCode="#,##0.0;\(#,##0.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0" min="2" style="1" width="13"/>
  </cols>
  <sheetData>
    <row r="1" customFormat="false" ht="15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30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customFormat="false" ht="15" hidden="false" customHeight="true" outlineLevel="0" collapsed="false">
      <c r="A5" s="3" t="s">
        <v>12</v>
      </c>
      <c r="B5" s="6" t="n">
        <f aca="false">TSM!B4</f>
        <v>426.65</v>
      </c>
      <c r="C5" s="7" t="n">
        <f aca="false">TSM!B9</f>
        <v>0.11</v>
      </c>
      <c r="D5" s="6" t="n">
        <f aca="false">TSM!B77</f>
        <v>200.825662298014</v>
      </c>
      <c r="E5" s="6" t="n">
        <f aca="false">TSM!B78</f>
        <v>344.068621037137</v>
      </c>
      <c r="F5" s="6" t="n">
        <f aca="false">TSM!B79</f>
        <v>494.062428392568</v>
      </c>
      <c r="G5" s="8" t="n">
        <f aca="false">D5/B5-1</f>
        <v>-0.529296467132278</v>
      </c>
      <c r="H5" s="8" t="n">
        <f aca="false">E5/B5-1</f>
        <v>-0.193557667790608</v>
      </c>
      <c r="I5" s="8" t="n">
        <f aca="false">F5/B5-1</f>
        <v>0.158004051078327</v>
      </c>
      <c r="J5" s="6" t="n">
        <f aca="false">TSM!B81</f>
        <v>344.068621037137</v>
      </c>
    </row>
    <row r="6" customFormat="false" ht="15" hidden="false" customHeight="true" outlineLevel="0" collapsed="false">
      <c r="A6" s="3" t="s">
        <v>13</v>
      </c>
      <c r="B6" s="6" t="n">
        <f aca="false">ASML!B4</f>
        <v>1677.89</v>
      </c>
      <c r="C6" s="7" t="n">
        <f aca="false">ASML!B9</f>
        <v>0.1</v>
      </c>
      <c r="D6" s="6" t="n">
        <f aca="false">ASML!B77</f>
        <v>641.291618571783</v>
      </c>
      <c r="E6" s="6" t="n">
        <f aca="false">ASML!B78</f>
        <v>1084.50705683927</v>
      </c>
      <c r="F6" s="6" t="n">
        <f aca="false">ASML!B79</f>
        <v>1464.77291047365</v>
      </c>
      <c r="G6" s="8" t="n">
        <f aca="false">D6/B6-1</f>
        <v>-0.617798771926775</v>
      </c>
      <c r="H6" s="8" t="n">
        <f aca="false">E6/B6-1</f>
        <v>-0.353648298255981</v>
      </c>
      <c r="I6" s="8" t="n">
        <f aca="false">F6/B6-1</f>
        <v>-0.127014935142562</v>
      </c>
      <c r="J6" s="6" t="n">
        <f aca="false">ASML!B81</f>
        <v>1084.50705683927</v>
      </c>
    </row>
    <row r="7" customFormat="false" ht="15" hidden="false" customHeight="true" outlineLevel="0" collapsed="false">
      <c r="A7" s="3" t="s">
        <v>14</v>
      </c>
      <c r="B7" s="6" t="n">
        <f aca="false">AMAT!B4</f>
        <v>410.41</v>
      </c>
      <c r="C7" s="7" t="n">
        <f aca="false">AMAT!B9</f>
        <v>0.105</v>
      </c>
      <c r="D7" s="6" t="n">
        <f aca="false">AMAT!B77</f>
        <v>143.379114050489</v>
      </c>
      <c r="E7" s="6" t="n">
        <f aca="false">AMAT!B78</f>
        <v>227.459544586664</v>
      </c>
      <c r="F7" s="6" t="n">
        <f aca="false">AMAT!B79</f>
        <v>293.087300746681</v>
      </c>
      <c r="G7" s="8" t="n">
        <f aca="false">D7/B7-1</f>
        <v>-0.650644199579716</v>
      </c>
      <c r="H7" s="8" t="n">
        <f aca="false">E7/B7-1</f>
        <v>-0.445774848111245</v>
      </c>
      <c r="I7" s="8" t="n">
        <f aca="false">F7/B7-1</f>
        <v>-0.285867057950145</v>
      </c>
      <c r="J7" s="6" t="n">
        <f aca="false">AMAT!B81</f>
        <v>227.459544586664</v>
      </c>
    </row>
    <row r="8" customFormat="false" ht="15" hidden="false" customHeight="true" outlineLevel="0" collapsed="false">
      <c r="A8" s="3" t="s">
        <v>15</v>
      </c>
      <c r="B8" s="6" t="n">
        <f aca="false">VRT!B4</f>
        <v>211.54</v>
      </c>
      <c r="C8" s="7" t="n">
        <f aca="false">VRT!B9</f>
        <v>0.11</v>
      </c>
      <c r="D8" s="6" t="n">
        <f aca="false">VRT!B77</f>
        <v>74.2327138509978</v>
      </c>
      <c r="E8" s="6" t="n">
        <f aca="false">VRT!B78</f>
        <v>145.362291190056</v>
      </c>
      <c r="F8" s="6" t="n">
        <f aca="false">VRT!B79</f>
        <v>203.892394209634</v>
      </c>
      <c r="G8" s="8" t="n">
        <f aca="false">D8/B8-1</f>
        <v>-0.649084268455149</v>
      </c>
      <c r="H8" s="8" t="n">
        <f aca="false">E8/B8-1</f>
        <v>-0.312837802826626</v>
      </c>
      <c r="I8" s="8" t="n">
        <f aca="false">F8/B8-1</f>
        <v>-0.0361520553576915</v>
      </c>
      <c r="J8" s="6" t="n">
        <f aca="false">VRT!B81</f>
        <v>145.362291190056</v>
      </c>
    </row>
    <row r="9" customFormat="false" ht="15" hidden="false" customHeight="true" outlineLevel="0" collapsed="false">
      <c r="A9" s="3" t="s">
        <v>16</v>
      </c>
      <c r="B9" s="9" t="n">
        <f aca="false">ENR!B4</f>
        <v>133</v>
      </c>
      <c r="C9" s="7" t="n">
        <f aca="false">ENR!B9</f>
        <v>0.11</v>
      </c>
      <c r="D9" s="9" t="n">
        <f aca="false">ENR!B77</f>
        <v>40.2028369781872</v>
      </c>
      <c r="E9" s="9" t="n">
        <f aca="false">ENR!B78</f>
        <v>79.9182331670693</v>
      </c>
      <c r="F9" s="9" t="n">
        <f aca="false">ENR!B79</f>
        <v>110.571312015628</v>
      </c>
      <c r="G9" s="8" t="n">
        <f aca="false">D9/B9-1</f>
        <v>-0.697723030239194</v>
      </c>
      <c r="H9" s="8" t="n">
        <f aca="false">E9/B9-1</f>
        <v>-0.399111028819028</v>
      </c>
      <c r="I9" s="8" t="n">
        <f aca="false">F9/B9-1</f>
        <v>-0.168636751762198</v>
      </c>
      <c r="J9" s="9" t="n">
        <f aca="false">ENR!B81</f>
        <v>79.9182331670693</v>
      </c>
    </row>
    <row r="10" customFormat="false" ht="15" hidden="false" customHeight="true" outlineLevel="0" collapsed="false">
      <c r="A10" s="3" t="s">
        <v>17</v>
      </c>
      <c r="B10" s="6" t="n">
        <f aca="false">NVT!B4</f>
        <v>139.78</v>
      </c>
      <c r="C10" s="7" t="n">
        <f aca="false">NVT!B9</f>
        <v>0.1</v>
      </c>
      <c r="D10" s="6" t="n">
        <f aca="false">NVT!B77</f>
        <v>64.2870120268695</v>
      </c>
      <c r="E10" s="6" t="n">
        <f aca="false">NVT!B78</f>
        <v>111.332735097142</v>
      </c>
      <c r="F10" s="6" t="n">
        <f aca="false">NVT!B79</f>
        <v>156.936960017549</v>
      </c>
      <c r="G10" s="8" t="n">
        <f aca="false">D10/B10-1</f>
        <v>-0.540084332330309</v>
      </c>
      <c r="H10" s="8" t="n">
        <f aca="false">E10/B10-1</f>
        <v>-0.203514557897111</v>
      </c>
      <c r="I10" s="8" t="n">
        <f aca="false">F10/B10-1</f>
        <v>0.122742595632776</v>
      </c>
      <c r="J10" s="6" t="n">
        <f aca="false">NVT!B81</f>
        <v>111.332735097142</v>
      </c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5" hidden="false" customHeight="true" outlineLevel="0" collapsed="false">
      <c r="A13" s="10" t="s">
        <v>18</v>
      </c>
      <c r="B13" s="3"/>
      <c r="C13" s="3"/>
      <c r="D13" s="3"/>
      <c r="E13" s="3"/>
      <c r="F13" s="3"/>
      <c r="G13" s="3"/>
      <c r="H13" s="3"/>
      <c r="I13" s="3"/>
      <c r="J13" s="3"/>
    </row>
    <row r="14" customFormat="false" ht="15" hidden="false" customHeight="true" outlineLevel="0" collapsed="false">
      <c r="A14" s="3" t="s">
        <v>19</v>
      </c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5" hidden="false" customHeight="true" outlineLevel="0" collapsed="false">
      <c r="A15" s="3" t="s">
        <v>20</v>
      </c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5" hidden="false" customHeight="true" outlineLevel="0" collapsed="false">
      <c r="A16" s="3" t="s">
        <v>21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" hidden="false" customHeight="true" outlineLevel="0" collapsed="false">
      <c r="A17" s="3" t="s">
        <v>22</v>
      </c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true" outlineLevel="0" collapsed="false">
      <c r="A18" s="3" t="s">
        <v>23</v>
      </c>
      <c r="B18" s="3"/>
      <c r="C18" s="3"/>
      <c r="D18" s="3"/>
      <c r="E18" s="3"/>
      <c r="F18" s="3"/>
      <c r="G18" s="3"/>
      <c r="H18" s="3"/>
      <c r="I18" s="3"/>
      <c r="J1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7" min="2" style="1" width="11"/>
    <col collapsed="false" customWidth="true" hidden="false" outlineLevel="0" max="8" min="8" style="1" width="44"/>
  </cols>
  <sheetData>
    <row r="1" customFormat="false" ht="15.75" hidden="false" customHeight="true" outlineLevel="0" collapsed="false">
      <c r="A1" s="2" t="s">
        <v>24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4" t="s">
        <v>25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3" t="s">
        <v>26</v>
      </c>
      <c r="B5" s="11" t="n">
        <v>2</v>
      </c>
      <c r="C5" s="4" t="s">
        <v>27</v>
      </c>
      <c r="D5" s="3"/>
      <c r="E5" s="3"/>
      <c r="F5" s="3"/>
      <c r="G5" s="3"/>
      <c r="H5" s="3"/>
    </row>
    <row r="6" customFormat="false" ht="15" hidden="false" customHeight="true" outlineLevel="0" collapsed="false">
      <c r="A6" s="3" t="s">
        <v>28</v>
      </c>
      <c r="B6" s="11" t="n">
        <v>2</v>
      </c>
      <c r="C6" s="4" t="s">
        <v>29</v>
      </c>
      <c r="D6" s="3"/>
      <c r="E6" s="3"/>
      <c r="F6" s="3"/>
      <c r="G6" s="3"/>
      <c r="H6" s="3"/>
    </row>
    <row r="7" customFormat="false" ht="15" hidden="false" customHeight="true" outlineLevel="0" collapsed="false">
      <c r="A7" s="3" t="s">
        <v>30</v>
      </c>
      <c r="B7" s="12" t="n">
        <v>0.0531</v>
      </c>
      <c r="C7" s="4" t="s">
        <v>31</v>
      </c>
      <c r="D7" s="3"/>
      <c r="E7" s="3"/>
      <c r="F7" s="3"/>
      <c r="G7" s="3"/>
      <c r="H7" s="3"/>
    </row>
    <row r="8" customFormat="false" ht="15" hidden="false" customHeight="true" outlineLevel="0" collapsed="false">
      <c r="A8" s="3" t="s">
        <v>32</v>
      </c>
      <c r="B8" s="12" t="n">
        <v>0.05</v>
      </c>
      <c r="C8" s="4" t="s">
        <v>33</v>
      </c>
      <c r="D8" s="3"/>
      <c r="E8" s="3"/>
      <c r="F8" s="3"/>
      <c r="G8" s="3"/>
      <c r="H8" s="3"/>
    </row>
    <row r="9" customFormat="false" ht="15" hidden="false" customHeight="true" outlineLevel="0" collapsed="false">
      <c r="A9" s="3" t="s">
        <v>34</v>
      </c>
      <c r="B9" s="12" t="n">
        <v>0.012</v>
      </c>
      <c r="C9" s="4" t="s">
        <v>35</v>
      </c>
      <c r="D9" s="3"/>
      <c r="E9" s="3"/>
      <c r="F9" s="3"/>
      <c r="G9" s="3"/>
      <c r="H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15" hidden="false" customHeight="true" outlineLevel="0" collapsed="false">
      <c r="A11" s="13" t="s">
        <v>36</v>
      </c>
      <c r="B11" s="13" t="s">
        <v>37</v>
      </c>
      <c r="C11" s="13" t="s">
        <v>38</v>
      </c>
      <c r="D11" s="13" t="s">
        <v>39</v>
      </c>
      <c r="E11" s="13" t="s">
        <v>40</v>
      </c>
      <c r="F11" s="13" t="s">
        <v>41</v>
      </c>
      <c r="G11" s="13" t="s">
        <v>42</v>
      </c>
      <c r="H11" s="13" t="s">
        <v>43</v>
      </c>
    </row>
    <row r="12" customFormat="false" ht="15" hidden="false" customHeight="true" outlineLevel="0" collapsed="false">
      <c r="A12" s="3" t="s">
        <v>44</v>
      </c>
      <c r="B12" s="14" t="n">
        <v>1.24</v>
      </c>
      <c r="C12" s="14" t="n">
        <v>1.3</v>
      </c>
      <c r="D12" s="14" t="n">
        <v>1.59</v>
      </c>
      <c r="E12" s="14" t="n">
        <v>2.05</v>
      </c>
      <c r="F12" s="14" t="n">
        <v>1.85</v>
      </c>
      <c r="G12" s="14" t="n">
        <v>1.34</v>
      </c>
      <c r="H12" s="4" t="s">
        <v>45</v>
      </c>
    </row>
    <row r="13" customFormat="false" ht="15" hidden="false" customHeight="true" outlineLevel="0" collapsed="false">
      <c r="A13" s="3" t="s">
        <v>46</v>
      </c>
      <c r="B13" s="15" t="n">
        <f aca="false">0.67*B12+0.33</f>
        <v>1.1608</v>
      </c>
      <c r="C13" s="15" t="n">
        <f aca="false">0.67*C12+0.33</f>
        <v>1.201</v>
      </c>
      <c r="D13" s="15" t="n">
        <f aca="false">0.67*D12+0.33</f>
        <v>1.3953</v>
      </c>
      <c r="E13" s="15" t="n">
        <f aca="false">0.67*E12+0.33</f>
        <v>1.7035</v>
      </c>
      <c r="F13" s="15" t="n">
        <f aca="false">0.67*F12+0.33</f>
        <v>1.5695</v>
      </c>
      <c r="G13" s="15" t="n">
        <f aca="false">0.67*G12+0.33</f>
        <v>1.2278</v>
      </c>
      <c r="H13" s="4" t="s">
        <v>47</v>
      </c>
    </row>
    <row r="14" customFormat="false" ht="15" hidden="false" customHeight="true" outlineLevel="0" collapsed="false">
      <c r="A14" s="3" t="s">
        <v>48</v>
      </c>
      <c r="B14" s="15" t="n">
        <f aca="false">IF($B$6=1,B12,B13)</f>
        <v>1.1608</v>
      </c>
      <c r="C14" s="15" t="n">
        <f aca="false">IF($B$6=1,C12,C13)</f>
        <v>1.201</v>
      </c>
      <c r="D14" s="15" t="n">
        <f aca="false">IF($B$6=1,D12,D13)</f>
        <v>1.3953</v>
      </c>
      <c r="E14" s="15" t="n">
        <f aca="false">IF($B$6=1,E12,E13)</f>
        <v>1.7035</v>
      </c>
      <c r="F14" s="15" t="n">
        <f aca="false">IF($B$6=1,F12,F13)</f>
        <v>1.5695</v>
      </c>
      <c r="G14" s="15" t="n">
        <f aca="false">IF($B$6=1,G12,G13)</f>
        <v>1.2278</v>
      </c>
      <c r="H14" s="4" t="s">
        <v>49</v>
      </c>
    </row>
    <row r="15" customFormat="false" ht="15" hidden="false" customHeight="true" outlineLevel="0" collapsed="false">
      <c r="A15" s="3" t="s">
        <v>50</v>
      </c>
      <c r="B15" s="12" t="n">
        <v>0.01</v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0</v>
      </c>
      <c r="H15" s="4" t="s">
        <v>51</v>
      </c>
    </row>
    <row r="16" customFormat="false" ht="15" hidden="false" customHeight="true" outlineLevel="0" collapsed="false">
      <c r="A16" s="3" t="s">
        <v>52</v>
      </c>
      <c r="B16" s="8" t="n">
        <f aca="false">$B$7+B14*$B$8+B15</f>
        <v>0.12114</v>
      </c>
      <c r="C16" s="8" t="n">
        <f aca="false">$B$7+C14*$B$8+C15</f>
        <v>0.11315</v>
      </c>
      <c r="D16" s="8" t="n">
        <f aca="false">$B$7+D14*$B$8+D15</f>
        <v>0.122865</v>
      </c>
      <c r="E16" s="8" t="n">
        <f aca="false">$B$7+E14*$B$8+E15</f>
        <v>0.138275</v>
      </c>
      <c r="F16" s="8" t="n">
        <f aca="false">$B$7+F14*$B$8+F15</f>
        <v>0.131575</v>
      </c>
      <c r="G16" s="8" t="n">
        <f aca="false">$B$7+G14*$B$8+G15</f>
        <v>0.11449</v>
      </c>
      <c r="H16" s="4" t="s">
        <v>53</v>
      </c>
    </row>
    <row r="17" customFormat="false" ht="15" hidden="false" customHeight="true" outlineLevel="0" collapsed="false">
      <c r="A17" s="3" t="s">
        <v>54</v>
      </c>
      <c r="B17" s="8" t="n">
        <f aca="false">$B$7+$B$9+B15</f>
        <v>0.0751</v>
      </c>
      <c r="C17" s="8" t="n">
        <f aca="false">$B$7+$B$9+C15</f>
        <v>0.0651</v>
      </c>
      <c r="D17" s="8" t="n">
        <f aca="false">$B$7+$B$9+D15</f>
        <v>0.0651</v>
      </c>
      <c r="E17" s="8" t="n">
        <f aca="false">$B$7+$B$9+E15</f>
        <v>0.0651</v>
      </c>
      <c r="F17" s="8" t="n">
        <f aca="false">$B$7+$B$9+F15</f>
        <v>0.0651</v>
      </c>
      <c r="G17" s="8" t="n">
        <f aca="false">$B$7+$B$9+G15</f>
        <v>0.0651</v>
      </c>
      <c r="H17" s="4" t="s">
        <v>55</v>
      </c>
    </row>
    <row r="18" customFormat="false" ht="15" hidden="false" customHeight="true" outlineLevel="0" collapsed="false">
      <c r="A18" s="3" t="s">
        <v>56</v>
      </c>
      <c r="B18" s="7" t="n">
        <f aca="false">TSM!B8</f>
        <v>0.15</v>
      </c>
      <c r="C18" s="7" t="n">
        <f aca="false">ASML!B8</f>
        <v>0.16</v>
      </c>
      <c r="D18" s="7" t="n">
        <f aca="false">AMAT!B8</f>
        <v>0.13</v>
      </c>
      <c r="E18" s="7" t="n">
        <f aca="false">VRT!B8</f>
        <v>0.21</v>
      </c>
      <c r="F18" s="7" t="n">
        <f aca="false">ENR!B8</f>
        <v>0.28</v>
      </c>
      <c r="G18" s="7" t="n">
        <f aca="false">NVT!B8</f>
        <v>0.21</v>
      </c>
      <c r="H18" s="4" t="s">
        <v>57</v>
      </c>
    </row>
    <row r="19" customFormat="false" ht="15" hidden="false" customHeight="true" outlineLevel="0" collapsed="false">
      <c r="A19" s="3" t="s">
        <v>58</v>
      </c>
      <c r="B19" s="8" t="n">
        <f aca="false">B17*(1-B18)</f>
        <v>0.063835</v>
      </c>
      <c r="C19" s="8" t="n">
        <f aca="false">C17*(1-C18)</f>
        <v>0.054684</v>
      </c>
      <c r="D19" s="8" t="n">
        <f aca="false">D17*(1-D18)</f>
        <v>0.056637</v>
      </c>
      <c r="E19" s="8" t="n">
        <f aca="false">E17*(1-E18)</f>
        <v>0.051429</v>
      </c>
      <c r="F19" s="8" t="n">
        <f aca="false">F17*(1-F18)</f>
        <v>0.046872</v>
      </c>
      <c r="G19" s="8" t="n">
        <f aca="false">G17*(1-G18)</f>
        <v>0.051429</v>
      </c>
      <c r="H19" s="4"/>
    </row>
    <row r="20" customFormat="false" ht="15" hidden="false" customHeight="true" outlineLevel="0" collapsed="false">
      <c r="A20" s="3" t="s">
        <v>59</v>
      </c>
      <c r="B20" s="16" t="n">
        <f aca="false">TSM!B4*TSM!B6/TSM!B13</f>
        <v>2212.6069</v>
      </c>
      <c r="C20" s="16" t="n">
        <f aca="false">ASML!B4*ASML!B6/ASML!B13</f>
        <v>642.799659</v>
      </c>
      <c r="D20" s="16" t="n">
        <f aca="false">AMAT!B4*AMAT!B6/AMAT!B13</f>
        <v>325.701376</v>
      </c>
      <c r="E20" s="16" t="n">
        <f aca="false">VRT!B4*VRT!B6/VRT!B13</f>
        <v>81.4407846</v>
      </c>
      <c r="F20" s="16" t="n">
        <f aca="false">ENR!B4*ENR!B6/ENR!B13</f>
        <v>113.76022</v>
      </c>
      <c r="G20" s="16" t="n">
        <f aca="false">NVT!B4*NVT!B6/NVT!B13</f>
        <v>22.6247908</v>
      </c>
      <c r="H20" s="4" t="s">
        <v>60</v>
      </c>
    </row>
    <row r="21" customFormat="false" ht="15" hidden="false" customHeight="true" outlineLevel="0" collapsed="false">
      <c r="A21" s="3" t="s">
        <v>61</v>
      </c>
      <c r="B21" s="17" t="n">
        <v>25.68</v>
      </c>
      <c r="C21" s="17" t="n">
        <v>2.24</v>
      </c>
      <c r="D21" s="17" t="n">
        <v>7.35</v>
      </c>
      <c r="E21" s="17" t="n">
        <v>3.34</v>
      </c>
      <c r="F21" s="17" t="n">
        <v>2.96</v>
      </c>
      <c r="G21" s="17" t="n">
        <v>1.63</v>
      </c>
      <c r="H21" s="4" t="s">
        <v>62</v>
      </c>
    </row>
    <row r="22" customFormat="false" ht="15" hidden="false" customHeight="true" outlineLevel="0" collapsed="false">
      <c r="A22" s="3" t="s">
        <v>63</v>
      </c>
      <c r="B22" s="8" t="n">
        <f aca="false">B20/(B20+B21)</f>
        <v>0.988526939955731</v>
      </c>
      <c r="C22" s="8" t="n">
        <f aca="false">C20/(C20+C21)</f>
        <v>0.996527345305446</v>
      </c>
      <c r="D22" s="8" t="n">
        <f aca="false">D20/(D20+D21)</f>
        <v>0.977931332732281</v>
      </c>
      <c r="E22" s="8" t="n">
        <f aca="false">E20/(E20+E21)</f>
        <v>0.960604280607236</v>
      </c>
      <c r="F22" s="8" t="n">
        <f aca="false">F20/(F20+F21)</f>
        <v>0.974640212295693</v>
      </c>
      <c r="G22" s="8" t="n">
        <f aca="false">G20/(G20+G21)</f>
        <v>0.932796781739301</v>
      </c>
      <c r="H22" s="4"/>
    </row>
    <row r="23" customFormat="false" ht="15" hidden="false" customHeight="true" outlineLevel="0" collapsed="false">
      <c r="A23" s="3" t="s">
        <v>64</v>
      </c>
      <c r="B23" s="8" t="n">
        <f aca="false">B21/(B20+B21)</f>
        <v>0.0114730600442687</v>
      </c>
      <c r="C23" s="8" t="n">
        <f aca="false">C21/(C20+C21)</f>
        <v>0.00347265469455422</v>
      </c>
      <c r="D23" s="8" t="n">
        <f aca="false">D21/(D20+D21)</f>
        <v>0.0220686672677191</v>
      </c>
      <c r="E23" s="8" t="n">
        <f aca="false">E21/(E20+E21)</f>
        <v>0.0393957193927644</v>
      </c>
      <c r="F23" s="8" t="n">
        <f aca="false">F21/(F20+F21)</f>
        <v>0.0253597877043069</v>
      </c>
      <c r="G23" s="8" t="n">
        <f aca="false">G21/(G20+G21)</f>
        <v>0.0672032182606993</v>
      </c>
      <c r="H23" s="4"/>
    </row>
    <row r="24" customFormat="false" ht="15" hidden="false" customHeight="true" outlineLevel="0" collapsed="false">
      <c r="A24" s="3" t="s">
        <v>65</v>
      </c>
      <c r="B24" s="8" t="n">
        <f aca="false">B22*B16+B23*B19</f>
        <v>0.120482536294163</v>
      </c>
      <c r="C24" s="8" t="n">
        <f aca="false">C22*C16+C23*C19</f>
        <v>0.112946967770628</v>
      </c>
      <c r="D24" s="8" t="n">
        <f aca="false">D22*D16+D23*D19</f>
        <v>0.121403436304194</v>
      </c>
      <c r="E24" s="8" t="n">
        <f aca="false">E22*E16+E23*E19</f>
        <v>0.134853639353616</v>
      </c>
      <c r="F24" s="8" t="n">
        <f aca="false">F22*F16+F23*F19</f>
        <v>0.129426949902082</v>
      </c>
      <c r="G24" s="8" t="n">
        <f aca="false">G22*G16+G23*G19</f>
        <v>0.110252097853262</v>
      </c>
      <c r="H24" s="4" t="s">
        <v>66</v>
      </c>
    </row>
    <row r="25" customFormat="false" ht="15" hidden="false" customHeight="true" outlineLevel="0" collapsed="false">
      <c r="A25" s="3" t="s">
        <v>67</v>
      </c>
      <c r="B25" s="18" t="n">
        <v>0.11</v>
      </c>
      <c r="C25" s="18" t="n">
        <v>0.1</v>
      </c>
      <c r="D25" s="18" t="n">
        <v>0.105</v>
      </c>
      <c r="E25" s="18" t="n">
        <v>0.11</v>
      </c>
      <c r="F25" s="18" t="n">
        <v>0.11</v>
      </c>
      <c r="G25" s="18" t="n">
        <v>0.1</v>
      </c>
      <c r="H25" s="4" t="s">
        <v>68</v>
      </c>
    </row>
    <row r="26" customFormat="false" ht="15" hidden="false" customHeight="true" outlineLevel="0" collapsed="false">
      <c r="A26" s="3" t="s">
        <v>69</v>
      </c>
      <c r="B26" s="19" t="n">
        <f aca="false">IF($B$5=1,B24,B25)</f>
        <v>0.11</v>
      </c>
      <c r="C26" s="19" t="n">
        <f aca="false">IF($B$5=1,C24,C25)</f>
        <v>0.1</v>
      </c>
      <c r="D26" s="19" t="n">
        <f aca="false">IF($B$5=1,D24,D25)</f>
        <v>0.105</v>
      </c>
      <c r="E26" s="19" t="n">
        <f aca="false">IF($B$5=1,E24,E25)</f>
        <v>0.11</v>
      </c>
      <c r="F26" s="19" t="n">
        <f aca="false">IF($B$5=1,F24,F25)</f>
        <v>0.11</v>
      </c>
      <c r="G26" s="19" t="n">
        <f aca="false">IF($B$5=1,G24,G25)</f>
        <v>0.1</v>
      </c>
      <c r="H26" s="4" t="s">
        <v>70</v>
      </c>
    </row>
    <row r="27" customFormat="false" ht="15" hidden="false" customHeight="true" outlineLevel="0" collapsed="false">
      <c r="A27" s="3" t="s">
        <v>71</v>
      </c>
      <c r="B27" s="3" t="str">
        <f aca="false">IF(B26&gt;TSM!B10,"OK","WACC must exceed growth")</f>
        <v>OK</v>
      </c>
      <c r="C27" s="3" t="str">
        <f aca="false">IF(C26&gt;ASML!B10,"OK","WACC must exceed growth")</f>
        <v>OK</v>
      </c>
      <c r="D27" s="3" t="str">
        <f aca="false">IF(D26&gt;AMAT!B10,"OK","WACC must exceed growth")</f>
        <v>OK</v>
      </c>
      <c r="E27" s="3" t="str">
        <f aca="false">IF(E26&gt;VRT!B10,"OK","WACC must exceed growth")</f>
        <v>OK</v>
      </c>
      <c r="F27" s="3" t="str">
        <f aca="false">IF(F26&gt;ENR!B10,"OK","WACC must exceed growth")</f>
        <v>OK</v>
      </c>
      <c r="G27" s="3" t="str">
        <f aca="false">IF(G26&gt;NVT!B10,"OK","WACC must exceed growth")</f>
        <v>OK</v>
      </c>
      <c r="H2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12" min="2" style="1" width="11"/>
  </cols>
  <sheetData>
    <row r="1" customFormat="false" ht="15.75" hidden="false" customHeight="true" outlineLevel="0" collapsed="false">
      <c r="A1" s="2" t="s">
        <v>72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" hidden="false" customHeight="true" outlineLevel="0" collapsed="false">
      <c r="A2" s="4" t="s">
        <v>73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true" outlineLevel="0" collapsed="false">
      <c r="A4" s="3" t="s">
        <v>3</v>
      </c>
      <c r="B4" s="20" t="n">
        <v>426.65</v>
      </c>
      <c r="C4" s="4" t="s">
        <v>74</v>
      </c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true" outlineLevel="0" collapsed="false">
      <c r="A5" s="3" t="s">
        <v>75</v>
      </c>
      <c r="B5" s="21" t="s">
        <v>76</v>
      </c>
      <c r="C5" s="4" t="s">
        <v>77</v>
      </c>
      <c r="D5" s="3"/>
      <c r="E5" s="3"/>
      <c r="F5" s="3"/>
      <c r="G5" s="3"/>
      <c r="H5" s="3"/>
      <c r="I5" s="3"/>
      <c r="J5" s="3"/>
      <c r="K5" s="3"/>
      <c r="L5" s="3"/>
    </row>
    <row r="6" customFormat="false" ht="15" hidden="false" customHeight="true" outlineLevel="0" collapsed="false">
      <c r="A6" s="3" t="s">
        <v>78</v>
      </c>
      <c r="B6" s="22" t="n">
        <v>5.186</v>
      </c>
      <c r="C6" s="4" t="s">
        <v>79</v>
      </c>
      <c r="D6" s="3"/>
      <c r="E6" s="3"/>
      <c r="F6" s="3"/>
      <c r="G6" s="3"/>
      <c r="H6" s="3"/>
      <c r="I6" s="3"/>
      <c r="J6" s="3"/>
      <c r="K6" s="3"/>
      <c r="L6" s="3"/>
    </row>
    <row r="7" customFormat="false" ht="15" hidden="false" customHeight="true" outlineLevel="0" collapsed="false">
      <c r="A7" s="3" t="s">
        <v>80</v>
      </c>
      <c r="B7" s="23" t="n">
        <v>100.36</v>
      </c>
      <c r="C7" s="4" t="s">
        <v>81</v>
      </c>
      <c r="D7" s="3"/>
      <c r="E7" s="3"/>
      <c r="F7" s="3"/>
      <c r="G7" s="3"/>
      <c r="H7" s="3"/>
      <c r="I7" s="3"/>
      <c r="J7" s="3"/>
      <c r="K7" s="3"/>
      <c r="L7" s="3"/>
    </row>
    <row r="8" customFormat="false" ht="15" hidden="false" customHeight="true" outlineLevel="0" collapsed="false">
      <c r="A8" s="3" t="s">
        <v>56</v>
      </c>
      <c r="B8" s="12" t="n">
        <v>0.15</v>
      </c>
      <c r="C8" s="4" t="s">
        <v>33</v>
      </c>
      <c r="D8" s="3"/>
      <c r="E8" s="3"/>
      <c r="F8" s="3"/>
      <c r="G8" s="3"/>
      <c r="H8" s="3"/>
      <c r="I8" s="3"/>
      <c r="J8" s="3"/>
      <c r="K8" s="3"/>
      <c r="L8" s="3"/>
    </row>
    <row r="9" customFormat="false" ht="15" hidden="false" customHeight="true" outlineLevel="0" collapsed="false">
      <c r="A9" s="3" t="s">
        <v>82</v>
      </c>
      <c r="B9" s="7" t="n">
        <f aca="false">WACC!B26</f>
        <v>0.11</v>
      </c>
      <c r="C9" s="4" t="s">
        <v>83</v>
      </c>
      <c r="D9" s="3"/>
      <c r="E9" s="3"/>
      <c r="F9" s="3"/>
      <c r="G9" s="3"/>
      <c r="H9" s="3"/>
      <c r="I9" s="3"/>
      <c r="J9" s="3"/>
      <c r="K9" s="3"/>
      <c r="L9" s="3"/>
    </row>
    <row r="10" customFormat="false" ht="15" hidden="false" customHeight="true" outlineLevel="0" collapsed="false">
      <c r="A10" s="3" t="s">
        <v>84</v>
      </c>
      <c r="B10" s="18" t="n">
        <v>0.035</v>
      </c>
      <c r="C10" s="4" t="s">
        <v>33</v>
      </c>
      <c r="D10" s="3"/>
      <c r="E10" s="3"/>
      <c r="F10" s="3"/>
      <c r="G10" s="3"/>
      <c r="H10" s="3"/>
      <c r="I10" s="3"/>
      <c r="J10" s="3"/>
      <c r="K10" s="3"/>
      <c r="L10" s="3"/>
    </row>
    <row r="11" customFormat="false" ht="15" hidden="false" customHeight="true" outlineLevel="0" collapsed="false">
      <c r="A11" s="3" t="s">
        <v>85</v>
      </c>
      <c r="B11" s="12" t="n">
        <v>0.05</v>
      </c>
      <c r="C11" s="4" t="s">
        <v>33</v>
      </c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5" hidden="false" customHeight="true" outlineLevel="0" collapsed="false">
      <c r="A12" s="3" t="s">
        <v>86</v>
      </c>
      <c r="B12" s="23" t="n">
        <v>176</v>
      </c>
      <c r="C12" s="4" t="s">
        <v>87</v>
      </c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true" outlineLevel="0" collapsed="false">
      <c r="A13" s="3" t="s">
        <v>88</v>
      </c>
      <c r="B13" s="24" t="n">
        <v>1</v>
      </c>
      <c r="C13" s="4" t="s">
        <v>89</v>
      </c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5" hidden="false" customHeight="true" outlineLevel="0" collapsed="false">
      <c r="A14" s="3" t="s">
        <v>90</v>
      </c>
      <c r="B14" s="11" t="n">
        <v>2</v>
      </c>
      <c r="C14" s="4" t="s">
        <v>91</v>
      </c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5" hidden="false" customHeight="true" outlineLevel="0" collapsed="false">
      <c r="A16" s="10" t="s">
        <v>92</v>
      </c>
      <c r="B16" s="25" t="s">
        <v>93</v>
      </c>
      <c r="C16" s="25" t="s">
        <v>94</v>
      </c>
      <c r="D16" s="25" t="s">
        <v>95</v>
      </c>
      <c r="E16" s="25" t="s">
        <v>96</v>
      </c>
      <c r="F16" s="25" t="s">
        <v>97</v>
      </c>
      <c r="G16" s="25" t="s">
        <v>98</v>
      </c>
      <c r="H16" s="25" t="s">
        <v>99</v>
      </c>
      <c r="I16" s="25" t="s">
        <v>100</v>
      </c>
      <c r="J16" s="25" t="s">
        <v>101</v>
      </c>
      <c r="K16" s="25" t="s">
        <v>102</v>
      </c>
      <c r="L16" s="10" t="s">
        <v>103</v>
      </c>
    </row>
    <row r="17" customFormat="false" ht="15" hidden="false" customHeight="true" outlineLevel="0" collapsed="false">
      <c r="A17" s="3" t="s">
        <v>104</v>
      </c>
      <c r="B17" s="21" t="n">
        <v>0.5</v>
      </c>
      <c r="C17" s="3" t="n">
        <f aca="false">B17+1</f>
        <v>1.5</v>
      </c>
      <c r="D17" s="3" t="n">
        <f aca="false">C17+1</f>
        <v>2.5</v>
      </c>
      <c r="E17" s="3" t="n">
        <f aca="false">D17+1</f>
        <v>3.5</v>
      </c>
      <c r="F17" s="3" t="n">
        <f aca="false">E17+1</f>
        <v>4.5</v>
      </c>
      <c r="G17" s="3" t="n">
        <f aca="false">F17+1</f>
        <v>5.5</v>
      </c>
      <c r="H17" s="3" t="n">
        <f aca="false">G17+1</f>
        <v>6.5</v>
      </c>
      <c r="I17" s="3" t="n">
        <f aca="false">H17+1</f>
        <v>7.5</v>
      </c>
      <c r="J17" s="3" t="n">
        <f aca="false">I17+1</f>
        <v>8.5</v>
      </c>
      <c r="K17" s="3" t="n">
        <f aca="false">J17+1</f>
        <v>9.5</v>
      </c>
      <c r="L17" s="3"/>
    </row>
    <row r="18" customFormat="false" ht="15" hidden="false" customHeight="true" outlineLevel="0" collapsed="false">
      <c r="A18" s="3" t="s">
        <v>105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2</v>
      </c>
      <c r="I18" s="3" t="n">
        <v>3</v>
      </c>
      <c r="J18" s="3" t="n">
        <v>4</v>
      </c>
      <c r="K18" s="3" t="n">
        <v>5</v>
      </c>
      <c r="L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5" hidden="false" customHeight="true" outlineLevel="0" collapsed="false">
      <c r="A20" s="13" t="s">
        <v>106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customFormat="false" ht="15" hidden="false" customHeight="true" outlineLevel="0" collapsed="false">
      <c r="A21" s="3" t="s">
        <v>107</v>
      </c>
      <c r="B21" s="23" t="n">
        <v>205</v>
      </c>
      <c r="C21" s="23" t="n">
        <v>195</v>
      </c>
      <c r="D21" s="23" t="n">
        <v>215</v>
      </c>
      <c r="E21" s="23" t="n">
        <v>240</v>
      </c>
      <c r="F21" s="23" t="n">
        <v>260</v>
      </c>
      <c r="G21" s="27" t="n">
        <f aca="false">F21*(1+$F22+($B$10-$F22)*G$18/5)</f>
        <v>279.153333333333</v>
      </c>
      <c r="H21" s="27" t="n">
        <f aca="false">G21*(1+$F22+($B$10-$F22)*H$18/5)</f>
        <v>297.019146666667</v>
      </c>
      <c r="I21" s="27" t="n">
        <f aca="false">H21*(1+$F22+($B$10-$F22)*I$18/5)</f>
        <v>313.157186968889</v>
      </c>
      <c r="J21" s="27" t="n">
        <f aca="false">I21*(1+$F22+($B$10-$F22)*J$18/5)</f>
        <v>327.144874653499</v>
      </c>
      <c r="K21" s="27" t="n">
        <f aca="false">J21*(1+$F22+($B$10-$F22)*K$18/5)</f>
        <v>338.594945266372</v>
      </c>
      <c r="L21" s="27" t="n">
        <f aca="false">K21*(1+$B$10)</f>
        <v>350.445768350695</v>
      </c>
    </row>
    <row r="22" customFormat="false" ht="15" hidden="false" customHeight="true" outlineLevel="0" collapsed="false">
      <c r="A22" s="3" t="s">
        <v>108</v>
      </c>
      <c r="B22" s="8" t="n">
        <f aca="false">B21/$B$12-1</f>
        <v>0.164772727272727</v>
      </c>
      <c r="C22" s="8" t="n">
        <f aca="false">C21/B21-1</f>
        <v>-0.0487804878048781</v>
      </c>
      <c r="D22" s="8" t="n">
        <f aca="false">D21/C21-1</f>
        <v>0.102564102564103</v>
      </c>
      <c r="E22" s="8" t="n">
        <f aca="false">E21/D21-1</f>
        <v>0.116279069767442</v>
      </c>
      <c r="F22" s="8" t="n">
        <f aca="false">F21/E21-1</f>
        <v>0.0833333333333333</v>
      </c>
      <c r="G22" s="8" t="n">
        <f aca="false">G21/F21-1</f>
        <v>0.0736666666666666</v>
      </c>
      <c r="H22" s="8" t="n">
        <f aca="false">H21/G21-1</f>
        <v>0.0640000000000001</v>
      </c>
      <c r="I22" s="8" t="n">
        <f aca="false">I21/H21-1</f>
        <v>0.0543333333333333</v>
      </c>
      <c r="J22" s="8" t="n">
        <f aca="false">J21/I21-1</f>
        <v>0.0446666666666666</v>
      </c>
      <c r="K22" s="8" t="n">
        <f aca="false">K21/J21-1</f>
        <v>0.0349999999999999</v>
      </c>
      <c r="L22" s="8" t="n">
        <f aca="false">L21/K21-1</f>
        <v>0.0349999999999999</v>
      </c>
    </row>
    <row r="23" customFormat="false" ht="15" hidden="false" customHeight="true" outlineLevel="0" collapsed="false">
      <c r="A23" s="3" t="s">
        <v>109</v>
      </c>
      <c r="B23" s="12" t="n">
        <v>0.54</v>
      </c>
      <c r="C23" s="12" t="n">
        <v>0.46</v>
      </c>
      <c r="D23" s="12" t="n">
        <v>0.46</v>
      </c>
      <c r="E23" s="12" t="n">
        <v>0.47</v>
      </c>
      <c r="F23" s="12" t="n">
        <v>0.47</v>
      </c>
      <c r="G23" s="8" t="n">
        <f aca="false">$F23+($L23-$F23)*G$18/5</f>
        <v>0.46</v>
      </c>
      <c r="H23" s="8" t="n">
        <f aca="false">$F23+($L23-$F23)*H$18/5</f>
        <v>0.45</v>
      </c>
      <c r="I23" s="8" t="n">
        <f aca="false">$F23+($L23-$F23)*I$18/5</f>
        <v>0.44</v>
      </c>
      <c r="J23" s="8" t="n">
        <f aca="false">$F23+($L23-$F23)*J$18/5</f>
        <v>0.43</v>
      </c>
      <c r="K23" s="8" t="n">
        <f aca="false">$F23+($L23-$F23)*K$18/5</f>
        <v>0.42</v>
      </c>
      <c r="L23" s="18" t="n">
        <v>0.42</v>
      </c>
    </row>
    <row r="24" customFormat="false" ht="15" hidden="false" customHeight="true" outlineLevel="0" collapsed="false">
      <c r="A24" s="3" t="s">
        <v>110</v>
      </c>
      <c r="B24" s="27" t="n">
        <f aca="false">B21*B23</f>
        <v>110.7</v>
      </c>
      <c r="C24" s="27" t="n">
        <f aca="false">C21*C23</f>
        <v>89.7</v>
      </c>
      <c r="D24" s="27" t="n">
        <f aca="false">D21*D23</f>
        <v>98.9</v>
      </c>
      <c r="E24" s="27" t="n">
        <f aca="false">E21*E23</f>
        <v>112.8</v>
      </c>
      <c r="F24" s="27" t="n">
        <f aca="false">F21*F23</f>
        <v>122.2</v>
      </c>
      <c r="G24" s="27" t="n">
        <f aca="false">G21*G23</f>
        <v>128.410533333333</v>
      </c>
      <c r="H24" s="27" t="n">
        <f aca="false">H21*H23</f>
        <v>133.658616</v>
      </c>
      <c r="I24" s="27" t="n">
        <f aca="false">I21*I23</f>
        <v>137.789162266311</v>
      </c>
      <c r="J24" s="27" t="n">
        <f aca="false">J21*J23</f>
        <v>140.672296101005</v>
      </c>
      <c r="K24" s="27" t="n">
        <f aca="false">K21*K23</f>
        <v>142.209877011876</v>
      </c>
      <c r="L24" s="27" t="n">
        <f aca="false">L21*L23</f>
        <v>147.187222707292</v>
      </c>
    </row>
    <row r="25" customFormat="false" ht="15" hidden="false" customHeight="true" outlineLevel="0" collapsed="false">
      <c r="A25" s="3" t="s">
        <v>111</v>
      </c>
      <c r="B25" s="27" t="n">
        <f aca="false">B24*(1-$B$8)</f>
        <v>94.095</v>
      </c>
      <c r="C25" s="27" t="n">
        <f aca="false">C24*(1-$B$8)</f>
        <v>76.245</v>
      </c>
      <c r="D25" s="27" t="n">
        <f aca="false">D24*(1-$B$8)</f>
        <v>84.065</v>
      </c>
      <c r="E25" s="27" t="n">
        <f aca="false">E24*(1-$B$8)</f>
        <v>95.88</v>
      </c>
      <c r="F25" s="27" t="n">
        <f aca="false">F24*(1-$B$8)</f>
        <v>103.87</v>
      </c>
      <c r="G25" s="27" t="n">
        <f aca="false">G24*(1-$B$8)</f>
        <v>109.148953333333</v>
      </c>
      <c r="H25" s="27" t="n">
        <f aca="false">H24*(1-$B$8)</f>
        <v>113.6098236</v>
      </c>
      <c r="I25" s="27" t="n">
        <f aca="false">I24*(1-$B$8)</f>
        <v>117.120787926364</v>
      </c>
      <c r="J25" s="27" t="n">
        <f aca="false">J24*(1-$B$8)</f>
        <v>119.571451685854</v>
      </c>
      <c r="K25" s="27" t="n">
        <f aca="false">K24*(1-$B$8)</f>
        <v>120.878395460095</v>
      </c>
      <c r="L25" s="27" t="n">
        <f aca="false">L24*(1-$B$8)</f>
        <v>125.109139301198</v>
      </c>
    </row>
    <row r="26" customFormat="false" ht="15" hidden="false" customHeight="true" outlineLevel="0" collapsed="false">
      <c r="A26" s="3" t="s">
        <v>112</v>
      </c>
      <c r="B26" s="12" t="n">
        <v>0.15</v>
      </c>
      <c r="C26" s="12" t="n">
        <v>0.1</v>
      </c>
      <c r="D26" s="12" t="n">
        <v>0.08</v>
      </c>
      <c r="E26" s="12" t="n">
        <v>0.09</v>
      </c>
      <c r="F26" s="12" t="n">
        <v>0.09</v>
      </c>
      <c r="G26" s="8" t="n">
        <f aca="false">$F26+($L26-$F26)*G$18/5</f>
        <v>0.088</v>
      </c>
      <c r="H26" s="8" t="n">
        <f aca="false">$F26+($L26-$F26)*H$18/5</f>
        <v>0.086</v>
      </c>
      <c r="I26" s="8" t="n">
        <f aca="false">$F26+($L26-$F26)*I$18/5</f>
        <v>0.084</v>
      </c>
      <c r="J26" s="8" t="n">
        <f aca="false">$F26+($L26-$F26)*J$18/5</f>
        <v>0.082</v>
      </c>
      <c r="K26" s="8" t="n">
        <f aca="false">$F26+($L26-$F26)*K$18/5</f>
        <v>0.08</v>
      </c>
      <c r="L26" s="12" t="n">
        <v>0.08</v>
      </c>
    </row>
    <row r="27" customFormat="false" ht="15" hidden="false" customHeight="true" outlineLevel="0" collapsed="false">
      <c r="A27" s="3" t="s">
        <v>113</v>
      </c>
      <c r="B27" s="27" t="n">
        <f aca="false">B21*B26</f>
        <v>30.75</v>
      </c>
      <c r="C27" s="27" t="n">
        <f aca="false">C21*C26</f>
        <v>19.5</v>
      </c>
      <c r="D27" s="27" t="n">
        <f aca="false">D21*D26</f>
        <v>17.2</v>
      </c>
      <c r="E27" s="27" t="n">
        <f aca="false">E21*E26</f>
        <v>21.6</v>
      </c>
      <c r="F27" s="27" t="n">
        <f aca="false">F21*F26</f>
        <v>23.4</v>
      </c>
      <c r="G27" s="27" t="n">
        <f aca="false">G21*G26</f>
        <v>24.5654933333333</v>
      </c>
      <c r="H27" s="27" t="n">
        <f aca="false">H21*H26</f>
        <v>25.5436466133333</v>
      </c>
      <c r="I27" s="27" t="n">
        <f aca="false">I21*I26</f>
        <v>26.3052037053867</v>
      </c>
      <c r="J27" s="27" t="n">
        <f aca="false">J21*J26</f>
        <v>26.8258797215869</v>
      </c>
      <c r="K27" s="27" t="n">
        <f aca="false">K21*K26</f>
        <v>27.0875956213097</v>
      </c>
      <c r="L27" s="27" t="n">
        <f aca="false">L21*L26</f>
        <v>28.0356614680556</v>
      </c>
    </row>
    <row r="28" customFormat="false" ht="15" hidden="false" customHeight="true" outlineLevel="0" collapsed="false">
      <c r="A28" s="3" t="s">
        <v>114</v>
      </c>
      <c r="B28" s="27" t="n">
        <f aca="false">$B$11*(B21-$B$12)</f>
        <v>1.45</v>
      </c>
      <c r="C28" s="27" t="n">
        <f aca="false">$B$11*(C21-B21)</f>
        <v>-0.5</v>
      </c>
      <c r="D28" s="27" t="n">
        <f aca="false">$B$11*(D21-C21)</f>
        <v>1</v>
      </c>
      <c r="E28" s="27" t="n">
        <f aca="false">$B$11*(E21-D21)</f>
        <v>1.25</v>
      </c>
      <c r="F28" s="27" t="n">
        <f aca="false">$B$11*(F21-E21)</f>
        <v>1</v>
      </c>
      <c r="G28" s="27" t="n">
        <f aca="false">$B$11*(G21-F21)</f>
        <v>0.957666666666665</v>
      </c>
      <c r="H28" s="27" t="n">
        <f aca="false">$B$11*(H21-G21)</f>
        <v>0.893290666666667</v>
      </c>
      <c r="I28" s="27" t="n">
        <f aca="false">$B$11*(I21-H21)</f>
        <v>0.806902015111112</v>
      </c>
      <c r="J28" s="27" t="n">
        <f aca="false">$B$11*(J21-I21)</f>
        <v>0.699384384230518</v>
      </c>
      <c r="K28" s="27" t="n">
        <f aca="false">$B$11*(K21-J21)</f>
        <v>0.572503530643621</v>
      </c>
      <c r="L28" s="27" t="n">
        <f aca="false">$B$11*(L21-K21)</f>
        <v>0.59254115421615</v>
      </c>
    </row>
    <row r="29" customFormat="false" ht="15" hidden="false" customHeight="true" outlineLevel="0" collapsed="false">
      <c r="A29" s="3" t="s">
        <v>115</v>
      </c>
      <c r="B29" s="27" t="n">
        <f aca="false">B25-B27-B28</f>
        <v>61.895</v>
      </c>
      <c r="C29" s="27" t="n">
        <f aca="false">C25-C27-C28</f>
        <v>57.245</v>
      </c>
      <c r="D29" s="27" t="n">
        <f aca="false">D25-D27-D28</f>
        <v>65.865</v>
      </c>
      <c r="E29" s="27" t="n">
        <f aca="false">E25-E27-E28</f>
        <v>73.03</v>
      </c>
      <c r="F29" s="27" t="n">
        <f aca="false">F25-F27-F28</f>
        <v>79.47</v>
      </c>
      <c r="G29" s="27" t="n">
        <f aca="false">G25-G27-G28</f>
        <v>83.6257933333333</v>
      </c>
      <c r="H29" s="27" t="n">
        <f aca="false">H25-H27-H28</f>
        <v>87.17288632</v>
      </c>
      <c r="I29" s="27" t="n">
        <f aca="false">I25-I27-I28</f>
        <v>90.0086822058667</v>
      </c>
      <c r="J29" s="27" t="n">
        <f aca="false">J25-J27-J28</f>
        <v>92.0461875800365</v>
      </c>
      <c r="K29" s="27" t="n">
        <f aca="false">K25-K27-K28</f>
        <v>93.2182963081413</v>
      </c>
      <c r="L29" s="27" t="n">
        <f aca="false">L25-L27-L28</f>
        <v>96.4809366789263</v>
      </c>
    </row>
    <row r="30" customFormat="false" ht="15" hidden="false" customHeight="true" outlineLevel="0" collapsed="false">
      <c r="A30" s="3" t="s">
        <v>116</v>
      </c>
      <c r="B30" s="28" t="n">
        <f aca="false">1/(1+$B$9)^B$17</f>
        <v>0.949157995752499</v>
      </c>
      <c r="C30" s="28" t="n">
        <f aca="false">1/(1+$B$9)^C$17</f>
        <v>0.85509729347072</v>
      </c>
      <c r="D30" s="28" t="n">
        <f aca="false">1/(1+$B$9)^D$17</f>
        <v>0.770357922045693</v>
      </c>
      <c r="E30" s="28" t="n">
        <f aca="false">1/(1+$B$9)^E$17</f>
        <v>0.694016145987111</v>
      </c>
      <c r="F30" s="28" t="n">
        <f aca="false">1/(1+$B$9)^F$17</f>
        <v>0.62523977115956</v>
      </c>
      <c r="G30" s="28" t="n">
        <f aca="false">1/(1+$B$9)^G$17</f>
        <v>0.56327907311672</v>
      </c>
      <c r="H30" s="28" t="n">
        <f aca="false">1/(1+$B$9)^H$17</f>
        <v>0.507458624429478</v>
      </c>
      <c r="I30" s="28" t="n">
        <f aca="false">1/(1+$B$9)^I$17</f>
        <v>0.457169931918448</v>
      </c>
      <c r="J30" s="28" t="n">
        <f aca="false">1/(1+$B$9)^J$17</f>
        <v>0.411864803530134</v>
      </c>
      <c r="K30" s="28" t="n">
        <f aca="false">1/(1+$B$9)^K$17</f>
        <v>0.37104937254967</v>
      </c>
      <c r="L30" s="3"/>
    </row>
    <row r="31" customFormat="false" ht="15" hidden="false" customHeight="true" outlineLevel="0" collapsed="false">
      <c r="A31" s="3" t="s">
        <v>117</v>
      </c>
      <c r="B31" s="27" t="n">
        <f aca="false">B29*B30</f>
        <v>58.7481341471009</v>
      </c>
      <c r="C31" s="27" t="n">
        <f aca="false">C29*C30</f>
        <v>48.9500445647314</v>
      </c>
      <c r="D31" s="27" t="n">
        <f aca="false">D29*D30</f>
        <v>50.7396245355396</v>
      </c>
      <c r="E31" s="27" t="n">
        <f aca="false">E29*E30</f>
        <v>50.6839991414387</v>
      </c>
      <c r="F31" s="27" t="n">
        <f aca="false">F29*F30</f>
        <v>49.6878046140502</v>
      </c>
      <c r="G31" s="27" t="n">
        <f aca="false">G29*G30</f>
        <v>47.1046593574504</v>
      </c>
      <c r="H31" s="27" t="n">
        <f aca="false">H29*H30</f>
        <v>44.2366329794944</v>
      </c>
      <c r="I31" s="27" t="n">
        <f aca="false">I29*I30</f>
        <v>41.1492631161253</v>
      </c>
      <c r="J31" s="27" t="n">
        <f aca="false">J29*J30</f>
        <v>37.9105849633496</v>
      </c>
      <c r="K31" s="27" t="n">
        <f aca="false">K29*K30</f>
        <v>34.5885903552851</v>
      </c>
      <c r="L31" s="27"/>
    </row>
    <row r="32" customFormat="false" ht="15" hidden="false" customHeight="true" outlineLevel="0" collapsed="false">
      <c r="A32" s="3" t="s">
        <v>118</v>
      </c>
      <c r="B32" s="27" t="n">
        <f aca="false">L29/($B$9-$B$10)</f>
        <v>1286.41248905235</v>
      </c>
      <c r="C32" s="3"/>
      <c r="D32" s="3"/>
      <c r="E32" s="3"/>
      <c r="F32" s="3"/>
      <c r="G32" s="3"/>
      <c r="H32" s="3"/>
      <c r="I32" s="3"/>
      <c r="J32" s="3"/>
      <c r="K32" s="3"/>
      <c r="L32" s="3"/>
    </row>
    <row r="33" customFormat="false" ht="15" hidden="false" customHeight="true" outlineLevel="0" collapsed="false">
      <c r="A33" s="3" t="s">
        <v>119</v>
      </c>
      <c r="B33" s="27" t="n">
        <f aca="false">B32/(1+$B$9)^$K$17</f>
        <v>477.322546902934</v>
      </c>
      <c r="C33" s="3"/>
      <c r="D33" s="3"/>
      <c r="E33" s="3"/>
      <c r="F33" s="3"/>
      <c r="G33" s="3"/>
      <c r="H33" s="3"/>
      <c r="I33" s="3"/>
      <c r="J33" s="3"/>
      <c r="K33" s="3"/>
      <c r="L33" s="3"/>
    </row>
    <row r="34" customFormat="false" ht="15" hidden="false" customHeight="true" outlineLevel="0" collapsed="false">
      <c r="A34" s="3" t="s">
        <v>120</v>
      </c>
      <c r="B34" s="27" t="n">
        <f aca="false">SUM(B31:K31)+B33+$B$7</f>
        <v>1041.4818846775</v>
      </c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5" hidden="false" customHeight="true" outlineLevel="0" collapsed="false">
      <c r="A35" s="3" t="s">
        <v>121</v>
      </c>
      <c r="B35" s="29" t="n">
        <f aca="false">B34/$B$6*$B$13</f>
        <v>200.825662298014</v>
      </c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true" outlineLevel="0" collapsed="false">
      <c r="A36" s="3" t="s">
        <v>122</v>
      </c>
      <c r="B36" s="8" t="n">
        <f aca="false">B35/$B$4-1</f>
        <v>-0.529296467132278</v>
      </c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" hidden="false" customHeight="true" outlineLevel="0" collapsed="false">
      <c r="A38" s="13" t="s">
        <v>123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</row>
    <row r="39" customFormat="false" ht="15" hidden="false" customHeight="true" outlineLevel="0" collapsed="false">
      <c r="A39" s="3" t="s">
        <v>107</v>
      </c>
      <c r="B39" s="23" t="n">
        <v>230</v>
      </c>
      <c r="C39" s="23" t="n">
        <v>280</v>
      </c>
      <c r="D39" s="23" t="n">
        <v>320</v>
      </c>
      <c r="E39" s="23" t="n">
        <v>355</v>
      </c>
      <c r="F39" s="23" t="n">
        <v>390</v>
      </c>
      <c r="G39" s="27" t="n">
        <f aca="false">F39*(1+$F40+($B$10-$F40)*G$18/5)</f>
        <v>423.490563380282</v>
      </c>
      <c r="H39" s="27" t="n">
        <f aca="false">G39*(1+$F40+($B$10-$F40)*H$18/5)</f>
        <v>454.470985721087</v>
      </c>
      <c r="I39" s="27" t="n">
        <f aca="false">H39*(1+$F40+($B$10-$F40)*I$18/5)</f>
        <v>481.937675858118</v>
      </c>
      <c r="J39" s="27" t="n">
        <f aca="false">I39*(1+$F40+($B$10-$F40)*J$18/5)</f>
        <v>504.934927207517</v>
      </c>
      <c r="K39" s="27" t="n">
        <f aca="false">J39*(1+$F40+($B$10-$F40)*K$18/5)</f>
        <v>522.60764965978</v>
      </c>
      <c r="L39" s="27" t="n">
        <f aca="false">K39*(1+$B$10)</f>
        <v>540.898917397872</v>
      </c>
    </row>
    <row r="40" customFormat="false" ht="15" hidden="false" customHeight="true" outlineLevel="0" collapsed="false">
      <c r="A40" s="3" t="s">
        <v>108</v>
      </c>
      <c r="B40" s="8" t="n">
        <f aca="false">B39/$B$12-1</f>
        <v>0.306818181818182</v>
      </c>
      <c r="C40" s="8" t="n">
        <f aca="false">C39/B39-1</f>
        <v>0.217391304347826</v>
      </c>
      <c r="D40" s="8" t="n">
        <f aca="false">D39/C39-1</f>
        <v>0.142857142857143</v>
      </c>
      <c r="E40" s="8" t="n">
        <f aca="false">E39/D39-1</f>
        <v>0.109375</v>
      </c>
      <c r="F40" s="8" t="n">
        <f aca="false">F39/E39-1</f>
        <v>0.0985915492957747</v>
      </c>
      <c r="G40" s="8" t="n">
        <f aca="false">G39/F39-1</f>
        <v>0.0858732394366197</v>
      </c>
      <c r="H40" s="8" t="n">
        <f aca="false">H39/G39-1</f>
        <v>0.0731549295774649</v>
      </c>
      <c r="I40" s="8" t="n">
        <f aca="false">I39/H39-1</f>
        <v>0.0604366197183099</v>
      </c>
      <c r="J40" s="8" t="n">
        <f aca="false">J39/I39-1</f>
        <v>0.0477183098591549</v>
      </c>
      <c r="K40" s="8" t="n">
        <f aca="false">K39/J39-1</f>
        <v>0.0349999999999999</v>
      </c>
      <c r="L40" s="8" t="n">
        <f aca="false">L39/K39-1</f>
        <v>0.0349999999999999</v>
      </c>
    </row>
    <row r="41" customFormat="false" ht="15" hidden="false" customHeight="true" outlineLevel="0" collapsed="false">
      <c r="A41" s="3" t="s">
        <v>109</v>
      </c>
      <c r="B41" s="12" t="n">
        <v>0.58</v>
      </c>
      <c r="C41" s="12" t="n">
        <v>0.57</v>
      </c>
      <c r="D41" s="12" t="n">
        <v>0.55</v>
      </c>
      <c r="E41" s="12" t="n">
        <v>0.54</v>
      </c>
      <c r="F41" s="12" t="n">
        <v>0.53</v>
      </c>
      <c r="G41" s="8" t="n">
        <f aca="false">$F41+($L41-$F41)*G$18/5</f>
        <v>0.524</v>
      </c>
      <c r="H41" s="8" t="n">
        <f aca="false">$F41+($L41-$F41)*H$18/5</f>
        <v>0.518</v>
      </c>
      <c r="I41" s="8" t="n">
        <f aca="false">$F41+($L41-$F41)*I$18/5</f>
        <v>0.512</v>
      </c>
      <c r="J41" s="8" t="n">
        <f aca="false">$F41+($L41-$F41)*J$18/5</f>
        <v>0.506</v>
      </c>
      <c r="K41" s="8" t="n">
        <f aca="false">$F41+($L41-$F41)*K$18/5</f>
        <v>0.5</v>
      </c>
      <c r="L41" s="18" t="n">
        <v>0.5</v>
      </c>
    </row>
    <row r="42" customFormat="false" ht="15" hidden="false" customHeight="true" outlineLevel="0" collapsed="false">
      <c r="A42" s="3" t="s">
        <v>110</v>
      </c>
      <c r="B42" s="27" t="n">
        <f aca="false">B39*B41</f>
        <v>133.4</v>
      </c>
      <c r="C42" s="27" t="n">
        <f aca="false">C39*C41</f>
        <v>159.6</v>
      </c>
      <c r="D42" s="27" t="n">
        <f aca="false">D39*D41</f>
        <v>176</v>
      </c>
      <c r="E42" s="27" t="n">
        <f aca="false">E39*E41</f>
        <v>191.7</v>
      </c>
      <c r="F42" s="27" t="n">
        <f aca="false">F39*F41</f>
        <v>206.7</v>
      </c>
      <c r="G42" s="27" t="n">
        <f aca="false">G39*G41</f>
        <v>221.909055211268</v>
      </c>
      <c r="H42" s="27" t="n">
        <f aca="false">H39*H41</f>
        <v>235.415970603523</v>
      </c>
      <c r="I42" s="27" t="n">
        <f aca="false">I39*I41</f>
        <v>246.752090039356</v>
      </c>
      <c r="J42" s="27" t="n">
        <f aca="false">J39*J41</f>
        <v>255.497073167003</v>
      </c>
      <c r="K42" s="27" t="n">
        <f aca="false">K39*K41</f>
        <v>261.30382482989</v>
      </c>
      <c r="L42" s="27" t="n">
        <f aca="false">L39*L41</f>
        <v>270.449458698936</v>
      </c>
    </row>
    <row r="43" customFormat="false" ht="15" hidden="false" customHeight="true" outlineLevel="0" collapsed="false">
      <c r="A43" s="3" t="s">
        <v>111</v>
      </c>
      <c r="B43" s="27" t="n">
        <f aca="false">B42*(1-$B$8)</f>
        <v>113.39</v>
      </c>
      <c r="C43" s="27" t="n">
        <f aca="false">C42*(1-$B$8)</f>
        <v>135.66</v>
      </c>
      <c r="D43" s="27" t="n">
        <f aca="false">D42*(1-$B$8)</f>
        <v>149.6</v>
      </c>
      <c r="E43" s="27" t="n">
        <f aca="false">E42*(1-$B$8)</f>
        <v>162.945</v>
      </c>
      <c r="F43" s="27" t="n">
        <f aca="false">F42*(1-$B$8)</f>
        <v>175.695</v>
      </c>
      <c r="G43" s="27" t="n">
        <f aca="false">G42*(1-$B$8)</f>
        <v>188.622696929577</v>
      </c>
      <c r="H43" s="27" t="n">
        <f aca="false">H42*(1-$B$8)</f>
        <v>200.103575012995</v>
      </c>
      <c r="I43" s="27" t="n">
        <f aca="false">I42*(1-$B$8)</f>
        <v>209.739276533453</v>
      </c>
      <c r="J43" s="27" t="n">
        <f aca="false">J42*(1-$B$8)</f>
        <v>217.172512191953</v>
      </c>
      <c r="K43" s="27" t="n">
        <f aca="false">K42*(1-$B$8)</f>
        <v>222.108251105406</v>
      </c>
      <c r="L43" s="27" t="n">
        <f aca="false">L42*(1-$B$8)</f>
        <v>229.882039894096</v>
      </c>
    </row>
    <row r="44" customFormat="false" ht="15" hidden="false" customHeight="true" outlineLevel="0" collapsed="false">
      <c r="A44" s="3" t="s">
        <v>112</v>
      </c>
      <c r="B44" s="12" t="n">
        <v>0.16</v>
      </c>
      <c r="C44" s="12" t="n">
        <v>0.15</v>
      </c>
      <c r="D44" s="12" t="n">
        <v>0.13</v>
      </c>
      <c r="E44" s="12" t="n">
        <v>0.12</v>
      </c>
      <c r="F44" s="12" t="n">
        <v>0.11</v>
      </c>
      <c r="G44" s="8" t="n">
        <f aca="false">$F44+($L44-$F44)*G$18/5</f>
        <v>0.104</v>
      </c>
      <c r="H44" s="8" t="n">
        <f aca="false">$F44+($L44-$F44)*H$18/5</f>
        <v>0.098</v>
      </c>
      <c r="I44" s="8" t="n">
        <f aca="false">$F44+($L44-$F44)*I$18/5</f>
        <v>0.092</v>
      </c>
      <c r="J44" s="8" t="n">
        <f aca="false">$F44+($L44-$F44)*J$18/5</f>
        <v>0.086</v>
      </c>
      <c r="K44" s="8" t="n">
        <f aca="false">$F44+($L44-$F44)*K$18/5</f>
        <v>0.08</v>
      </c>
      <c r="L44" s="12" t="n">
        <v>0.08</v>
      </c>
    </row>
    <row r="45" customFormat="false" ht="15" hidden="false" customHeight="true" outlineLevel="0" collapsed="false">
      <c r="A45" s="3" t="s">
        <v>113</v>
      </c>
      <c r="B45" s="27" t="n">
        <f aca="false">B39*B44</f>
        <v>36.8</v>
      </c>
      <c r="C45" s="27" t="n">
        <f aca="false">C39*C44</f>
        <v>42</v>
      </c>
      <c r="D45" s="27" t="n">
        <f aca="false">D39*D44</f>
        <v>41.6</v>
      </c>
      <c r="E45" s="27" t="n">
        <f aca="false">E39*E44</f>
        <v>42.6</v>
      </c>
      <c r="F45" s="27" t="n">
        <f aca="false">F39*F44</f>
        <v>42.9</v>
      </c>
      <c r="G45" s="27" t="n">
        <f aca="false">G39*G44</f>
        <v>44.0430185915493</v>
      </c>
      <c r="H45" s="27" t="n">
        <f aca="false">H39*H44</f>
        <v>44.5381566006666</v>
      </c>
      <c r="I45" s="27" t="n">
        <f aca="false">I39*I44</f>
        <v>44.3382661789469</v>
      </c>
      <c r="J45" s="27" t="n">
        <f aca="false">J39*J44</f>
        <v>43.4244037398464</v>
      </c>
      <c r="K45" s="27" t="n">
        <f aca="false">K39*K44</f>
        <v>41.8086119727824</v>
      </c>
      <c r="L45" s="27" t="n">
        <f aca="false">L39*L44</f>
        <v>43.2719133918298</v>
      </c>
    </row>
    <row r="46" customFormat="false" ht="15" hidden="false" customHeight="true" outlineLevel="0" collapsed="false">
      <c r="A46" s="3" t="s">
        <v>114</v>
      </c>
      <c r="B46" s="27" t="n">
        <f aca="false">$B$11*(B39-$B$12)</f>
        <v>2.7</v>
      </c>
      <c r="C46" s="27" t="n">
        <f aca="false">$B$11*(C39-B39)</f>
        <v>2.5</v>
      </c>
      <c r="D46" s="27" t="n">
        <f aca="false">$B$11*(D39-C39)</f>
        <v>2</v>
      </c>
      <c r="E46" s="27" t="n">
        <f aca="false">$B$11*(E39-D39)</f>
        <v>1.75</v>
      </c>
      <c r="F46" s="27" t="n">
        <f aca="false">$B$11*(F39-E39)</f>
        <v>1.75</v>
      </c>
      <c r="G46" s="27" t="n">
        <f aca="false">$B$11*(G39-F39)</f>
        <v>1.67452816901408</v>
      </c>
      <c r="H46" s="27" t="n">
        <f aca="false">$B$11*(H39-G39)</f>
        <v>1.54902111704027</v>
      </c>
      <c r="I46" s="27" t="n">
        <f aca="false">$B$11*(I39-H39)</f>
        <v>1.37333450685154</v>
      </c>
      <c r="J46" s="27" t="n">
        <f aca="false">$B$11*(J39-I39)</f>
        <v>1.14986256746993</v>
      </c>
      <c r="K46" s="27" t="n">
        <f aca="false">$B$11*(K39-J39)</f>
        <v>0.883636122613152</v>
      </c>
      <c r="L46" s="27" t="n">
        <f aca="false">$B$11*(L39-K39)</f>
        <v>0.914563386904615</v>
      </c>
    </row>
    <row r="47" customFormat="false" ht="15" hidden="false" customHeight="true" outlineLevel="0" collapsed="false">
      <c r="A47" s="3" t="s">
        <v>115</v>
      </c>
      <c r="B47" s="27" t="n">
        <f aca="false">B43-B45-B46</f>
        <v>73.89</v>
      </c>
      <c r="C47" s="27" t="n">
        <f aca="false">C43-C45-C46</f>
        <v>91.16</v>
      </c>
      <c r="D47" s="27" t="n">
        <f aca="false">D43-D45-D46</f>
        <v>106</v>
      </c>
      <c r="E47" s="27" t="n">
        <f aca="false">E43-E45-E46</f>
        <v>118.595</v>
      </c>
      <c r="F47" s="27" t="n">
        <f aca="false">F43-F45-F46</f>
        <v>131.045</v>
      </c>
      <c r="G47" s="27" t="n">
        <f aca="false">G43-G45-G46</f>
        <v>142.905150169014</v>
      </c>
      <c r="H47" s="27" t="n">
        <f aca="false">H43-H45-H46</f>
        <v>154.016397295288</v>
      </c>
      <c r="I47" s="27" t="n">
        <f aca="false">I43-I45-I46</f>
        <v>164.027675847655</v>
      </c>
      <c r="J47" s="27" t="n">
        <f aca="false">J43-J45-J46</f>
        <v>172.598245884637</v>
      </c>
      <c r="K47" s="27" t="n">
        <f aca="false">K43-K45-K46</f>
        <v>179.416003010011</v>
      </c>
      <c r="L47" s="27" t="n">
        <f aca="false">L43-L45-L46</f>
        <v>185.695563115361</v>
      </c>
    </row>
    <row r="48" customFormat="false" ht="15" hidden="false" customHeight="true" outlineLevel="0" collapsed="false">
      <c r="A48" s="3" t="s">
        <v>116</v>
      </c>
      <c r="B48" s="28" t="n">
        <f aca="false">1/(1+$B$9)^B$17</f>
        <v>0.949157995752499</v>
      </c>
      <c r="C48" s="28" t="n">
        <f aca="false">1/(1+$B$9)^C$17</f>
        <v>0.85509729347072</v>
      </c>
      <c r="D48" s="28" t="n">
        <f aca="false">1/(1+$B$9)^D$17</f>
        <v>0.770357922045693</v>
      </c>
      <c r="E48" s="28" t="n">
        <f aca="false">1/(1+$B$9)^E$17</f>
        <v>0.694016145987111</v>
      </c>
      <c r="F48" s="28" t="n">
        <f aca="false">1/(1+$B$9)^F$17</f>
        <v>0.62523977115956</v>
      </c>
      <c r="G48" s="28" t="n">
        <f aca="false">1/(1+$B$9)^G$17</f>
        <v>0.56327907311672</v>
      </c>
      <c r="H48" s="28" t="n">
        <f aca="false">1/(1+$B$9)^H$17</f>
        <v>0.507458624429478</v>
      </c>
      <c r="I48" s="28" t="n">
        <f aca="false">1/(1+$B$9)^I$17</f>
        <v>0.457169931918448</v>
      </c>
      <c r="J48" s="28" t="n">
        <f aca="false">1/(1+$B$9)^J$17</f>
        <v>0.411864803530134</v>
      </c>
      <c r="K48" s="28" t="n">
        <f aca="false">1/(1+$B$9)^K$17</f>
        <v>0.37104937254967</v>
      </c>
      <c r="L48" s="3"/>
    </row>
    <row r="49" customFormat="false" ht="15" hidden="false" customHeight="true" outlineLevel="0" collapsed="false">
      <c r="A49" s="3" t="s">
        <v>117</v>
      </c>
      <c r="B49" s="27" t="n">
        <f aca="false">B47*B48</f>
        <v>70.1332843061521</v>
      </c>
      <c r="C49" s="27" t="n">
        <f aca="false">C47*C48</f>
        <v>77.9506692727908</v>
      </c>
      <c r="D49" s="27" t="n">
        <f aca="false">D47*D48</f>
        <v>81.6579397368435</v>
      </c>
      <c r="E49" s="27" t="n">
        <f aca="false">E47*E48</f>
        <v>82.3068448333415</v>
      </c>
      <c r="F49" s="27" t="n">
        <f aca="false">F47*F48</f>
        <v>81.9345458116045</v>
      </c>
      <c r="G49" s="27" t="n">
        <f aca="false">G47*G48</f>
        <v>80.495480530808</v>
      </c>
      <c r="H49" s="27" t="n">
        <f aca="false">H47*H48</f>
        <v>78.1569491110507</v>
      </c>
      <c r="I49" s="27" t="n">
        <f aca="false">I47*I48</f>
        <v>74.9885214000135</v>
      </c>
      <c r="J49" s="27" t="n">
        <f aca="false">J47*J48</f>
        <v>71.0871426309215</v>
      </c>
      <c r="K49" s="27" t="n">
        <f aca="false">K47*K48</f>
        <v>66.5721953422342</v>
      </c>
      <c r="L49" s="27"/>
    </row>
    <row r="50" customFormat="false" ht="15" hidden="false" customHeight="true" outlineLevel="0" collapsed="false">
      <c r="A50" s="3" t="s">
        <v>118</v>
      </c>
      <c r="B50" s="27" t="n">
        <f aca="false">L47/($B$9-$B$10)</f>
        <v>2475.94084153815</v>
      </c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Format="false" ht="15" hidden="false" customHeight="true" outlineLevel="0" collapsed="false">
      <c r="A51" s="3" t="s">
        <v>119</v>
      </c>
      <c r="B51" s="27" t="n">
        <f aca="false">B50/(1+$B$9)^$K$17</f>
        <v>918.696295722832</v>
      </c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Format="false" ht="15" hidden="false" customHeight="true" outlineLevel="0" collapsed="false">
      <c r="A52" s="3" t="s">
        <v>120</v>
      </c>
      <c r="B52" s="27" t="n">
        <f aca="false">SUM(B49:K49)+B51+$B$7</f>
        <v>1784.33986869859</v>
      </c>
      <c r="C52" s="3"/>
      <c r="D52" s="3"/>
      <c r="E52" s="3"/>
      <c r="F52" s="3"/>
      <c r="G52" s="3"/>
      <c r="H52" s="3"/>
      <c r="I52" s="3"/>
      <c r="J52" s="3"/>
      <c r="K52" s="3"/>
      <c r="L52" s="3"/>
    </row>
    <row r="53" customFormat="false" ht="15" hidden="false" customHeight="true" outlineLevel="0" collapsed="false">
      <c r="A53" s="3" t="s">
        <v>121</v>
      </c>
      <c r="B53" s="29" t="n">
        <f aca="false">B52/$B$6*$B$13</f>
        <v>344.068621037137</v>
      </c>
      <c r="C53" s="3"/>
      <c r="D53" s="3"/>
      <c r="E53" s="3"/>
      <c r="F53" s="3"/>
      <c r="G53" s="3"/>
      <c r="H53" s="3"/>
      <c r="I53" s="3"/>
      <c r="J53" s="3"/>
      <c r="K53" s="3"/>
      <c r="L53" s="3"/>
    </row>
    <row r="54" customFormat="false" ht="15" hidden="false" customHeight="true" outlineLevel="0" collapsed="false">
      <c r="A54" s="3" t="s">
        <v>122</v>
      </c>
      <c r="B54" s="8" t="n">
        <f aca="false">B53/$B$4-1</f>
        <v>-0.193557667790608</v>
      </c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customFormat="false" ht="15" hidden="false" customHeight="true" outlineLevel="0" collapsed="false">
      <c r="A56" s="13" t="s">
        <v>124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 customFormat="false" ht="15" hidden="false" customHeight="true" outlineLevel="0" collapsed="false">
      <c r="A57" s="3" t="s">
        <v>107</v>
      </c>
      <c r="B57" s="23" t="n">
        <v>240</v>
      </c>
      <c r="C57" s="23" t="n">
        <v>310</v>
      </c>
      <c r="D57" s="23" t="n">
        <v>390</v>
      </c>
      <c r="E57" s="23" t="n">
        <v>460</v>
      </c>
      <c r="F57" s="23" t="n">
        <v>520</v>
      </c>
      <c r="G57" s="27" t="n">
        <f aca="false">F57*(1+$F58+($B$10-$F58)*G$18/5)</f>
        <v>577.900869565217</v>
      </c>
      <c r="H57" s="27" t="n">
        <f aca="false">G57*(1+$F58+($B$10-$F58)*H$18/5)</f>
        <v>631.2185063138</v>
      </c>
      <c r="I57" s="27" t="n">
        <f aca="false">H57*(1+$F58+($B$10-$F58)*I$18/5)</f>
        <v>677.40723440624</v>
      </c>
      <c r="J57" s="27" t="n">
        <f aca="false">I57*(1+$F58+($B$10-$F58)*J$18/5)</f>
        <v>714.046130041082</v>
      </c>
      <c r="K57" s="27" t="n">
        <f aca="false">J57*(1+$F58+($B$10-$F58)*K$18/5)</f>
        <v>739.037744592519</v>
      </c>
      <c r="L57" s="27" t="n">
        <f aca="false">K57*(1+$B$10)</f>
        <v>764.904065653258</v>
      </c>
    </row>
    <row r="58" customFormat="false" ht="15" hidden="false" customHeight="true" outlineLevel="0" collapsed="false">
      <c r="A58" s="3" t="s">
        <v>108</v>
      </c>
      <c r="B58" s="8" t="n">
        <f aca="false">B57/$B$12-1</f>
        <v>0.363636363636364</v>
      </c>
      <c r="C58" s="8" t="n">
        <f aca="false">C57/B57-1</f>
        <v>0.291666666666667</v>
      </c>
      <c r="D58" s="8" t="n">
        <f aca="false">D57/C57-1</f>
        <v>0.258064516129032</v>
      </c>
      <c r="E58" s="8" t="n">
        <f aca="false">E57/D57-1</f>
        <v>0.17948717948718</v>
      </c>
      <c r="F58" s="8" t="n">
        <f aca="false">F57/E57-1</f>
        <v>0.130434782608696</v>
      </c>
      <c r="G58" s="8" t="n">
        <f aca="false">G57/F57-1</f>
        <v>0.111347826086956</v>
      </c>
      <c r="H58" s="8" t="n">
        <f aca="false">H57/G57-1</f>
        <v>0.0922608695652174</v>
      </c>
      <c r="I58" s="8" t="n">
        <f aca="false">I57/H57-1</f>
        <v>0.0731739130434783</v>
      </c>
      <c r="J58" s="8" t="n">
        <f aca="false">J57/I57-1</f>
        <v>0.054086956521739</v>
      </c>
      <c r="K58" s="8" t="n">
        <f aca="false">K57/J57-1</f>
        <v>0.0349999999999999</v>
      </c>
      <c r="L58" s="8" t="n">
        <f aca="false">L57/K57-1</f>
        <v>0.0349999999999999</v>
      </c>
    </row>
    <row r="59" customFormat="false" ht="15" hidden="false" customHeight="true" outlineLevel="0" collapsed="false">
      <c r="A59" s="3" t="s">
        <v>109</v>
      </c>
      <c r="B59" s="12" t="n">
        <v>0.59</v>
      </c>
      <c r="C59" s="12" t="n">
        <v>0.6</v>
      </c>
      <c r="D59" s="12" t="n">
        <v>0.59</v>
      </c>
      <c r="E59" s="12" t="n">
        <v>0.58</v>
      </c>
      <c r="F59" s="12" t="n">
        <v>0.57</v>
      </c>
      <c r="G59" s="8" t="n">
        <f aca="false">$F59+($L59-$F59)*G$18/5</f>
        <v>0.562</v>
      </c>
      <c r="H59" s="8" t="n">
        <f aca="false">$F59+($L59-$F59)*H$18/5</f>
        <v>0.554</v>
      </c>
      <c r="I59" s="8" t="n">
        <f aca="false">$F59+($L59-$F59)*I$18/5</f>
        <v>0.546</v>
      </c>
      <c r="J59" s="8" t="n">
        <f aca="false">$F59+($L59-$F59)*J$18/5</f>
        <v>0.538</v>
      </c>
      <c r="K59" s="8" t="n">
        <f aca="false">$F59+($L59-$F59)*K$18/5</f>
        <v>0.53</v>
      </c>
      <c r="L59" s="18" t="n">
        <v>0.53</v>
      </c>
    </row>
    <row r="60" customFormat="false" ht="15" hidden="false" customHeight="true" outlineLevel="0" collapsed="false">
      <c r="A60" s="3" t="s">
        <v>110</v>
      </c>
      <c r="B60" s="27" t="n">
        <f aca="false">B57*B59</f>
        <v>141.6</v>
      </c>
      <c r="C60" s="27" t="n">
        <f aca="false">C57*C59</f>
        <v>186</v>
      </c>
      <c r="D60" s="27" t="n">
        <f aca="false">D57*D59</f>
        <v>230.1</v>
      </c>
      <c r="E60" s="27" t="n">
        <f aca="false">E57*E59</f>
        <v>266.8</v>
      </c>
      <c r="F60" s="27" t="n">
        <f aca="false">F57*F59</f>
        <v>296.4</v>
      </c>
      <c r="G60" s="27" t="n">
        <f aca="false">G57*G59</f>
        <v>324.780288695652</v>
      </c>
      <c r="H60" s="27" t="n">
        <f aca="false">H57*H59</f>
        <v>349.695052497845</v>
      </c>
      <c r="I60" s="27" t="n">
        <f aca="false">I57*I59</f>
        <v>369.864349985807</v>
      </c>
      <c r="J60" s="27" t="n">
        <f aca="false">J57*J59</f>
        <v>384.156817962102</v>
      </c>
      <c r="K60" s="27" t="n">
        <f aca="false">K57*K59</f>
        <v>391.690004634035</v>
      </c>
      <c r="L60" s="27" t="n">
        <f aca="false">L57*L59</f>
        <v>405.399154796226</v>
      </c>
    </row>
    <row r="61" customFormat="false" ht="15" hidden="false" customHeight="true" outlineLevel="0" collapsed="false">
      <c r="A61" s="3" t="s">
        <v>111</v>
      </c>
      <c r="B61" s="27" t="n">
        <f aca="false">B60*(1-$B$8)</f>
        <v>120.36</v>
      </c>
      <c r="C61" s="27" t="n">
        <f aca="false">C60*(1-$B$8)</f>
        <v>158.1</v>
      </c>
      <c r="D61" s="27" t="n">
        <f aca="false">D60*(1-$B$8)</f>
        <v>195.585</v>
      </c>
      <c r="E61" s="27" t="n">
        <f aca="false">E60*(1-$B$8)</f>
        <v>226.78</v>
      </c>
      <c r="F61" s="27" t="n">
        <f aca="false">F60*(1-$B$8)</f>
        <v>251.94</v>
      </c>
      <c r="G61" s="27" t="n">
        <f aca="false">G60*(1-$B$8)</f>
        <v>276.063245391304</v>
      </c>
      <c r="H61" s="27" t="n">
        <f aca="false">H60*(1-$B$8)</f>
        <v>297.240794623168</v>
      </c>
      <c r="I61" s="27" t="n">
        <f aca="false">I60*(1-$B$8)</f>
        <v>314.384697487936</v>
      </c>
      <c r="J61" s="27" t="n">
        <f aca="false">J60*(1-$B$8)</f>
        <v>326.533295267787</v>
      </c>
      <c r="K61" s="27" t="n">
        <f aca="false">K60*(1-$B$8)</f>
        <v>332.93650393893</v>
      </c>
      <c r="L61" s="27" t="n">
        <f aca="false">L60*(1-$B$8)</f>
        <v>344.589281576793</v>
      </c>
    </row>
    <row r="62" customFormat="false" ht="15" hidden="false" customHeight="true" outlineLevel="0" collapsed="false">
      <c r="A62" s="3" t="s">
        <v>112</v>
      </c>
      <c r="B62" s="12" t="n">
        <v>0.17</v>
      </c>
      <c r="C62" s="12" t="n">
        <v>0.16</v>
      </c>
      <c r="D62" s="12" t="n">
        <v>0.14</v>
      </c>
      <c r="E62" s="12" t="n">
        <v>0.12</v>
      </c>
      <c r="F62" s="12" t="n">
        <v>0.11</v>
      </c>
      <c r="G62" s="8" t="n">
        <f aca="false">$F62+($L62-$F62)*G$18/5</f>
        <v>0.104</v>
      </c>
      <c r="H62" s="8" t="n">
        <f aca="false">$F62+($L62-$F62)*H$18/5</f>
        <v>0.098</v>
      </c>
      <c r="I62" s="8" t="n">
        <f aca="false">$F62+($L62-$F62)*I$18/5</f>
        <v>0.092</v>
      </c>
      <c r="J62" s="8" t="n">
        <f aca="false">$F62+($L62-$F62)*J$18/5</f>
        <v>0.086</v>
      </c>
      <c r="K62" s="8" t="n">
        <f aca="false">$F62+($L62-$F62)*K$18/5</f>
        <v>0.08</v>
      </c>
      <c r="L62" s="12" t="n">
        <v>0.08</v>
      </c>
    </row>
    <row r="63" customFormat="false" ht="15" hidden="false" customHeight="true" outlineLevel="0" collapsed="false">
      <c r="A63" s="3" t="s">
        <v>113</v>
      </c>
      <c r="B63" s="27" t="n">
        <f aca="false">B57*B62</f>
        <v>40.8</v>
      </c>
      <c r="C63" s="27" t="n">
        <f aca="false">C57*C62</f>
        <v>49.6</v>
      </c>
      <c r="D63" s="27" t="n">
        <f aca="false">D57*D62</f>
        <v>54.6</v>
      </c>
      <c r="E63" s="27" t="n">
        <f aca="false">E57*E62</f>
        <v>55.2</v>
      </c>
      <c r="F63" s="27" t="n">
        <f aca="false">F57*F62</f>
        <v>57.2</v>
      </c>
      <c r="G63" s="27" t="n">
        <f aca="false">G57*G62</f>
        <v>60.1016904347826</v>
      </c>
      <c r="H63" s="27" t="n">
        <f aca="false">H57*H62</f>
        <v>61.8594136187524</v>
      </c>
      <c r="I63" s="27" t="n">
        <f aca="false">I57*I62</f>
        <v>62.3214655653741</v>
      </c>
      <c r="J63" s="27" t="n">
        <f aca="false">J57*J62</f>
        <v>61.407967183533</v>
      </c>
      <c r="K63" s="27" t="n">
        <f aca="false">K57*K62</f>
        <v>59.1230195674016</v>
      </c>
      <c r="L63" s="27" t="n">
        <f aca="false">L57*L62</f>
        <v>61.1923252522606</v>
      </c>
    </row>
    <row r="64" customFormat="false" ht="15" hidden="false" customHeight="true" outlineLevel="0" collapsed="false">
      <c r="A64" s="3" t="s">
        <v>114</v>
      </c>
      <c r="B64" s="27" t="n">
        <f aca="false">$B$11*(B57-$B$12)</f>
        <v>3.2</v>
      </c>
      <c r="C64" s="27" t="n">
        <f aca="false">$B$11*(C57-B57)</f>
        <v>3.5</v>
      </c>
      <c r="D64" s="27" t="n">
        <f aca="false">$B$11*(D57-C57)</f>
        <v>4</v>
      </c>
      <c r="E64" s="27" t="n">
        <f aca="false">$B$11*(E57-D57)</f>
        <v>3.5</v>
      </c>
      <c r="F64" s="27" t="n">
        <f aca="false">$B$11*(F57-E57)</f>
        <v>3</v>
      </c>
      <c r="G64" s="27" t="n">
        <f aca="false">$B$11*(G57-F57)</f>
        <v>2.89504347826087</v>
      </c>
      <c r="H64" s="27" t="n">
        <f aca="false">$B$11*(H57-G57)</f>
        <v>2.66588183742911</v>
      </c>
      <c r="I64" s="27" t="n">
        <f aca="false">$B$11*(I57-H57)</f>
        <v>2.30943640462201</v>
      </c>
      <c r="J64" s="27" t="n">
        <f aca="false">$B$11*(J57-I57)</f>
        <v>1.83194478174209</v>
      </c>
      <c r="K64" s="27" t="n">
        <f aca="false">$B$11*(K57-J57)</f>
        <v>1.24958072757189</v>
      </c>
      <c r="L64" s="27" t="n">
        <f aca="false">$B$11*(L57-K57)</f>
        <v>1.2933160530369</v>
      </c>
    </row>
    <row r="65" customFormat="false" ht="15" hidden="false" customHeight="true" outlineLevel="0" collapsed="false">
      <c r="A65" s="3" t="s">
        <v>115</v>
      </c>
      <c r="B65" s="27" t="n">
        <f aca="false">B61-B63-B64</f>
        <v>76.36</v>
      </c>
      <c r="C65" s="27" t="n">
        <f aca="false">C61-C63-C64</f>
        <v>105</v>
      </c>
      <c r="D65" s="27" t="n">
        <f aca="false">D61-D63-D64</f>
        <v>136.985</v>
      </c>
      <c r="E65" s="27" t="n">
        <f aca="false">E61-E63-E64</f>
        <v>168.08</v>
      </c>
      <c r="F65" s="27" t="n">
        <f aca="false">F61-F63-F64</f>
        <v>191.74</v>
      </c>
      <c r="G65" s="27" t="n">
        <f aca="false">G61-G63-G64</f>
        <v>213.066511478261</v>
      </c>
      <c r="H65" s="27" t="n">
        <f aca="false">H61-H63-H64</f>
        <v>232.715499166987</v>
      </c>
      <c r="I65" s="27" t="n">
        <f aca="false">I61-I63-I64</f>
        <v>249.75379551794</v>
      </c>
      <c r="J65" s="27" t="n">
        <f aca="false">J61-J63-J64</f>
        <v>263.293383302512</v>
      </c>
      <c r="K65" s="27" t="n">
        <f aca="false">K61-K63-K64</f>
        <v>272.563903643957</v>
      </c>
      <c r="L65" s="27" t="n">
        <f aca="false">L61-L63-L64</f>
        <v>282.103640271495</v>
      </c>
    </row>
    <row r="66" customFormat="false" ht="15" hidden="false" customHeight="true" outlineLevel="0" collapsed="false">
      <c r="A66" s="3" t="s">
        <v>116</v>
      </c>
      <c r="B66" s="28" t="n">
        <f aca="false">1/(1+$B$9)^B$17</f>
        <v>0.949157995752499</v>
      </c>
      <c r="C66" s="28" t="n">
        <f aca="false">1/(1+$B$9)^C$17</f>
        <v>0.85509729347072</v>
      </c>
      <c r="D66" s="28" t="n">
        <f aca="false">1/(1+$B$9)^D$17</f>
        <v>0.770357922045693</v>
      </c>
      <c r="E66" s="28" t="n">
        <f aca="false">1/(1+$B$9)^E$17</f>
        <v>0.694016145987111</v>
      </c>
      <c r="F66" s="28" t="n">
        <f aca="false">1/(1+$B$9)^F$17</f>
        <v>0.62523977115956</v>
      </c>
      <c r="G66" s="28" t="n">
        <f aca="false">1/(1+$B$9)^G$17</f>
        <v>0.56327907311672</v>
      </c>
      <c r="H66" s="28" t="n">
        <f aca="false">1/(1+$B$9)^H$17</f>
        <v>0.507458624429478</v>
      </c>
      <c r="I66" s="28" t="n">
        <f aca="false">1/(1+$B$9)^I$17</f>
        <v>0.457169931918448</v>
      </c>
      <c r="J66" s="28" t="n">
        <f aca="false">1/(1+$B$9)^J$17</f>
        <v>0.411864803530134</v>
      </c>
      <c r="K66" s="28" t="n">
        <f aca="false">1/(1+$B$9)^K$17</f>
        <v>0.37104937254967</v>
      </c>
      <c r="L66" s="3"/>
    </row>
    <row r="67" customFormat="false" ht="15" hidden="false" customHeight="true" outlineLevel="0" collapsed="false">
      <c r="A67" s="3" t="s">
        <v>117</v>
      </c>
      <c r="B67" s="27" t="n">
        <f aca="false">B65*B66</f>
        <v>72.4777045556608</v>
      </c>
      <c r="C67" s="27" t="n">
        <f aca="false">C65*C66</f>
        <v>89.7852158144256</v>
      </c>
      <c r="D67" s="27" t="n">
        <f aca="false">D65*D66</f>
        <v>105.527479951429</v>
      </c>
      <c r="E67" s="27" t="n">
        <f aca="false">E65*E66</f>
        <v>116.650233817514</v>
      </c>
      <c r="F67" s="27" t="n">
        <f aca="false">F65*F66</f>
        <v>119.883473722134</v>
      </c>
      <c r="G67" s="27" t="n">
        <f aca="false">G65*G66</f>
        <v>120.015907097688</v>
      </c>
      <c r="H67" s="27" t="n">
        <f aca="false">H65*H66</f>
        <v>118.093487090698</v>
      </c>
      <c r="I67" s="27" t="n">
        <f aca="false">I65*I66</f>
        <v>114.179925693311</v>
      </c>
      <c r="J67" s="27" t="n">
        <f aca="false">J65*J66</f>
        <v>108.441277584673</v>
      </c>
      <c r="K67" s="27" t="n">
        <f aca="false">K65*K66</f>
        <v>101.134665426779</v>
      </c>
      <c r="L67" s="27"/>
    </row>
    <row r="68" customFormat="false" ht="15" hidden="false" customHeight="true" outlineLevel="0" collapsed="false">
      <c r="A68" s="3" t="s">
        <v>118</v>
      </c>
      <c r="B68" s="27" t="n">
        <f aca="false">L65/($B$9-$B$10)</f>
        <v>3761.3818702866</v>
      </c>
      <c r="C68" s="3"/>
      <c r="D68" s="3"/>
      <c r="E68" s="3"/>
      <c r="F68" s="3"/>
      <c r="G68" s="3"/>
      <c r="H68" s="3"/>
      <c r="I68" s="3"/>
      <c r="J68" s="3"/>
      <c r="K68" s="3"/>
      <c r="L68" s="3"/>
    </row>
    <row r="69" customFormat="false" ht="15" hidden="false" customHeight="true" outlineLevel="0" collapsed="false">
      <c r="A69" s="3" t="s">
        <v>119</v>
      </c>
      <c r="B69" s="27" t="n">
        <f aca="false">B68/(1+$B$9)^$K$17</f>
        <v>1395.65838288955</v>
      </c>
      <c r="C69" s="3"/>
      <c r="D69" s="3"/>
      <c r="E69" s="3"/>
      <c r="F69" s="3"/>
      <c r="G69" s="3"/>
      <c r="H69" s="3"/>
      <c r="I69" s="3"/>
      <c r="J69" s="3"/>
      <c r="K69" s="3"/>
      <c r="L69" s="3"/>
    </row>
    <row r="70" customFormat="false" ht="15" hidden="false" customHeight="true" outlineLevel="0" collapsed="false">
      <c r="A70" s="3" t="s">
        <v>120</v>
      </c>
      <c r="B70" s="27" t="n">
        <f aca="false">SUM(B67:K67)+B69+$B$7</f>
        <v>2562.20775364386</v>
      </c>
      <c r="C70" s="3"/>
      <c r="D70" s="3"/>
      <c r="E70" s="3"/>
      <c r="F70" s="3"/>
      <c r="G70" s="3"/>
      <c r="H70" s="3"/>
      <c r="I70" s="3"/>
      <c r="J70" s="3"/>
      <c r="K70" s="3"/>
      <c r="L70" s="3"/>
    </row>
    <row r="71" customFormat="false" ht="15" hidden="false" customHeight="true" outlineLevel="0" collapsed="false">
      <c r="A71" s="3" t="s">
        <v>121</v>
      </c>
      <c r="B71" s="29" t="n">
        <f aca="false">B70/$B$6*$B$13</f>
        <v>494.062428392568</v>
      </c>
      <c r="C71" s="3"/>
      <c r="D71" s="3"/>
      <c r="E71" s="3"/>
      <c r="F71" s="3"/>
      <c r="G71" s="3"/>
      <c r="H71" s="3"/>
      <c r="I71" s="3"/>
      <c r="J71" s="3"/>
      <c r="K71" s="3"/>
      <c r="L71" s="3"/>
    </row>
    <row r="72" customFormat="false" ht="15" hidden="false" customHeight="true" outlineLevel="0" collapsed="false">
      <c r="A72" s="3" t="s">
        <v>122</v>
      </c>
      <c r="B72" s="8" t="n">
        <f aca="false">B71/$B$4-1</f>
        <v>0.158004051078327</v>
      </c>
      <c r="C72" s="3"/>
      <c r="D72" s="3"/>
      <c r="E72" s="3"/>
      <c r="F72" s="3"/>
      <c r="G72" s="3"/>
      <c r="H72" s="3"/>
      <c r="I72" s="3"/>
      <c r="J72" s="3"/>
      <c r="K72" s="3"/>
      <c r="L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customFormat="false" ht="15" hidden="false" customHeight="true" outlineLevel="0" collapsed="false">
      <c r="A76" s="13" t="s">
        <v>125</v>
      </c>
      <c r="B76" s="26"/>
      <c r="C76" s="13" t="s">
        <v>126</v>
      </c>
      <c r="D76" s="26"/>
      <c r="E76" s="26"/>
      <c r="F76" s="26"/>
      <c r="G76" s="26"/>
      <c r="H76" s="26"/>
      <c r="I76" s="26"/>
      <c r="J76" s="26"/>
      <c r="K76" s="26"/>
      <c r="L76" s="26"/>
    </row>
    <row r="77" customFormat="false" ht="15" hidden="false" customHeight="true" outlineLevel="0" collapsed="false">
      <c r="A77" s="3" t="s">
        <v>127</v>
      </c>
      <c r="B77" s="30" t="n">
        <f aca="false">B35</f>
        <v>200.825662298014</v>
      </c>
      <c r="C77" s="8" t="n">
        <f aca="false">B77/$B$4-1</f>
        <v>-0.529296467132278</v>
      </c>
      <c r="D77" s="3"/>
      <c r="E77" s="3"/>
      <c r="F77" s="3"/>
      <c r="G77" s="3"/>
      <c r="H77" s="3"/>
      <c r="I77" s="3"/>
      <c r="J77" s="3"/>
      <c r="K77" s="3"/>
      <c r="L77" s="3"/>
    </row>
    <row r="78" customFormat="false" ht="15" hidden="false" customHeight="true" outlineLevel="0" collapsed="false">
      <c r="A78" s="3" t="s">
        <v>128</v>
      </c>
      <c r="B78" s="30" t="n">
        <f aca="false">B53</f>
        <v>344.068621037137</v>
      </c>
      <c r="C78" s="8" t="n">
        <f aca="false">B78/$B$4-1</f>
        <v>-0.193557667790608</v>
      </c>
      <c r="D78" s="3"/>
      <c r="E78" s="3"/>
      <c r="F78" s="3"/>
      <c r="G78" s="3"/>
      <c r="H78" s="3"/>
      <c r="I78" s="3"/>
      <c r="J78" s="3"/>
      <c r="K78" s="3"/>
      <c r="L78" s="3"/>
    </row>
    <row r="79" customFormat="false" ht="15" hidden="false" customHeight="true" outlineLevel="0" collapsed="false">
      <c r="A79" s="3" t="s">
        <v>129</v>
      </c>
      <c r="B79" s="30" t="n">
        <f aca="false">B71</f>
        <v>494.062428392568</v>
      </c>
      <c r="C79" s="8" t="n">
        <f aca="false">B79/$B$4-1</f>
        <v>0.158004051078327</v>
      </c>
      <c r="D79" s="3"/>
      <c r="E79" s="3"/>
      <c r="F79" s="3"/>
      <c r="G79" s="3"/>
      <c r="H79" s="3"/>
      <c r="I79" s="3"/>
      <c r="J79" s="3"/>
      <c r="K79" s="3"/>
      <c r="L79" s="3"/>
    </row>
    <row r="80" customFormat="false" ht="15" hidden="false" customHeight="true" outlineLevel="0" collapsed="false">
      <c r="A80" s="3" t="s">
        <v>130</v>
      </c>
      <c r="B80" s="30" t="n">
        <f aca="false">INDEX(B35:B71,1+($B$14-1)*18)</f>
        <v>344.068621037137</v>
      </c>
      <c r="C80" s="8" t="n">
        <f aca="false">B80/$B$4-1</f>
        <v>-0.193557667790608</v>
      </c>
      <c r="D80" s="3"/>
      <c r="E80" s="3"/>
      <c r="F80" s="3"/>
      <c r="G80" s="3"/>
      <c r="H80" s="3"/>
      <c r="I80" s="3"/>
      <c r="J80" s="3"/>
      <c r="K80" s="3"/>
      <c r="L80" s="3"/>
    </row>
    <row r="81" customFormat="false" ht="15" hidden="false" customHeight="true" outlineLevel="0" collapsed="false">
      <c r="A81" s="3" t="s">
        <v>131</v>
      </c>
      <c r="B81" s="30" t="n">
        <f aca="false">B78</f>
        <v>344.068621037137</v>
      </c>
      <c r="C81" s="3"/>
      <c r="D81" s="3"/>
      <c r="E81" s="3"/>
      <c r="F81" s="3"/>
      <c r="G81" s="3"/>
      <c r="H81" s="3"/>
      <c r="I81" s="3"/>
      <c r="J81" s="3"/>
      <c r="K81" s="3"/>
      <c r="L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customFormat="false" ht="15" hidden="false" customHeight="true" outlineLevel="0" collapsed="false">
      <c r="A83" s="10" t="s">
        <v>132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customFormat="false" ht="15" hidden="false" customHeight="true" outlineLevel="0" collapsed="false">
      <c r="A84" s="3" t="s">
        <v>133</v>
      </c>
      <c r="B84" s="12" t="n">
        <v>0.08</v>
      </c>
      <c r="C84" s="12" t="n">
        <v>0.09</v>
      </c>
      <c r="D84" s="12" t="n">
        <v>0.1</v>
      </c>
      <c r="E84" s="12" t="n">
        <v>0.11</v>
      </c>
      <c r="F84" s="12" t="n">
        <v>0.12</v>
      </c>
      <c r="G84" s="12" t="n">
        <v>0.13</v>
      </c>
      <c r="H84" s="3"/>
      <c r="I84" s="3"/>
      <c r="J84" s="3"/>
      <c r="K84" s="3"/>
      <c r="L84" s="3"/>
    </row>
    <row r="85" customFormat="false" ht="15" hidden="false" customHeight="true" outlineLevel="0" collapsed="false">
      <c r="A85" s="3" t="s">
        <v>128</v>
      </c>
      <c r="B85" s="30" t="n">
        <f aca="false">(SUMPRODUCT(B47:K47/(1+B84)^$B$17:$K$17)+L47/(B84-$B$10)/(1+B84)^$K$17+$B$7)/$B$6*$B$13</f>
        <v>571.723800977237</v>
      </c>
      <c r="C85" s="30" t="n">
        <f aca="false">(SUMPRODUCT(B47:K47/(1+C84)^$B$17:$K$17)+L47/(C84-$B$10)/(1+C84)^$K$17+$B$7)/$B$6*$B$13</f>
        <v>468.041789993707</v>
      </c>
      <c r="D85" s="30" t="n">
        <f aca="false">(SUMPRODUCT(B47:K47/(1+D84)^$B$17:$K$17)+L47/(D84-$B$10)/(1+D84)^$K$17+$B$7)/$B$6*$B$13</f>
        <v>396.436907001266</v>
      </c>
      <c r="E85" s="30" t="n">
        <f aca="false">(SUMPRODUCT(B47:K47/(1+E84)^$B$17:$K$17)+L47/(E84-$B$10)/(1+E84)^$K$17+$B$7)/$B$6*$B$13</f>
        <v>344.068621037137</v>
      </c>
      <c r="F85" s="30" t="n">
        <f aca="false">(SUMPRODUCT(B47:K47/(1+F84)^$B$17:$K$17)+L47/(F84-$B$10)/(1+F84)^$K$17+$B$7)/$B$6*$B$13</f>
        <v>304.139646411595</v>
      </c>
      <c r="G85" s="30" t="n">
        <f aca="false">(SUMPRODUCT(B47:K47/(1+G84)^$B$17:$K$17)+L47/(G84-$B$10)/(1+G84)^$K$17+$B$7)/$B$6*$B$13</f>
        <v>272.715237897023</v>
      </c>
      <c r="H85" s="3"/>
      <c r="I85" s="3"/>
      <c r="J85" s="3"/>
      <c r="K85" s="3"/>
      <c r="L85" s="3"/>
    </row>
    <row r="86" customFormat="false" ht="15" hidden="false" customHeight="true" outlineLevel="0" collapsed="false">
      <c r="A86" s="3" t="s">
        <v>134</v>
      </c>
      <c r="B86" s="8" t="n">
        <f aca="false">B85/$B$4-1</f>
        <v>0.340030003462409</v>
      </c>
      <c r="C86" s="8" t="n">
        <f aca="false">C85/$B$4-1</f>
        <v>0.0970157974773407</v>
      </c>
      <c r="D86" s="8" t="n">
        <f aca="false">D85/$B$4-1</f>
        <v>-0.0708147029151149</v>
      </c>
      <c r="E86" s="8" t="n">
        <f aca="false">E85/$B$4-1</f>
        <v>-0.193557667790608</v>
      </c>
      <c r="F86" s="8" t="n">
        <f aca="false">F85/$B$4-1</f>
        <v>-0.287144857818834</v>
      </c>
      <c r="G86" s="8" t="n">
        <f aca="false">G85/$B$4-1</f>
        <v>-0.360798692377773</v>
      </c>
      <c r="H86" s="3"/>
      <c r="I86" s="3"/>
      <c r="J86" s="3"/>
      <c r="K86" s="3"/>
      <c r="L8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12" min="2" style="1" width="11"/>
  </cols>
  <sheetData>
    <row r="1" customFormat="false" ht="15.75" hidden="false" customHeight="true" outlineLevel="0" collapsed="false">
      <c r="A1" s="2" t="s">
        <v>135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" hidden="false" customHeight="true" outlineLevel="0" collapsed="false">
      <c r="A2" s="4" t="s">
        <v>73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true" outlineLevel="0" collapsed="false">
      <c r="A4" s="3" t="s">
        <v>3</v>
      </c>
      <c r="B4" s="20" t="n">
        <v>1677.89</v>
      </c>
      <c r="C4" s="4" t="s">
        <v>136</v>
      </c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true" outlineLevel="0" collapsed="false">
      <c r="A5" s="3" t="s">
        <v>75</v>
      </c>
      <c r="B5" s="21" t="s">
        <v>137</v>
      </c>
      <c r="C5" s="4" t="s">
        <v>77</v>
      </c>
      <c r="D5" s="3"/>
      <c r="E5" s="3"/>
      <c r="F5" s="3"/>
      <c r="G5" s="3"/>
      <c r="H5" s="3"/>
      <c r="I5" s="3"/>
      <c r="J5" s="3"/>
      <c r="K5" s="3"/>
      <c r="L5" s="3"/>
    </row>
    <row r="6" customFormat="false" ht="15" hidden="false" customHeight="true" outlineLevel="0" collapsed="false">
      <c r="A6" s="3" t="s">
        <v>78</v>
      </c>
      <c r="B6" s="22" t="n">
        <v>0.3831</v>
      </c>
      <c r="C6" s="4" t="s">
        <v>138</v>
      </c>
      <c r="D6" s="3"/>
      <c r="E6" s="3"/>
      <c r="F6" s="3"/>
      <c r="G6" s="3"/>
      <c r="H6" s="3"/>
      <c r="I6" s="3"/>
      <c r="J6" s="3"/>
      <c r="K6" s="3"/>
      <c r="L6" s="3"/>
    </row>
    <row r="7" customFormat="false" ht="15" hidden="false" customHeight="true" outlineLevel="0" collapsed="false">
      <c r="A7" s="3" t="s">
        <v>80</v>
      </c>
      <c r="B7" s="23" t="n">
        <v>12.27</v>
      </c>
      <c r="C7" s="4" t="s">
        <v>139</v>
      </c>
      <c r="D7" s="3"/>
      <c r="E7" s="3"/>
      <c r="F7" s="3"/>
      <c r="G7" s="3"/>
      <c r="H7" s="3"/>
      <c r="I7" s="3"/>
      <c r="J7" s="3"/>
      <c r="K7" s="3"/>
      <c r="L7" s="3"/>
    </row>
    <row r="8" customFormat="false" ht="15" hidden="false" customHeight="true" outlineLevel="0" collapsed="false">
      <c r="A8" s="3" t="s">
        <v>56</v>
      </c>
      <c r="B8" s="12" t="n">
        <v>0.16</v>
      </c>
      <c r="C8" s="4" t="s">
        <v>33</v>
      </c>
      <c r="D8" s="3"/>
      <c r="E8" s="3"/>
      <c r="F8" s="3"/>
      <c r="G8" s="3"/>
      <c r="H8" s="3"/>
      <c r="I8" s="3"/>
      <c r="J8" s="3"/>
      <c r="K8" s="3"/>
      <c r="L8" s="3"/>
    </row>
    <row r="9" customFormat="false" ht="15" hidden="false" customHeight="true" outlineLevel="0" collapsed="false">
      <c r="A9" s="3" t="s">
        <v>82</v>
      </c>
      <c r="B9" s="7" t="n">
        <f aca="false">WACC!C26</f>
        <v>0.1</v>
      </c>
      <c r="C9" s="4" t="s">
        <v>83</v>
      </c>
      <c r="D9" s="3"/>
      <c r="E9" s="3"/>
      <c r="F9" s="3"/>
      <c r="G9" s="3"/>
      <c r="H9" s="3"/>
      <c r="I9" s="3"/>
      <c r="J9" s="3"/>
      <c r="K9" s="3"/>
      <c r="L9" s="3"/>
    </row>
    <row r="10" customFormat="false" ht="15" hidden="false" customHeight="true" outlineLevel="0" collapsed="false">
      <c r="A10" s="3" t="s">
        <v>84</v>
      </c>
      <c r="B10" s="18" t="n">
        <v>0.035</v>
      </c>
      <c r="C10" s="4" t="s">
        <v>33</v>
      </c>
      <c r="D10" s="3"/>
      <c r="E10" s="3"/>
      <c r="F10" s="3"/>
      <c r="G10" s="3"/>
      <c r="H10" s="3"/>
      <c r="I10" s="3"/>
      <c r="J10" s="3"/>
      <c r="K10" s="3"/>
      <c r="L10" s="3"/>
    </row>
    <row r="11" customFormat="false" ht="15" hidden="false" customHeight="true" outlineLevel="0" collapsed="false">
      <c r="A11" s="3" t="s">
        <v>85</v>
      </c>
      <c r="B11" s="12" t="n">
        <v>0.05</v>
      </c>
      <c r="C11" s="4" t="s">
        <v>33</v>
      </c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5" hidden="false" customHeight="true" outlineLevel="0" collapsed="false">
      <c r="A12" s="3" t="s">
        <v>86</v>
      </c>
      <c r="B12" s="23" t="n">
        <v>50.1</v>
      </c>
      <c r="C12" s="4" t="s">
        <v>140</v>
      </c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true" outlineLevel="0" collapsed="false">
      <c r="A13" s="3" t="s">
        <v>88</v>
      </c>
      <c r="B13" s="24" t="n">
        <v>1</v>
      </c>
      <c r="C13" s="4" t="s">
        <v>89</v>
      </c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5" hidden="false" customHeight="true" outlineLevel="0" collapsed="false">
      <c r="A14" s="3" t="s">
        <v>90</v>
      </c>
      <c r="B14" s="11" t="n">
        <v>2</v>
      </c>
      <c r="C14" s="4" t="s">
        <v>91</v>
      </c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5" hidden="false" customHeight="true" outlineLevel="0" collapsed="false">
      <c r="A16" s="10" t="s">
        <v>92</v>
      </c>
      <c r="B16" s="25" t="s">
        <v>93</v>
      </c>
      <c r="C16" s="25" t="s">
        <v>94</v>
      </c>
      <c r="D16" s="25" t="s">
        <v>95</v>
      </c>
      <c r="E16" s="25" t="s">
        <v>96</v>
      </c>
      <c r="F16" s="25" t="s">
        <v>97</v>
      </c>
      <c r="G16" s="25" t="s">
        <v>98</v>
      </c>
      <c r="H16" s="25" t="s">
        <v>99</v>
      </c>
      <c r="I16" s="25" t="s">
        <v>100</v>
      </c>
      <c r="J16" s="25" t="s">
        <v>101</v>
      </c>
      <c r="K16" s="25" t="s">
        <v>102</v>
      </c>
      <c r="L16" s="10" t="s">
        <v>103</v>
      </c>
    </row>
    <row r="17" customFormat="false" ht="15" hidden="false" customHeight="true" outlineLevel="0" collapsed="false">
      <c r="A17" s="3" t="s">
        <v>104</v>
      </c>
      <c r="B17" s="21" t="n">
        <v>0.5</v>
      </c>
      <c r="C17" s="3" t="n">
        <f aca="false">B17+1</f>
        <v>1.5</v>
      </c>
      <c r="D17" s="3" t="n">
        <f aca="false">C17+1</f>
        <v>2.5</v>
      </c>
      <c r="E17" s="3" t="n">
        <f aca="false">D17+1</f>
        <v>3.5</v>
      </c>
      <c r="F17" s="3" t="n">
        <f aca="false">E17+1</f>
        <v>4.5</v>
      </c>
      <c r="G17" s="3" t="n">
        <f aca="false">F17+1</f>
        <v>5.5</v>
      </c>
      <c r="H17" s="3" t="n">
        <f aca="false">G17+1</f>
        <v>6.5</v>
      </c>
      <c r="I17" s="3" t="n">
        <f aca="false">H17+1</f>
        <v>7.5</v>
      </c>
      <c r="J17" s="3" t="n">
        <f aca="false">I17+1</f>
        <v>8.5</v>
      </c>
      <c r="K17" s="3" t="n">
        <f aca="false">J17+1</f>
        <v>9.5</v>
      </c>
      <c r="L17" s="3"/>
    </row>
    <row r="18" customFormat="false" ht="15" hidden="false" customHeight="true" outlineLevel="0" collapsed="false">
      <c r="A18" s="3" t="s">
        <v>105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2</v>
      </c>
      <c r="I18" s="3" t="n">
        <v>3</v>
      </c>
      <c r="J18" s="3" t="n">
        <v>4</v>
      </c>
      <c r="K18" s="3" t="n">
        <v>5</v>
      </c>
      <c r="L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5" hidden="false" customHeight="true" outlineLevel="0" collapsed="false">
      <c r="A20" s="13" t="s">
        <v>141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customFormat="false" ht="15" hidden="false" customHeight="true" outlineLevel="0" collapsed="false">
      <c r="A21" s="3" t="s">
        <v>107</v>
      </c>
      <c r="B21" s="23" t="n">
        <v>54</v>
      </c>
      <c r="C21" s="23" t="n">
        <v>46</v>
      </c>
      <c r="D21" s="23" t="n">
        <v>50</v>
      </c>
      <c r="E21" s="23" t="n">
        <v>56</v>
      </c>
      <c r="F21" s="23" t="n">
        <v>62</v>
      </c>
      <c r="G21" s="27" t="n">
        <f aca="false">F21*(1+$F22+($B$10-$F22)*G$18/5)</f>
        <v>67.7482857142857</v>
      </c>
      <c r="H21" s="27" t="n">
        <f aca="false">G21*(1+$F22+($B$10-$F22)*H$18/5)</f>
        <v>73.0520086530612</v>
      </c>
      <c r="I21" s="27" t="n">
        <f aca="false">H21*(1+$F22+($B$10-$F22)*I$18/5)</f>
        <v>77.716901205621</v>
      </c>
      <c r="J21" s="27" t="n">
        <f aca="false">I21*(1+$F22+($B$10-$F22)*J$18/5)</f>
        <v>81.5583366080703</v>
      </c>
      <c r="K21" s="27" t="n">
        <f aca="false">J21*(1+$F22+($B$10-$F22)*K$18/5)</f>
        <v>84.4128783893527</v>
      </c>
      <c r="L21" s="27" t="n">
        <f aca="false">K21*(1+$B$10)</f>
        <v>87.36732913298</v>
      </c>
    </row>
    <row r="22" customFormat="false" ht="15" hidden="false" customHeight="true" outlineLevel="0" collapsed="false">
      <c r="A22" s="3" t="s">
        <v>108</v>
      </c>
      <c r="B22" s="8" t="n">
        <f aca="false">B21/$B$12-1</f>
        <v>0.0778443113772456</v>
      </c>
      <c r="C22" s="8" t="n">
        <f aca="false">C21/B21-1</f>
        <v>-0.148148148148148</v>
      </c>
      <c r="D22" s="8" t="n">
        <f aca="false">D21/C21-1</f>
        <v>0.0869565217391304</v>
      </c>
      <c r="E22" s="8" t="n">
        <f aca="false">E21/D21-1</f>
        <v>0.12</v>
      </c>
      <c r="F22" s="8" t="n">
        <f aca="false">F21/E21-1</f>
        <v>0.107142857142857</v>
      </c>
      <c r="G22" s="8" t="n">
        <f aca="false">G21/F21-1</f>
        <v>0.0927142857142858</v>
      </c>
      <c r="H22" s="8" t="n">
        <f aca="false">H21/G21-1</f>
        <v>0.0782857142857143</v>
      </c>
      <c r="I22" s="8" t="n">
        <f aca="false">I21/H21-1</f>
        <v>0.0638571428571428</v>
      </c>
      <c r="J22" s="8" t="n">
        <f aca="false">J21/I21-1</f>
        <v>0.0494285714285714</v>
      </c>
      <c r="K22" s="8" t="n">
        <f aca="false">K21/J21-1</f>
        <v>0.0349999999999999</v>
      </c>
      <c r="L22" s="8" t="n">
        <f aca="false">L21/K21-1</f>
        <v>0.0349999999999999</v>
      </c>
    </row>
    <row r="23" customFormat="false" ht="15" hidden="false" customHeight="true" outlineLevel="0" collapsed="false">
      <c r="A23" s="3" t="s">
        <v>109</v>
      </c>
      <c r="B23" s="12" t="n">
        <v>0.36</v>
      </c>
      <c r="C23" s="12" t="n">
        <v>0.3</v>
      </c>
      <c r="D23" s="12" t="n">
        <v>0.32</v>
      </c>
      <c r="E23" s="12" t="n">
        <v>0.34</v>
      </c>
      <c r="F23" s="12" t="n">
        <v>0.35</v>
      </c>
      <c r="G23" s="8" t="n">
        <f aca="false">$F23+($L23-$F23)*G$18/5</f>
        <v>0.346</v>
      </c>
      <c r="H23" s="8" t="n">
        <f aca="false">$F23+($L23-$F23)*H$18/5</f>
        <v>0.342</v>
      </c>
      <c r="I23" s="8" t="n">
        <f aca="false">$F23+($L23-$F23)*I$18/5</f>
        <v>0.338</v>
      </c>
      <c r="J23" s="8" t="n">
        <f aca="false">$F23+($L23-$F23)*J$18/5</f>
        <v>0.334</v>
      </c>
      <c r="K23" s="8" t="n">
        <f aca="false">$F23+($L23-$F23)*K$18/5</f>
        <v>0.33</v>
      </c>
      <c r="L23" s="18" t="n">
        <v>0.33</v>
      </c>
    </row>
    <row r="24" customFormat="false" ht="15" hidden="false" customHeight="true" outlineLevel="0" collapsed="false">
      <c r="A24" s="3" t="s">
        <v>110</v>
      </c>
      <c r="B24" s="27" t="n">
        <f aca="false">B21*B23</f>
        <v>19.44</v>
      </c>
      <c r="C24" s="27" t="n">
        <f aca="false">C21*C23</f>
        <v>13.8</v>
      </c>
      <c r="D24" s="27" t="n">
        <f aca="false">D21*D23</f>
        <v>16</v>
      </c>
      <c r="E24" s="27" t="n">
        <f aca="false">E21*E23</f>
        <v>19.04</v>
      </c>
      <c r="F24" s="27" t="n">
        <f aca="false">F21*F23</f>
        <v>21.7</v>
      </c>
      <c r="G24" s="27" t="n">
        <f aca="false">G21*G23</f>
        <v>23.4409068571429</v>
      </c>
      <c r="H24" s="27" t="n">
        <f aca="false">H21*H23</f>
        <v>24.9837869593469</v>
      </c>
      <c r="I24" s="27" t="n">
        <f aca="false">I21*I23</f>
        <v>26.2683126074999</v>
      </c>
      <c r="J24" s="27" t="n">
        <f aca="false">J21*J23</f>
        <v>27.2404844270955</v>
      </c>
      <c r="K24" s="27" t="n">
        <f aca="false">K21*K23</f>
        <v>27.8562498684864</v>
      </c>
      <c r="L24" s="27" t="n">
        <f aca="false">L21*L23</f>
        <v>28.8312186138834</v>
      </c>
    </row>
    <row r="25" customFormat="false" ht="15" hidden="false" customHeight="true" outlineLevel="0" collapsed="false">
      <c r="A25" s="3" t="s">
        <v>111</v>
      </c>
      <c r="B25" s="27" t="n">
        <f aca="false">B24*(1-$B$8)</f>
        <v>16.3296</v>
      </c>
      <c r="C25" s="27" t="n">
        <f aca="false">C24*(1-$B$8)</f>
        <v>11.592</v>
      </c>
      <c r="D25" s="27" t="n">
        <f aca="false">D24*(1-$B$8)</f>
        <v>13.44</v>
      </c>
      <c r="E25" s="27" t="n">
        <f aca="false">E24*(1-$B$8)</f>
        <v>15.9936</v>
      </c>
      <c r="F25" s="27" t="n">
        <f aca="false">F24*(1-$B$8)</f>
        <v>18.228</v>
      </c>
      <c r="G25" s="27" t="n">
        <f aca="false">G24*(1-$B$8)</f>
        <v>19.69036176</v>
      </c>
      <c r="H25" s="27" t="n">
        <f aca="false">H24*(1-$B$8)</f>
        <v>20.9863810458514</v>
      </c>
      <c r="I25" s="27" t="n">
        <f aca="false">I24*(1-$B$8)</f>
        <v>22.0653825902999</v>
      </c>
      <c r="J25" s="27" t="n">
        <f aca="false">J24*(1-$B$8)</f>
        <v>22.8820069187602</v>
      </c>
      <c r="K25" s="27" t="n">
        <f aca="false">K24*(1-$B$8)</f>
        <v>23.3992498895286</v>
      </c>
      <c r="L25" s="27" t="n">
        <f aca="false">L24*(1-$B$8)</f>
        <v>24.2182236356621</v>
      </c>
    </row>
    <row r="26" customFormat="false" ht="15" hidden="false" customHeight="true" outlineLevel="0" collapsed="false">
      <c r="A26" s="3" t="s">
        <v>112</v>
      </c>
      <c r="B26" s="12" t="n">
        <v>0.03</v>
      </c>
      <c r="C26" s="12" t="n">
        <v>0.03</v>
      </c>
      <c r="D26" s="12" t="n">
        <v>0.03</v>
      </c>
      <c r="E26" s="12" t="n">
        <v>0.03</v>
      </c>
      <c r="F26" s="12" t="n">
        <v>0.03</v>
      </c>
      <c r="G26" s="8" t="n">
        <f aca="false">$F26+($L26-$F26)*G$18/5</f>
        <v>0.03</v>
      </c>
      <c r="H26" s="8" t="n">
        <f aca="false">$F26+($L26-$F26)*H$18/5</f>
        <v>0.03</v>
      </c>
      <c r="I26" s="8" t="n">
        <f aca="false">$F26+($L26-$F26)*I$18/5</f>
        <v>0.03</v>
      </c>
      <c r="J26" s="8" t="n">
        <f aca="false">$F26+($L26-$F26)*J$18/5</f>
        <v>0.03</v>
      </c>
      <c r="K26" s="8" t="n">
        <f aca="false">$F26+($L26-$F26)*K$18/5</f>
        <v>0.03</v>
      </c>
      <c r="L26" s="12" t="n">
        <v>0.03</v>
      </c>
    </row>
    <row r="27" customFormat="false" ht="15" hidden="false" customHeight="true" outlineLevel="0" collapsed="false">
      <c r="A27" s="3" t="s">
        <v>113</v>
      </c>
      <c r="B27" s="27" t="n">
        <f aca="false">B21*B26</f>
        <v>1.62</v>
      </c>
      <c r="C27" s="27" t="n">
        <f aca="false">C21*C26</f>
        <v>1.38</v>
      </c>
      <c r="D27" s="27" t="n">
        <f aca="false">D21*D26</f>
        <v>1.5</v>
      </c>
      <c r="E27" s="27" t="n">
        <f aca="false">E21*E26</f>
        <v>1.68</v>
      </c>
      <c r="F27" s="27" t="n">
        <f aca="false">F21*F26</f>
        <v>1.86</v>
      </c>
      <c r="G27" s="27" t="n">
        <f aca="false">G21*G26</f>
        <v>2.03244857142857</v>
      </c>
      <c r="H27" s="27" t="n">
        <f aca="false">H21*H26</f>
        <v>2.19156025959184</v>
      </c>
      <c r="I27" s="27" t="n">
        <f aca="false">I21*I26</f>
        <v>2.33150703616863</v>
      </c>
      <c r="J27" s="27" t="n">
        <f aca="false">J21*J26</f>
        <v>2.44675009824211</v>
      </c>
      <c r="K27" s="27" t="n">
        <f aca="false">K21*K26</f>
        <v>2.53238635168058</v>
      </c>
      <c r="L27" s="27" t="n">
        <f aca="false">L21*L26</f>
        <v>2.6210198739894</v>
      </c>
    </row>
    <row r="28" customFormat="false" ht="15" hidden="false" customHeight="true" outlineLevel="0" collapsed="false">
      <c r="A28" s="3" t="s">
        <v>114</v>
      </c>
      <c r="B28" s="27" t="n">
        <f aca="false">$B$11*(B21-$B$12)</f>
        <v>0.195</v>
      </c>
      <c r="C28" s="27" t="n">
        <f aca="false">$B$11*(C21-B21)</f>
        <v>-0.4</v>
      </c>
      <c r="D28" s="27" t="n">
        <f aca="false">$B$11*(D21-C21)</f>
        <v>0.2</v>
      </c>
      <c r="E28" s="27" t="n">
        <f aca="false">$B$11*(E21-D21)</f>
        <v>0.3</v>
      </c>
      <c r="F28" s="27" t="n">
        <f aca="false">$B$11*(F21-E21)</f>
        <v>0.3</v>
      </c>
      <c r="G28" s="27" t="n">
        <f aca="false">$B$11*(G21-F21)</f>
        <v>0.287414285714286</v>
      </c>
      <c r="H28" s="27" t="n">
        <f aca="false">$B$11*(H21-G21)</f>
        <v>0.265186146938775</v>
      </c>
      <c r="I28" s="27" t="n">
        <f aca="false">$B$11*(I21-H21)</f>
        <v>0.233244627627988</v>
      </c>
      <c r="J28" s="27" t="n">
        <f aca="false">$B$11*(J21-I21)</f>
        <v>0.192071770122463</v>
      </c>
      <c r="K28" s="27" t="n">
        <f aca="false">$B$11*(K21-J21)</f>
        <v>0.142727089064123</v>
      </c>
      <c r="L28" s="27" t="n">
        <f aca="false">$B$11*(L21-K21)</f>
        <v>0.147722537181367</v>
      </c>
    </row>
    <row r="29" customFormat="false" ht="15" hidden="false" customHeight="true" outlineLevel="0" collapsed="false">
      <c r="A29" s="3" t="s">
        <v>115</v>
      </c>
      <c r="B29" s="27" t="n">
        <f aca="false">B25-B27-B28</f>
        <v>14.5146</v>
      </c>
      <c r="C29" s="27" t="n">
        <f aca="false">C25-C27-C28</f>
        <v>10.612</v>
      </c>
      <c r="D29" s="27" t="n">
        <f aca="false">D25-D27-D28</f>
        <v>11.74</v>
      </c>
      <c r="E29" s="27" t="n">
        <f aca="false">E25-E27-E28</f>
        <v>14.0136</v>
      </c>
      <c r="F29" s="27" t="n">
        <f aca="false">F25-F27-F28</f>
        <v>16.068</v>
      </c>
      <c r="G29" s="27" t="n">
        <f aca="false">G25-G27-G28</f>
        <v>17.3704989028571</v>
      </c>
      <c r="H29" s="27" t="n">
        <f aca="false">H25-H27-H28</f>
        <v>18.5296346393208</v>
      </c>
      <c r="I29" s="27" t="n">
        <f aca="false">I25-I27-I28</f>
        <v>19.5006309265033</v>
      </c>
      <c r="J29" s="27" t="n">
        <f aca="false">J25-J27-J28</f>
        <v>20.2431850503956</v>
      </c>
      <c r="K29" s="27" t="n">
        <f aca="false">K25-K27-K28</f>
        <v>20.7241364487839</v>
      </c>
      <c r="L29" s="27" t="n">
        <f aca="false">L25-L27-L28</f>
        <v>21.4494812244913</v>
      </c>
    </row>
    <row r="30" customFormat="false" ht="15" hidden="false" customHeight="true" outlineLevel="0" collapsed="false">
      <c r="A30" s="3" t="s">
        <v>116</v>
      </c>
      <c r="B30" s="28" t="n">
        <f aca="false">1/(1+$B$9)^B$17</f>
        <v>0.953462589245592</v>
      </c>
      <c r="C30" s="28" t="n">
        <f aca="false">1/(1+$B$9)^C$17</f>
        <v>0.866784172041447</v>
      </c>
      <c r="D30" s="28" t="n">
        <f aca="false">1/(1+$B$9)^D$17</f>
        <v>0.78798561094677</v>
      </c>
      <c r="E30" s="28" t="n">
        <f aca="false">1/(1+$B$9)^E$17</f>
        <v>0.716350555406155</v>
      </c>
      <c r="F30" s="28" t="n">
        <f aca="false">1/(1+$B$9)^F$17</f>
        <v>0.651227777641959</v>
      </c>
      <c r="G30" s="28" t="n">
        <f aca="false">1/(1+$B$9)^G$17</f>
        <v>0.592025252401781</v>
      </c>
      <c r="H30" s="28" t="n">
        <f aca="false">1/(1+$B$9)^H$17</f>
        <v>0.53820477491071</v>
      </c>
      <c r="I30" s="28" t="n">
        <f aca="false">1/(1+$B$9)^I$17</f>
        <v>0.489277068100645</v>
      </c>
      <c r="J30" s="28" t="n">
        <f aca="false">1/(1+$B$9)^J$17</f>
        <v>0.44479733463695</v>
      </c>
      <c r="K30" s="28" t="n">
        <f aca="false">1/(1+$B$9)^K$17</f>
        <v>0.404361213306318</v>
      </c>
      <c r="L30" s="3"/>
    </row>
    <row r="31" customFormat="false" ht="15" hidden="false" customHeight="true" outlineLevel="0" collapsed="false">
      <c r="A31" s="3" t="s">
        <v>117</v>
      </c>
      <c r="B31" s="27" t="n">
        <f aca="false">B29*B30</f>
        <v>13.8391280978641</v>
      </c>
      <c r="C31" s="27" t="n">
        <f aca="false">C29*C30</f>
        <v>9.19831363370384</v>
      </c>
      <c r="D31" s="27" t="n">
        <f aca="false">D29*D30</f>
        <v>9.25095107251508</v>
      </c>
      <c r="E31" s="27" t="n">
        <f aca="false">E29*E30</f>
        <v>10.0386501432397</v>
      </c>
      <c r="F31" s="27" t="n">
        <f aca="false">F29*F30</f>
        <v>10.463927931151</v>
      </c>
      <c r="G31" s="27" t="n">
        <f aca="false">G29*G30</f>
        <v>10.2837739973089</v>
      </c>
      <c r="H31" s="27" t="n">
        <f aca="false">H29*H30</f>
        <v>9.97273784023335</v>
      </c>
      <c r="I31" s="27" t="n">
        <f aca="false">I29*I30</f>
        <v>9.5412115258323</v>
      </c>
      <c r="J31" s="27" t="n">
        <f aca="false">J29*J30</f>
        <v>9.00411475497852</v>
      </c>
      <c r="K31" s="27" t="n">
        <f aca="false">K29*K30</f>
        <v>8.38003695915593</v>
      </c>
      <c r="L31" s="27"/>
    </row>
    <row r="32" customFormat="false" ht="15" hidden="false" customHeight="true" outlineLevel="0" collapsed="false">
      <c r="A32" s="3" t="s">
        <v>118</v>
      </c>
      <c r="B32" s="27" t="n">
        <f aca="false">L29/($B$9-$B$10)</f>
        <v>329.992018838328</v>
      </c>
      <c r="C32" s="3"/>
      <c r="D32" s="3"/>
      <c r="E32" s="3"/>
      <c r="F32" s="3"/>
      <c r="G32" s="3"/>
      <c r="H32" s="3"/>
      <c r="I32" s="3"/>
      <c r="J32" s="3"/>
      <c r="K32" s="3"/>
      <c r="L32" s="3"/>
    </row>
    <row r="33" customFormat="false" ht="15" hidden="false" customHeight="true" outlineLevel="0" collapsed="false">
      <c r="A33" s="3" t="s">
        <v>119</v>
      </c>
      <c r="B33" s="27" t="n">
        <f aca="false">B32/(1+$B$9)^$K$17</f>
        <v>133.435973118868</v>
      </c>
      <c r="C33" s="3"/>
      <c r="D33" s="3"/>
      <c r="E33" s="3"/>
      <c r="F33" s="3"/>
      <c r="G33" s="3"/>
      <c r="H33" s="3"/>
      <c r="I33" s="3"/>
      <c r="J33" s="3"/>
      <c r="K33" s="3"/>
      <c r="L33" s="3"/>
    </row>
    <row r="34" customFormat="false" ht="15" hidden="false" customHeight="true" outlineLevel="0" collapsed="false">
      <c r="A34" s="3" t="s">
        <v>120</v>
      </c>
      <c r="B34" s="27" t="n">
        <f aca="false">SUM(B31:K31)+B33+$B$7</f>
        <v>245.67881907485</v>
      </c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5" hidden="false" customHeight="true" outlineLevel="0" collapsed="false">
      <c r="A35" s="3" t="s">
        <v>121</v>
      </c>
      <c r="B35" s="29" t="n">
        <f aca="false">B34/$B$6*$B$13</f>
        <v>641.291618571783</v>
      </c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true" outlineLevel="0" collapsed="false">
      <c r="A36" s="3" t="s">
        <v>122</v>
      </c>
      <c r="B36" s="8" t="n">
        <f aca="false">B35/$B$4-1</f>
        <v>-0.617798771926775</v>
      </c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" hidden="false" customHeight="true" outlineLevel="0" collapsed="false">
      <c r="A38" s="13" t="s">
        <v>142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</row>
    <row r="39" customFormat="false" ht="15" hidden="false" customHeight="true" outlineLevel="0" collapsed="false">
      <c r="A39" s="3" t="s">
        <v>107</v>
      </c>
      <c r="B39" s="23" t="n">
        <v>63</v>
      </c>
      <c r="C39" s="23" t="n">
        <v>73</v>
      </c>
      <c r="D39" s="23" t="n">
        <v>72</v>
      </c>
      <c r="E39" s="23" t="n">
        <v>80</v>
      </c>
      <c r="F39" s="23" t="n">
        <v>88</v>
      </c>
      <c r="G39" s="27" t="n">
        <f aca="false">F39*(1+$F40+($B$10-$F40)*G$18/5)</f>
        <v>95.656</v>
      </c>
      <c r="H39" s="27" t="n">
        <f aca="false">G39*(1+$F40+($B$10-$F40)*H$18/5)</f>
        <v>102.734544</v>
      </c>
      <c r="I39" s="27" t="n">
        <f aca="false">H39*(1+$F40+($B$10-$F40)*I$18/5)</f>
        <v>109.001351184</v>
      </c>
      <c r="J39" s="27" t="n">
        <f aca="false">I39*(1+$F40+($B$10-$F40)*J$18/5)</f>
        <v>114.233416040832</v>
      </c>
      <c r="K39" s="27" t="n">
        <f aca="false">J39*(1+$F40+($B$10-$F40)*K$18/5)</f>
        <v>118.231585602261</v>
      </c>
      <c r="L39" s="27" t="n">
        <f aca="false">K39*(1+$B$10)</f>
        <v>122.36969109834</v>
      </c>
    </row>
    <row r="40" customFormat="false" ht="15" hidden="false" customHeight="true" outlineLevel="0" collapsed="false">
      <c r="A40" s="3" t="s">
        <v>108</v>
      </c>
      <c r="B40" s="8" t="n">
        <f aca="false">B39/$B$12-1</f>
        <v>0.25748502994012</v>
      </c>
      <c r="C40" s="8" t="n">
        <f aca="false">C39/B39-1</f>
        <v>0.158730158730159</v>
      </c>
      <c r="D40" s="8" t="n">
        <f aca="false">D39/C39-1</f>
        <v>-0.0136986301369864</v>
      </c>
      <c r="E40" s="8" t="n">
        <f aca="false">E39/D39-1</f>
        <v>0.111111111111111</v>
      </c>
      <c r="F40" s="8" t="n">
        <f aca="false">F39/E39-1</f>
        <v>0.1</v>
      </c>
      <c r="G40" s="8" t="n">
        <f aca="false">G39/F39-1</f>
        <v>0.087</v>
      </c>
      <c r="H40" s="8" t="n">
        <f aca="false">H39/G39-1</f>
        <v>0.0740000000000001</v>
      </c>
      <c r="I40" s="8" t="n">
        <f aca="false">I39/H39-1</f>
        <v>0.0609999999999999</v>
      </c>
      <c r="J40" s="8" t="n">
        <f aca="false">J39/I39-1</f>
        <v>0.048</v>
      </c>
      <c r="K40" s="8" t="n">
        <f aca="false">K39/J39-1</f>
        <v>0.0349999999999999</v>
      </c>
      <c r="L40" s="8" t="n">
        <f aca="false">L39/K39-1</f>
        <v>0.0349999999999999</v>
      </c>
    </row>
    <row r="41" customFormat="false" ht="15" hidden="false" customHeight="true" outlineLevel="0" collapsed="false">
      <c r="A41" s="3" t="s">
        <v>109</v>
      </c>
      <c r="B41" s="12" t="n">
        <v>0.4</v>
      </c>
      <c r="C41" s="12" t="n">
        <v>0.42</v>
      </c>
      <c r="D41" s="12" t="n">
        <v>0.4</v>
      </c>
      <c r="E41" s="12" t="n">
        <v>0.41</v>
      </c>
      <c r="F41" s="12" t="n">
        <v>0.41</v>
      </c>
      <c r="G41" s="8" t="n">
        <f aca="false">$F41+($L41-$F41)*G$18/5</f>
        <v>0.408</v>
      </c>
      <c r="H41" s="8" t="n">
        <f aca="false">$F41+($L41-$F41)*H$18/5</f>
        <v>0.406</v>
      </c>
      <c r="I41" s="8" t="n">
        <f aca="false">$F41+($L41-$F41)*I$18/5</f>
        <v>0.404</v>
      </c>
      <c r="J41" s="8" t="n">
        <f aca="false">$F41+($L41-$F41)*J$18/5</f>
        <v>0.402</v>
      </c>
      <c r="K41" s="8" t="n">
        <f aca="false">$F41+($L41-$F41)*K$18/5</f>
        <v>0.4</v>
      </c>
      <c r="L41" s="18" t="n">
        <v>0.4</v>
      </c>
    </row>
    <row r="42" customFormat="false" ht="15" hidden="false" customHeight="true" outlineLevel="0" collapsed="false">
      <c r="A42" s="3" t="s">
        <v>110</v>
      </c>
      <c r="B42" s="27" t="n">
        <f aca="false">B39*B41</f>
        <v>25.2</v>
      </c>
      <c r="C42" s="27" t="n">
        <f aca="false">C39*C41</f>
        <v>30.66</v>
      </c>
      <c r="D42" s="27" t="n">
        <f aca="false">D39*D41</f>
        <v>28.8</v>
      </c>
      <c r="E42" s="27" t="n">
        <f aca="false">E39*E41</f>
        <v>32.8</v>
      </c>
      <c r="F42" s="27" t="n">
        <f aca="false">F39*F41</f>
        <v>36.08</v>
      </c>
      <c r="G42" s="27" t="n">
        <f aca="false">G39*G41</f>
        <v>39.027648</v>
      </c>
      <c r="H42" s="27" t="n">
        <f aca="false">H39*H41</f>
        <v>41.710224864</v>
      </c>
      <c r="I42" s="27" t="n">
        <f aca="false">I39*I41</f>
        <v>44.036545878336</v>
      </c>
      <c r="J42" s="27" t="n">
        <f aca="false">J39*J41</f>
        <v>45.9218332484145</v>
      </c>
      <c r="K42" s="27" t="n">
        <f aca="false">K39*K41</f>
        <v>47.2926342409045</v>
      </c>
      <c r="L42" s="27" t="n">
        <f aca="false">L39*L41</f>
        <v>48.9478764393361</v>
      </c>
    </row>
    <row r="43" customFormat="false" ht="15" hidden="false" customHeight="true" outlineLevel="0" collapsed="false">
      <c r="A43" s="3" t="s">
        <v>111</v>
      </c>
      <c r="B43" s="27" t="n">
        <f aca="false">B42*(1-$B$8)</f>
        <v>21.168</v>
      </c>
      <c r="C43" s="27" t="n">
        <f aca="false">C42*(1-$B$8)</f>
        <v>25.7544</v>
      </c>
      <c r="D43" s="27" t="n">
        <f aca="false">D42*(1-$B$8)</f>
        <v>24.192</v>
      </c>
      <c r="E43" s="27" t="n">
        <f aca="false">E42*(1-$B$8)</f>
        <v>27.552</v>
      </c>
      <c r="F43" s="27" t="n">
        <f aca="false">F42*(1-$B$8)</f>
        <v>30.3072</v>
      </c>
      <c r="G43" s="27" t="n">
        <f aca="false">G42*(1-$B$8)</f>
        <v>32.78322432</v>
      </c>
      <c r="H43" s="27" t="n">
        <f aca="false">H42*(1-$B$8)</f>
        <v>35.03658888576</v>
      </c>
      <c r="I43" s="27" t="n">
        <f aca="false">I42*(1-$B$8)</f>
        <v>36.9906985378022</v>
      </c>
      <c r="J43" s="27" t="n">
        <f aca="false">J42*(1-$B$8)</f>
        <v>38.5743399286682</v>
      </c>
      <c r="K43" s="27" t="n">
        <f aca="false">K42*(1-$B$8)</f>
        <v>39.7258127623597</v>
      </c>
      <c r="L43" s="27" t="n">
        <f aca="false">L42*(1-$B$8)</f>
        <v>41.1162162090423</v>
      </c>
    </row>
    <row r="44" customFormat="false" ht="15" hidden="false" customHeight="true" outlineLevel="0" collapsed="false">
      <c r="A44" s="3" t="s">
        <v>112</v>
      </c>
      <c r="B44" s="12" t="n">
        <v>0.03</v>
      </c>
      <c r="C44" s="12" t="n">
        <v>0.03</v>
      </c>
      <c r="D44" s="12" t="n">
        <v>0.03</v>
      </c>
      <c r="E44" s="12" t="n">
        <v>0.03</v>
      </c>
      <c r="F44" s="12" t="n">
        <v>0.03</v>
      </c>
      <c r="G44" s="8" t="n">
        <f aca="false">$F44+($L44-$F44)*G$18/5</f>
        <v>0.03</v>
      </c>
      <c r="H44" s="8" t="n">
        <f aca="false">$F44+($L44-$F44)*H$18/5</f>
        <v>0.03</v>
      </c>
      <c r="I44" s="8" t="n">
        <f aca="false">$F44+($L44-$F44)*I$18/5</f>
        <v>0.03</v>
      </c>
      <c r="J44" s="8" t="n">
        <f aca="false">$F44+($L44-$F44)*J$18/5</f>
        <v>0.03</v>
      </c>
      <c r="K44" s="8" t="n">
        <f aca="false">$F44+($L44-$F44)*K$18/5</f>
        <v>0.03</v>
      </c>
      <c r="L44" s="12" t="n">
        <v>0.03</v>
      </c>
    </row>
    <row r="45" customFormat="false" ht="15" hidden="false" customHeight="true" outlineLevel="0" collapsed="false">
      <c r="A45" s="3" t="s">
        <v>113</v>
      </c>
      <c r="B45" s="27" t="n">
        <f aca="false">B39*B44</f>
        <v>1.89</v>
      </c>
      <c r="C45" s="27" t="n">
        <f aca="false">C39*C44</f>
        <v>2.19</v>
      </c>
      <c r="D45" s="27" t="n">
        <f aca="false">D39*D44</f>
        <v>2.16</v>
      </c>
      <c r="E45" s="27" t="n">
        <f aca="false">E39*E44</f>
        <v>2.4</v>
      </c>
      <c r="F45" s="27" t="n">
        <f aca="false">F39*F44</f>
        <v>2.64</v>
      </c>
      <c r="G45" s="27" t="n">
        <f aca="false">G39*G44</f>
        <v>2.86968</v>
      </c>
      <c r="H45" s="27" t="n">
        <f aca="false">H39*H44</f>
        <v>3.08203632</v>
      </c>
      <c r="I45" s="27" t="n">
        <f aca="false">I39*I44</f>
        <v>3.27004053552</v>
      </c>
      <c r="J45" s="27" t="n">
        <f aca="false">J39*J44</f>
        <v>3.42700248122496</v>
      </c>
      <c r="K45" s="27" t="n">
        <f aca="false">K39*K44</f>
        <v>3.54694756806783</v>
      </c>
      <c r="L45" s="27" t="n">
        <f aca="false">L39*L44</f>
        <v>3.67109073295021</v>
      </c>
    </row>
    <row r="46" customFormat="false" ht="15" hidden="false" customHeight="true" outlineLevel="0" collapsed="false">
      <c r="A46" s="3" t="s">
        <v>114</v>
      </c>
      <c r="B46" s="27" t="n">
        <f aca="false">$B$11*(B39-$B$12)</f>
        <v>0.645</v>
      </c>
      <c r="C46" s="27" t="n">
        <f aca="false">$B$11*(C39-B39)</f>
        <v>0.5</v>
      </c>
      <c r="D46" s="27" t="n">
        <f aca="false">$B$11*(D39-C39)</f>
        <v>-0.05</v>
      </c>
      <c r="E46" s="27" t="n">
        <f aca="false">$B$11*(E39-D39)</f>
        <v>0.4</v>
      </c>
      <c r="F46" s="27" t="n">
        <f aca="false">$B$11*(F39-E39)</f>
        <v>0.4</v>
      </c>
      <c r="G46" s="27" t="n">
        <f aca="false">$B$11*(G39-F39)</f>
        <v>0.3828</v>
      </c>
      <c r="H46" s="27" t="n">
        <f aca="false">$B$11*(H39-G39)</f>
        <v>0.3539272</v>
      </c>
      <c r="I46" s="27" t="n">
        <f aca="false">$B$11*(I39-H39)</f>
        <v>0.3133403592</v>
      </c>
      <c r="J46" s="27" t="n">
        <f aca="false">$B$11*(J39-I39)</f>
        <v>0.261603242841601</v>
      </c>
      <c r="K46" s="27" t="n">
        <f aca="false">$B$11*(K39-J39)</f>
        <v>0.199908478071455</v>
      </c>
      <c r="L46" s="27" t="n">
        <f aca="false">$B$11*(L39-K39)</f>
        <v>0.206905274803957</v>
      </c>
    </row>
    <row r="47" customFormat="false" ht="15" hidden="false" customHeight="true" outlineLevel="0" collapsed="false">
      <c r="A47" s="3" t="s">
        <v>115</v>
      </c>
      <c r="B47" s="27" t="n">
        <f aca="false">B43-B45-B46</f>
        <v>18.633</v>
      </c>
      <c r="C47" s="27" t="n">
        <f aca="false">C43-C45-C46</f>
        <v>23.0644</v>
      </c>
      <c r="D47" s="27" t="n">
        <f aca="false">D43-D45-D46</f>
        <v>22.082</v>
      </c>
      <c r="E47" s="27" t="n">
        <f aca="false">E43-E45-E46</f>
        <v>24.752</v>
      </c>
      <c r="F47" s="27" t="n">
        <f aca="false">F43-F45-F46</f>
        <v>27.2672</v>
      </c>
      <c r="G47" s="27" t="n">
        <f aca="false">G43-G45-G46</f>
        <v>29.53074432</v>
      </c>
      <c r="H47" s="27" t="n">
        <f aca="false">H43-H45-H46</f>
        <v>31.60062536576</v>
      </c>
      <c r="I47" s="27" t="n">
        <f aca="false">I43-I45-I46</f>
        <v>33.4073176430822</v>
      </c>
      <c r="J47" s="27" t="n">
        <f aca="false">J43-J45-J46</f>
        <v>34.8857342046016</v>
      </c>
      <c r="K47" s="27" t="n">
        <f aca="false">K43-K45-K46</f>
        <v>35.9789567162204</v>
      </c>
      <c r="L47" s="27" t="n">
        <f aca="false">L43-L45-L46</f>
        <v>37.2382202012882</v>
      </c>
    </row>
    <row r="48" customFormat="false" ht="15" hidden="false" customHeight="true" outlineLevel="0" collapsed="false">
      <c r="A48" s="3" t="s">
        <v>116</v>
      </c>
      <c r="B48" s="28" t="n">
        <f aca="false">1/(1+$B$9)^B$17</f>
        <v>0.953462589245592</v>
      </c>
      <c r="C48" s="28" t="n">
        <f aca="false">1/(1+$B$9)^C$17</f>
        <v>0.866784172041447</v>
      </c>
      <c r="D48" s="28" t="n">
        <f aca="false">1/(1+$B$9)^D$17</f>
        <v>0.78798561094677</v>
      </c>
      <c r="E48" s="28" t="n">
        <f aca="false">1/(1+$B$9)^E$17</f>
        <v>0.716350555406155</v>
      </c>
      <c r="F48" s="28" t="n">
        <f aca="false">1/(1+$B$9)^F$17</f>
        <v>0.651227777641959</v>
      </c>
      <c r="G48" s="28" t="n">
        <f aca="false">1/(1+$B$9)^G$17</f>
        <v>0.592025252401781</v>
      </c>
      <c r="H48" s="28" t="n">
        <f aca="false">1/(1+$B$9)^H$17</f>
        <v>0.53820477491071</v>
      </c>
      <c r="I48" s="28" t="n">
        <f aca="false">1/(1+$B$9)^I$17</f>
        <v>0.489277068100645</v>
      </c>
      <c r="J48" s="28" t="n">
        <f aca="false">1/(1+$B$9)^J$17</f>
        <v>0.44479733463695</v>
      </c>
      <c r="K48" s="28" t="n">
        <f aca="false">1/(1+$B$9)^K$17</f>
        <v>0.404361213306318</v>
      </c>
      <c r="L48" s="3"/>
    </row>
    <row r="49" customFormat="false" ht="15" hidden="false" customHeight="true" outlineLevel="0" collapsed="false">
      <c r="A49" s="3" t="s">
        <v>117</v>
      </c>
      <c r="B49" s="27" t="n">
        <f aca="false">B47*B48</f>
        <v>17.7658684254131</v>
      </c>
      <c r="C49" s="27" t="n">
        <f aca="false">C47*C48</f>
        <v>19.9918568576328</v>
      </c>
      <c r="D49" s="27" t="n">
        <f aca="false">D47*D48</f>
        <v>17.4002982609266</v>
      </c>
      <c r="E49" s="27" t="n">
        <f aca="false">E47*E48</f>
        <v>17.7311089474131</v>
      </c>
      <c r="F49" s="27" t="n">
        <f aca="false">F47*F48</f>
        <v>17.7571580585188</v>
      </c>
      <c r="G49" s="27" t="n">
        <f aca="false">G47*G48</f>
        <v>17.4829463596605</v>
      </c>
      <c r="H49" s="27" t="n">
        <f aca="false">H47*H48</f>
        <v>17.0076074620165</v>
      </c>
      <c r="I49" s="27" t="n">
        <f aca="false">I47*I48</f>
        <v>16.3454344295142</v>
      </c>
      <c r="J49" s="27" t="n">
        <f aca="false">J47*J48</f>
        <v>15.5170815910599</v>
      </c>
      <c r="K49" s="27" t="n">
        <f aca="false">K47*K48</f>
        <v>14.5484945912664</v>
      </c>
      <c r="L49" s="27"/>
    </row>
    <row r="50" customFormat="false" ht="15" hidden="false" customHeight="true" outlineLevel="0" collapsed="false">
      <c r="A50" s="3" t="s">
        <v>118</v>
      </c>
      <c r="B50" s="27" t="n">
        <f aca="false">L47/($B$9-$B$10)</f>
        <v>572.895695404433</v>
      </c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Format="false" ht="15" hidden="false" customHeight="true" outlineLevel="0" collapsed="false">
      <c r="A51" s="3" t="s">
        <v>119</v>
      </c>
      <c r="B51" s="27" t="n">
        <f aca="false">B50/(1+$B$9)^$K$17</f>
        <v>231.656798491704</v>
      </c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Format="false" ht="15" hidden="false" customHeight="true" outlineLevel="0" collapsed="false">
      <c r="A52" s="3" t="s">
        <v>120</v>
      </c>
      <c r="B52" s="27" t="n">
        <f aca="false">SUM(B49:K49)+B51+$B$7</f>
        <v>415.474653475125</v>
      </c>
      <c r="C52" s="3"/>
      <c r="D52" s="3"/>
      <c r="E52" s="3"/>
      <c r="F52" s="3"/>
      <c r="G52" s="3"/>
      <c r="H52" s="3"/>
      <c r="I52" s="3"/>
      <c r="J52" s="3"/>
      <c r="K52" s="3"/>
      <c r="L52" s="3"/>
    </row>
    <row r="53" customFormat="false" ht="15" hidden="false" customHeight="true" outlineLevel="0" collapsed="false">
      <c r="A53" s="3" t="s">
        <v>121</v>
      </c>
      <c r="B53" s="29" t="n">
        <f aca="false">B52/$B$6*$B$13</f>
        <v>1084.50705683927</v>
      </c>
      <c r="C53" s="3"/>
      <c r="D53" s="3"/>
      <c r="E53" s="3"/>
      <c r="F53" s="3"/>
      <c r="G53" s="3"/>
      <c r="H53" s="3"/>
      <c r="I53" s="3"/>
      <c r="J53" s="3"/>
      <c r="K53" s="3"/>
      <c r="L53" s="3"/>
    </row>
    <row r="54" customFormat="false" ht="15" hidden="false" customHeight="true" outlineLevel="0" collapsed="false">
      <c r="A54" s="3" t="s">
        <v>122</v>
      </c>
      <c r="B54" s="8" t="n">
        <f aca="false">B53/$B$4-1</f>
        <v>-0.353648298255981</v>
      </c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customFormat="false" ht="15" hidden="false" customHeight="true" outlineLevel="0" collapsed="false">
      <c r="A56" s="13" t="s">
        <v>143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 customFormat="false" ht="15" hidden="false" customHeight="true" outlineLevel="0" collapsed="false">
      <c r="A57" s="3" t="s">
        <v>107</v>
      </c>
      <c r="B57" s="23" t="n">
        <v>66</v>
      </c>
      <c r="C57" s="23" t="n">
        <v>82</v>
      </c>
      <c r="D57" s="23" t="n">
        <v>94</v>
      </c>
      <c r="E57" s="23" t="n">
        <v>106</v>
      </c>
      <c r="F57" s="23" t="n">
        <v>116</v>
      </c>
      <c r="G57" s="27" t="n">
        <f aca="false">F57*(1+$F58+($B$10-$F58)*G$18/5)</f>
        <v>125.566716981132</v>
      </c>
      <c r="H57" s="27" t="n">
        <f aca="false">G57*(1+$F58+($B$10-$F58)*H$18/5)</f>
        <v>134.432201036668</v>
      </c>
      <c r="I57" s="27" t="n">
        <f aca="false">H57*(1+$F58+($B$10-$F58)*I$18/5)</f>
        <v>142.328190505105</v>
      </c>
      <c r="J57" s="27" t="n">
        <f aca="false">I57*(1+$F58+($B$10-$F58)*J$18/5)</f>
        <v>148.998817395948</v>
      </c>
      <c r="K57" s="27" t="n">
        <f aca="false">J57*(1+$F58+($B$10-$F58)*K$18/5)</f>
        <v>154.213776004806</v>
      </c>
      <c r="L57" s="27" t="n">
        <f aca="false">K57*(1+$B$10)</f>
        <v>159.611258164974</v>
      </c>
    </row>
    <row r="58" customFormat="false" ht="15" hidden="false" customHeight="true" outlineLevel="0" collapsed="false">
      <c r="A58" s="3" t="s">
        <v>108</v>
      </c>
      <c r="B58" s="8" t="n">
        <f aca="false">B57/$B$12-1</f>
        <v>0.317365269461078</v>
      </c>
      <c r="C58" s="8" t="n">
        <f aca="false">C57/B57-1</f>
        <v>0.242424242424242</v>
      </c>
      <c r="D58" s="8" t="n">
        <f aca="false">D57/C57-1</f>
        <v>0.146341463414634</v>
      </c>
      <c r="E58" s="8" t="n">
        <f aca="false">E57/D57-1</f>
        <v>0.127659574468085</v>
      </c>
      <c r="F58" s="8" t="n">
        <f aca="false">F57/E57-1</f>
        <v>0.0943396226415094</v>
      </c>
      <c r="G58" s="8" t="n">
        <f aca="false">G57/F57-1</f>
        <v>0.0824716981132074</v>
      </c>
      <c r="H58" s="8" t="n">
        <f aca="false">H57/G57-1</f>
        <v>0.0706037735849057</v>
      </c>
      <c r="I58" s="8" t="n">
        <f aca="false">I57/H57-1</f>
        <v>0.0587358490566037</v>
      </c>
      <c r="J58" s="8" t="n">
        <f aca="false">J57/I57-1</f>
        <v>0.0468679245283019</v>
      </c>
      <c r="K58" s="8" t="n">
        <f aca="false">K57/J57-1</f>
        <v>0.0349999999999999</v>
      </c>
      <c r="L58" s="8" t="n">
        <f aca="false">L57/K57-1</f>
        <v>0.0349999999999999</v>
      </c>
    </row>
    <row r="59" customFormat="false" ht="15" hidden="false" customHeight="true" outlineLevel="0" collapsed="false">
      <c r="A59" s="3" t="s">
        <v>109</v>
      </c>
      <c r="B59" s="12" t="n">
        <v>0.41</v>
      </c>
      <c r="C59" s="12" t="n">
        <v>0.43</v>
      </c>
      <c r="D59" s="12" t="n">
        <v>0.44</v>
      </c>
      <c r="E59" s="12" t="n">
        <v>0.44</v>
      </c>
      <c r="F59" s="12" t="n">
        <v>0.44</v>
      </c>
      <c r="G59" s="8" t="n">
        <f aca="false">$F59+($L59-$F59)*G$18/5</f>
        <v>0.436</v>
      </c>
      <c r="H59" s="8" t="n">
        <f aca="false">$F59+($L59-$F59)*H$18/5</f>
        <v>0.432</v>
      </c>
      <c r="I59" s="8" t="n">
        <f aca="false">$F59+($L59-$F59)*I$18/5</f>
        <v>0.428</v>
      </c>
      <c r="J59" s="8" t="n">
        <f aca="false">$F59+($L59-$F59)*J$18/5</f>
        <v>0.424</v>
      </c>
      <c r="K59" s="8" t="n">
        <f aca="false">$F59+($L59-$F59)*K$18/5</f>
        <v>0.42</v>
      </c>
      <c r="L59" s="18" t="n">
        <v>0.42</v>
      </c>
    </row>
    <row r="60" customFormat="false" ht="15" hidden="false" customHeight="true" outlineLevel="0" collapsed="false">
      <c r="A60" s="3" t="s">
        <v>110</v>
      </c>
      <c r="B60" s="27" t="n">
        <f aca="false">B57*B59</f>
        <v>27.06</v>
      </c>
      <c r="C60" s="27" t="n">
        <f aca="false">C57*C59</f>
        <v>35.26</v>
      </c>
      <c r="D60" s="27" t="n">
        <f aca="false">D57*D59</f>
        <v>41.36</v>
      </c>
      <c r="E60" s="27" t="n">
        <f aca="false">E57*E59</f>
        <v>46.64</v>
      </c>
      <c r="F60" s="27" t="n">
        <f aca="false">F57*F59</f>
        <v>51.04</v>
      </c>
      <c r="G60" s="27" t="n">
        <f aca="false">G57*G59</f>
        <v>54.7470886037736</v>
      </c>
      <c r="H60" s="27" t="n">
        <f aca="false">H57*H59</f>
        <v>58.0747108478405</v>
      </c>
      <c r="I60" s="27" t="n">
        <f aca="false">I57*I59</f>
        <v>60.9164655361847</v>
      </c>
      <c r="J60" s="27" t="n">
        <f aca="false">J57*J59</f>
        <v>63.1754985758818</v>
      </c>
      <c r="K60" s="27" t="n">
        <f aca="false">K57*K59</f>
        <v>64.7697859220184</v>
      </c>
      <c r="L60" s="27" t="n">
        <f aca="false">L57*L59</f>
        <v>67.036728429289</v>
      </c>
    </row>
    <row r="61" customFormat="false" ht="15" hidden="false" customHeight="true" outlineLevel="0" collapsed="false">
      <c r="A61" s="3" t="s">
        <v>111</v>
      </c>
      <c r="B61" s="27" t="n">
        <f aca="false">B60*(1-$B$8)</f>
        <v>22.7304</v>
      </c>
      <c r="C61" s="27" t="n">
        <f aca="false">C60*(1-$B$8)</f>
        <v>29.6184</v>
      </c>
      <c r="D61" s="27" t="n">
        <f aca="false">D60*(1-$B$8)</f>
        <v>34.7424</v>
      </c>
      <c r="E61" s="27" t="n">
        <f aca="false">E60*(1-$B$8)</f>
        <v>39.1776</v>
      </c>
      <c r="F61" s="27" t="n">
        <f aca="false">F60*(1-$B$8)</f>
        <v>42.8736</v>
      </c>
      <c r="G61" s="27" t="n">
        <f aca="false">G60*(1-$B$8)</f>
        <v>45.9875544271698</v>
      </c>
      <c r="H61" s="27" t="n">
        <f aca="false">H60*(1-$B$8)</f>
        <v>48.782757112186</v>
      </c>
      <c r="I61" s="27" t="n">
        <f aca="false">I60*(1-$B$8)</f>
        <v>51.1698310503952</v>
      </c>
      <c r="J61" s="27" t="n">
        <f aca="false">J60*(1-$B$8)</f>
        <v>53.0674188037407</v>
      </c>
      <c r="K61" s="27" t="n">
        <f aca="false">K60*(1-$B$8)</f>
        <v>54.4066201744955</v>
      </c>
      <c r="L61" s="27" t="n">
        <f aca="false">L60*(1-$B$8)</f>
        <v>56.3108518806028</v>
      </c>
    </row>
    <row r="62" customFormat="false" ht="15" hidden="false" customHeight="true" outlineLevel="0" collapsed="false">
      <c r="A62" s="3" t="s">
        <v>112</v>
      </c>
      <c r="B62" s="12" t="n">
        <v>0.03</v>
      </c>
      <c r="C62" s="12" t="n">
        <v>0.03</v>
      </c>
      <c r="D62" s="12" t="n">
        <v>0.03</v>
      </c>
      <c r="E62" s="12" t="n">
        <v>0.03</v>
      </c>
      <c r="F62" s="12" t="n">
        <v>0.03</v>
      </c>
      <c r="G62" s="8" t="n">
        <f aca="false">$F62+($L62-$F62)*G$18/5</f>
        <v>0.03</v>
      </c>
      <c r="H62" s="8" t="n">
        <f aca="false">$F62+($L62-$F62)*H$18/5</f>
        <v>0.03</v>
      </c>
      <c r="I62" s="8" t="n">
        <f aca="false">$F62+($L62-$F62)*I$18/5</f>
        <v>0.03</v>
      </c>
      <c r="J62" s="8" t="n">
        <f aca="false">$F62+($L62-$F62)*J$18/5</f>
        <v>0.03</v>
      </c>
      <c r="K62" s="8" t="n">
        <f aca="false">$F62+($L62-$F62)*K$18/5</f>
        <v>0.03</v>
      </c>
      <c r="L62" s="12" t="n">
        <v>0.03</v>
      </c>
    </row>
    <row r="63" customFormat="false" ht="15" hidden="false" customHeight="true" outlineLevel="0" collapsed="false">
      <c r="A63" s="3" t="s">
        <v>113</v>
      </c>
      <c r="B63" s="27" t="n">
        <f aca="false">B57*B62</f>
        <v>1.98</v>
      </c>
      <c r="C63" s="27" t="n">
        <f aca="false">C57*C62</f>
        <v>2.46</v>
      </c>
      <c r="D63" s="27" t="n">
        <f aca="false">D57*D62</f>
        <v>2.82</v>
      </c>
      <c r="E63" s="27" t="n">
        <f aca="false">E57*E62</f>
        <v>3.18</v>
      </c>
      <c r="F63" s="27" t="n">
        <f aca="false">F57*F62</f>
        <v>3.48</v>
      </c>
      <c r="G63" s="27" t="n">
        <f aca="false">G57*G62</f>
        <v>3.76700150943396</v>
      </c>
      <c r="H63" s="27" t="n">
        <f aca="false">H57*H62</f>
        <v>4.03296603110004</v>
      </c>
      <c r="I63" s="27" t="n">
        <f aca="false">I57*I62</f>
        <v>4.26984571515314</v>
      </c>
      <c r="J63" s="27" t="n">
        <f aca="false">J57*J62</f>
        <v>4.46996452187843</v>
      </c>
      <c r="K63" s="27" t="n">
        <f aca="false">K57*K62</f>
        <v>4.62641328014417</v>
      </c>
      <c r="L63" s="27" t="n">
        <f aca="false">L57*L62</f>
        <v>4.78833774494922</v>
      </c>
    </row>
    <row r="64" customFormat="false" ht="15" hidden="false" customHeight="true" outlineLevel="0" collapsed="false">
      <c r="A64" s="3" t="s">
        <v>114</v>
      </c>
      <c r="B64" s="27" t="n">
        <f aca="false">$B$11*(B57-$B$12)</f>
        <v>0.795</v>
      </c>
      <c r="C64" s="27" t="n">
        <f aca="false">$B$11*(C57-B57)</f>
        <v>0.8</v>
      </c>
      <c r="D64" s="27" t="n">
        <f aca="false">$B$11*(D57-C57)</f>
        <v>0.6</v>
      </c>
      <c r="E64" s="27" t="n">
        <f aca="false">$B$11*(E57-D57)</f>
        <v>0.6</v>
      </c>
      <c r="F64" s="27" t="n">
        <f aca="false">$B$11*(F57-E57)</f>
        <v>0.5</v>
      </c>
      <c r="G64" s="27" t="n">
        <f aca="false">$B$11*(G57-F57)</f>
        <v>0.478335849056603</v>
      </c>
      <c r="H64" s="27" t="n">
        <f aca="false">$B$11*(H57-G57)</f>
        <v>0.443274202776789</v>
      </c>
      <c r="I64" s="27" t="n">
        <f aca="false">$B$11*(I57-H57)</f>
        <v>0.394799473421836</v>
      </c>
      <c r="J64" s="27" t="n">
        <f aca="false">$B$11*(J57-I57)</f>
        <v>0.333531344542151</v>
      </c>
      <c r="K64" s="27" t="n">
        <f aca="false">$B$11*(K57-J57)</f>
        <v>0.260747930442908</v>
      </c>
      <c r="L64" s="27" t="n">
        <f aca="false">$B$11*(L57-K57)</f>
        <v>0.269874108008409</v>
      </c>
    </row>
    <row r="65" customFormat="false" ht="15" hidden="false" customHeight="true" outlineLevel="0" collapsed="false">
      <c r="A65" s="3" t="s">
        <v>115</v>
      </c>
      <c r="B65" s="27" t="n">
        <f aca="false">B61-B63-B64</f>
        <v>19.9554</v>
      </c>
      <c r="C65" s="27" t="n">
        <f aca="false">C61-C63-C64</f>
        <v>26.3584</v>
      </c>
      <c r="D65" s="27" t="n">
        <f aca="false">D61-D63-D64</f>
        <v>31.3224</v>
      </c>
      <c r="E65" s="27" t="n">
        <f aca="false">E61-E63-E64</f>
        <v>35.3976</v>
      </c>
      <c r="F65" s="27" t="n">
        <f aca="false">F61-F63-F64</f>
        <v>38.8936</v>
      </c>
      <c r="G65" s="27" t="n">
        <f aca="false">G61-G63-G64</f>
        <v>41.7422170686792</v>
      </c>
      <c r="H65" s="27" t="n">
        <f aca="false">H61-H63-H64</f>
        <v>44.3065168783092</v>
      </c>
      <c r="I65" s="27" t="n">
        <f aca="false">I61-I63-I64</f>
        <v>46.5051858618202</v>
      </c>
      <c r="J65" s="27" t="n">
        <f aca="false">J61-J63-J64</f>
        <v>48.2639229373201</v>
      </c>
      <c r="K65" s="27" t="n">
        <f aca="false">K61-K63-K64</f>
        <v>49.5194589639084</v>
      </c>
      <c r="L65" s="27" t="n">
        <f aca="false">L61-L63-L64</f>
        <v>51.2526400276452</v>
      </c>
    </row>
    <row r="66" customFormat="false" ht="15" hidden="false" customHeight="true" outlineLevel="0" collapsed="false">
      <c r="A66" s="3" t="s">
        <v>116</v>
      </c>
      <c r="B66" s="28" t="n">
        <f aca="false">1/(1+$B$9)^B$17</f>
        <v>0.953462589245592</v>
      </c>
      <c r="C66" s="28" t="n">
        <f aca="false">1/(1+$B$9)^C$17</f>
        <v>0.866784172041447</v>
      </c>
      <c r="D66" s="28" t="n">
        <f aca="false">1/(1+$B$9)^D$17</f>
        <v>0.78798561094677</v>
      </c>
      <c r="E66" s="28" t="n">
        <f aca="false">1/(1+$B$9)^E$17</f>
        <v>0.716350555406155</v>
      </c>
      <c r="F66" s="28" t="n">
        <f aca="false">1/(1+$B$9)^F$17</f>
        <v>0.651227777641959</v>
      </c>
      <c r="G66" s="28" t="n">
        <f aca="false">1/(1+$B$9)^G$17</f>
        <v>0.592025252401781</v>
      </c>
      <c r="H66" s="28" t="n">
        <f aca="false">1/(1+$B$9)^H$17</f>
        <v>0.53820477491071</v>
      </c>
      <c r="I66" s="28" t="n">
        <f aca="false">1/(1+$B$9)^I$17</f>
        <v>0.489277068100645</v>
      </c>
      <c r="J66" s="28" t="n">
        <f aca="false">1/(1+$B$9)^J$17</f>
        <v>0.44479733463695</v>
      </c>
      <c r="K66" s="28" t="n">
        <f aca="false">1/(1+$B$9)^K$17</f>
        <v>0.404361213306318</v>
      </c>
      <c r="L66" s="3"/>
    </row>
    <row r="67" customFormat="false" ht="15" hidden="false" customHeight="true" outlineLevel="0" collapsed="false">
      <c r="A67" s="3" t="s">
        <v>117</v>
      </c>
      <c r="B67" s="27" t="n">
        <f aca="false">B65*B66</f>
        <v>19.0267273534315</v>
      </c>
      <c r="C67" s="27" t="n">
        <f aca="false">C65*C66</f>
        <v>22.8470439203373</v>
      </c>
      <c r="D67" s="27" t="n">
        <f aca="false">D65*D66</f>
        <v>24.6816005003191</v>
      </c>
      <c r="E67" s="27" t="n">
        <f aca="false">E65*E66</f>
        <v>25.3570904200449</v>
      </c>
      <c r="F67" s="27" t="n">
        <f aca="false">F65*F66</f>
        <v>25.3285926924953</v>
      </c>
      <c r="G67" s="27" t="n">
        <f aca="false">G65*G66</f>
        <v>24.7124465958947</v>
      </c>
      <c r="H67" s="27" t="n">
        <f aca="false">H65*H66</f>
        <v>23.845978943568</v>
      </c>
      <c r="I67" s="27" t="n">
        <f aca="false">I65*I66</f>
        <v>22.753920989947</v>
      </c>
      <c r="J67" s="27" t="n">
        <f aca="false">J65*J66</f>
        <v>21.4676642816431</v>
      </c>
      <c r="K67" s="27" t="n">
        <f aca="false">K65*K66</f>
        <v>20.0237485089184</v>
      </c>
      <c r="L67" s="27"/>
    </row>
    <row r="68" customFormat="false" ht="15" hidden="false" customHeight="true" outlineLevel="0" collapsed="false">
      <c r="A68" s="3" t="s">
        <v>118</v>
      </c>
      <c r="B68" s="27" t="n">
        <f aca="false">L65/($B$9-$B$10)</f>
        <v>788.502154271464</v>
      </c>
      <c r="C68" s="3"/>
      <c r="D68" s="3"/>
      <c r="E68" s="3"/>
      <c r="F68" s="3"/>
      <c r="G68" s="3"/>
      <c r="H68" s="3"/>
      <c r="I68" s="3"/>
      <c r="J68" s="3"/>
      <c r="K68" s="3"/>
      <c r="L68" s="3"/>
    </row>
    <row r="69" customFormat="false" ht="15" hidden="false" customHeight="true" outlineLevel="0" collapsed="false">
      <c r="A69" s="3" t="s">
        <v>119</v>
      </c>
      <c r="B69" s="27" t="n">
        <f aca="false">B68/(1+$B$9)^$K$17</f>
        <v>318.839687795855</v>
      </c>
      <c r="C69" s="3"/>
      <c r="D69" s="3"/>
      <c r="E69" s="3"/>
      <c r="F69" s="3"/>
      <c r="G69" s="3"/>
      <c r="H69" s="3"/>
      <c r="I69" s="3"/>
      <c r="J69" s="3"/>
      <c r="K69" s="3"/>
      <c r="L69" s="3"/>
    </row>
    <row r="70" customFormat="false" ht="15" hidden="false" customHeight="true" outlineLevel="0" collapsed="false">
      <c r="A70" s="3" t="s">
        <v>120</v>
      </c>
      <c r="B70" s="27" t="n">
        <f aca="false">SUM(B67:K67)+B69+$B$7</f>
        <v>561.154502002454</v>
      </c>
      <c r="C70" s="3"/>
      <c r="D70" s="3"/>
      <c r="E70" s="3"/>
      <c r="F70" s="3"/>
      <c r="G70" s="3"/>
      <c r="H70" s="3"/>
      <c r="I70" s="3"/>
      <c r="J70" s="3"/>
      <c r="K70" s="3"/>
      <c r="L70" s="3"/>
    </row>
    <row r="71" customFormat="false" ht="15" hidden="false" customHeight="true" outlineLevel="0" collapsed="false">
      <c r="A71" s="3" t="s">
        <v>121</v>
      </c>
      <c r="B71" s="29" t="n">
        <f aca="false">B70/$B$6*$B$13</f>
        <v>1464.77291047365</v>
      </c>
      <c r="C71" s="3"/>
      <c r="D71" s="3"/>
      <c r="E71" s="3"/>
      <c r="F71" s="3"/>
      <c r="G71" s="3"/>
      <c r="H71" s="3"/>
      <c r="I71" s="3"/>
      <c r="J71" s="3"/>
      <c r="K71" s="3"/>
      <c r="L71" s="3"/>
    </row>
    <row r="72" customFormat="false" ht="15" hidden="false" customHeight="true" outlineLevel="0" collapsed="false">
      <c r="A72" s="3" t="s">
        <v>122</v>
      </c>
      <c r="B72" s="8" t="n">
        <f aca="false">B71/$B$4-1</f>
        <v>-0.127014935142562</v>
      </c>
      <c r="C72" s="3"/>
      <c r="D72" s="3"/>
      <c r="E72" s="3"/>
      <c r="F72" s="3"/>
      <c r="G72" s="3"/>
      <c r="H72" s="3"/>
      <c r="I72" s="3"/>
      <c r="J72" s="3"/>
      <c r="K72" s="3"/>
      <c r="L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customFormat="false" ht="15" hidden="false" customHeight="true" outlineLevel="0" collapsed="false">
      <c r="A76" s="13" t="s">
        <v>125</v>
      </c>
      <c r="B76" s="26"/>
      <c r="C76" s="13" t="s">
        <v>126</v>
      </c>
      <c r="D76" s="26"/>
      <c r="E76" s="26"/>
      <c r="F76" s="26"/>
      <c r="G76" s="26"/>
      <c r="H76" s="26"/>
      <c r="I76" s="26"/>
      <c r="J76" s="26"/>
      <c r="K76" s="26"/>
      <c r="L76" s="26"/>
    </row>
    <row r="77" customFormat="false" ht="15" hidden="false" customHeight="true" outlineLevel="0" collapsed="false">
      <c r="A77" s="3" t="s">
        <v>127</v>
      </c>
      <c r="B77" s="30" t="n">
        <f aca="false">B35</f>
        <v>641.291618571783</v>
      </c>
      <c r="C77" s="8" t="n">
        <f aca="false">B77/$B$4-1</f>
        <v>-0.617798771926775</v>
      </c>
      <c r="D77" s="3"/>
      <c r="E77" s="3"/>
      <c r="F77" s="3"/>
      <c r="G77" s="3"/>
      <c r="H77" s="3"/>
      <c r="I77" s="3"/>
      <c r="J77" s="3"/>
      <c r="K77" s="3"/>
      <c r="L77" s="3"/>
    </row>
    <row r="78" customFormat="false" ht="15" hidden="false" customHeight="true" outlineLevel="0" collapsed="false">
      <c r="A78" s="3" t="s">
        <v>128</v>
      </c>
      <c r="B78" s="30" t="n">
        <f aca="false">B53</f>
        <v>1084.50705683927</v>
      </c>
      <c r="C78" s="8" t="n">
        <f aca="false">B78/$B$4-1</f>
        <v>-0.353648298255981</v>
      </c>
      <c r="D78" s="3"/>
      <c r="E78" s="3"/>
      <c r="F78" s="3"/>
      <c r="G78" s="3"/>
      <c r="H78" s="3"/>
      <c r="I78" s="3"/>
      <c r="J78" s="3"/>
      <c r="K78" s="3"/>
      <c r="L78" s="3"/>
    </row>
    <row r="79" customFormat="false" ht="15" hidden="false" customHeight="true" outlineLevel="0" collapsed="false">
      <c r="A79" s="3" t="s">
        <v>129</v>
      </c>
      <c r="B79" s="30" t="n">
        <f aca="false">B71</f>
        <v>1464.77291047365</v>
      </c>
      <c r="C79" s="8" t="n">
        <f aca="false">B79/$B$4-1</f>
        <v>-0.127014935142562</v>
      </c>
      <c r="D79" s="3"/>
      <c r="E79" s="3"/>
      <c r="F79" s="3"/>
      <c r="G79" s="3"/>
      <c r="H79" s="3"/>
      <c r="I79" s="3"/>
      <c r="J79" s="3"/>
      <c r="K79" s="3"/>
      <c r="L79" s="3"/>
    </row>
    <row r="80" customFormat="false" ht="15" hidden="false" customHeight="true" outlineLevel="0" collapsed="false">
      <c r="A80" s="3" t="s">
        <v>130</v>
      </c>
      <c r="B80" s="30" t="n">
        <f aca="false">INDEX(B35:B71,1+($B$14-1)*18)</f>
        <v>1084.50705683927</v>
      </c>
      <c r="C80" s="8" t="n">
        <f aca="false">B80/$B$4-1</f>
        <v>-0.353648298255981</v>
      </c>
      <c r="D80" s="3"/>
      <c r="E80" s="3"/>
      <c r="F80" s="3"/>
      <c r="G80" s="3"/>
      <c r="H80" s="3"/>
      <c r="I80" s="3"/>
      <c r="J80" s="3"/>
      <c r="K80" s="3"/>
      <c r="L80" s="3"/>
    </row>
    <row r="81" customFormat="false" ht="15" hidden="false" customHeight="true" outlineLevel="0" collapsed="false">
      <c r="A81" s="3" t="s">
        <v>131</v>
      </c>
      <c r="B81" s="30" t="n">
        <f aca="false">B78</f>
        <v>1084.50705683927</v>
      </c>
      <c r="C81" s="3"/>
      <c r="D81" s="3"/>
      <c r="E81" s="3"/>
      <c r="F81" s="3"/>
      <c r="G81" s="3"/>
      <c r="H81" s="3"/>
      <c r="I81" s="3"/>
      <c r="J81" s="3"/>
      <c r="K81" s="3"/>
      <c r="L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customFormat="false" ht="15" hidden="false" customHeight="true" outlineLevel="0" collapsed="false">
      <c r="A83" s="10" t="s">
        <v>132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customFormat="false" ht="15" hidden="false" customHeight="true" outlineLevel="0" collapsed="false">
      <c r="A84" s="3" t="s">
        <v>133</v>
      </c>
      <c r="B84" s="12" t="n">
        <v>0.08</v>
      </c>
      <c r="C84" s="12" t="n">
        <v>0.09</v>
      </c>
      <c r="D84" s="12" t="n">
        <v>0.1</v>
      </c>
      <c r="E84" s="12" t="n">
        <v>0.11</v>
      </c>
      <c r="F84" s="12" t="n">
        <v>0.12</v>
      </c>
      <c r="G84" s="12" t="n">
        <v>0.13</v>
      </c>
      <c r="H84" s="3"/>
      <c r="I84" s="3"/>
      <c r="J84" s="3"/>
      <c r="K84" s="3"/>
      <c r="L84" s="3"/>
    </row>
    <row r="85" customFormat="false" ht="15" hidden="false" customHeight="true" outlineLevel="0" collapsed="false">
      <c r="A85" s="3" t="s">
        <v>128</v>
      </c>
      <c r="B85" s="30" t="n">
        <f aca="false">(SUMPRODUCT(B47:K47/(1+B84)^$B$17:$K$17)+L47/(B84-$B$10)/(1+B84)^$K$17+$B$7)/$B$6*$B$13</f>
        <v>1561.4982633527</v>
      </c>
      <c r="C85" s="30" t="n">
        <f aca="false">(SUMPRODUCT(B47:K47/(1+C84)^$B$17:$K$17)+L47/(C84-$B$10)/(1+C84)^$K$17+$B$7)/$B$6*$B$13</f>
        <v>1279.45106338929</v>
      </c>
      <c r="D85" s="30" t="n">
        <f aca="false">(SUMPRODUCT(B47:K47/(1+D84)^$B$17:$K$17)+L47/(D84-$B$10)/(1+D84)^$K$17+$B$7)/$B$6*$B$13</f>
        <v>1084.50705683927</v>
      </c>
      <c r="E85" s="30" t="n">
        <f aca="false">(SUMPRODUCT(B47:K47/(1+E84)^$B$17:$K$17)+L47/(E84-$B$10)/(1+E84)^$K$17+$B$7)/$B$6*$B$13</f>
        <v>941.807541996309</v>
      </c>
      <c r="F85" s="30" t="n">
        <f aca="false">(SUMPRODUCT(B47:K47/(1+F84)^$B$17:$K$17)+L47/(F84-$B$10)/(1+F84)^$K$17+$B$7)/$B$6*$B$13</f>
        <v>832.899008764714</v>
      </c>
      <c r="G85" s="30" t="n">
        <f aca="false">(SUMPRODUCT(B47:K47/(1+G84)^$B$17:$K$17)+L47/(G84-$B$10)/(1+G84)^$K$17+$B$7)/$B$6*$B$13</f>
        <v>747.098748377334</v>
      </c>
      <c r="H85" s="3"/>
      <c r="I85" s="3"/>
      <c r="J85" s="3"/>
      <c r="K85" s="3"/>
      <c r="L85" s="3"/>
    </row>
    <row r="86" customFormat="false" ht="15" hidden="false" customHeight="true" outlineLevel="0" collapsed="false">
      <c r="A86" s="3" t="s">
        <v>134</v>
      </c>
      <c r="B86" s="8" t="n">
        <f aca="false">B85/$B$4-1</f>
        <v>-0.0693679184257008</v>
      </c>
      <c r="C86" s="8" t="n">
        <f aca="false">C85/$B$4-1</f>
        <v>-0.237464277521593</v>
      </c>
      <c r="D86" s="8" t="n">
        <f aca="false">D85/$B$4-1</f>
        <v>-0.353648298255981</v>
      </c>
      <c r="E86" s="8" t="n">
        <f aca="false">E85/$B$4-1</f>
        <v>-0.438695300647653</v>
      </c>
      <c r="F86" s="8" t="n">
        <f aca="false">F85/$B$4-1</f>
        <v>-0.503603329917507</v>
      </c>
      <c r="G86" s="8" t="n">
        <f aca="false">G85/$B$4-1</f>
        <v>-0.554739137620861</v>
      </c>
      <c r="H86" s="3"/>
      <c r="I86" s="3"/>
      <c r="J86" s="3"/>
      <c r="K86" s="3"/>
      <c r="L8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12" min="2" style="1" width="11"/>
  </cols>
  <sheetData>
    <row r="1" customFormat="false" ht="15.75" hidden="false" customHeight="true" outlineLevel="0" collapsed="false">
      <c r="A1" s="2" t="s">
        <v>144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" hidden="false" customHeight="true" outlineLevel="0" collapsed="false">
      <c r="A2" s="4" t="s">
        <v>73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true" outlineLevel="0" collapsed="false">
      <c r="A4" s="3" t="s">
        <v>3</v>
      </c>
      <c r="B4" s="20" t="n">
        <v>410.41</v>
      </c>
      <c r="C4" s="4" t="s">
        <v>145</v>
      </c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true" outlineLevel="0" collapsed="false">
      <c r="A5" s="3" t="s">
        <v>75</v>
      </c>
      <c r="B5" s="21" t="s">
        <v>146</v>
      </c>
      <c r="C5" s="4" t="s">
        <v>77</v>
      </c>
      <c r="D5" s="3"/>
      <c r="E5" s="3"/>
      <c r="F5" s="3"/>
      <c r="G5" s="3"/>
      <c r="H5" s="3"/>
      <c r="I5" s="3"/>
      <c r="J5" s="3"/>
      <c r="K5" s="3"/>
      <c r="L5" s="3"/>
    </row>
    <row r="6" customFormat="false" ht="15" hidden="false" customHeight="true" outlineLevel="0" collapsed="false">
      <c r="A6" s="3" t="s">
        <v>78</v>
      </c>
      <c r="B6" s="22" t="n">
        <v>0.7936</v>
      </c>
      <c r="C6" s="4" t="s">
        <v>138</v>
      </c>
      <c r="D6" s="3"/>
      <c r="E6" s="3"/>
      <c r="F6" s="3"/>
      <c r="G6" s="3"/>
      <c r="H6" s="3"/>
      <c r="I6" s="3"/>
      <c r="J6" s="3"/>
      <c r="K6" s="3"/>
      <c r="L6" s="3"/>
    </row>
    <row r="7" customFormat="false" ht="15" hidden="false" customHeight="true" outlineLevel="0" collapsed="false">
      <c r="A7" s="3" t="s">
        <v>80</v>
      </c>
      <c r="B7" s="23" t="n">
        <v>1.88</v>
      </c>
      <c r="C7" s="4" t="s">
        <v>147</v>
      </c>
      <c r="D7" s="3"/>
      <c r="E7" s="3"/>
      <c r="F7" s="3"/>
      <c r="G7" s="3"/>
      <c r="H7" s="3"/>
      <c r="I7" s="3"/>
      <c r="J7" s="3"/>
      <c r="K7" s="3"/>
      <c r="L7" s="3"/>
    </row>
    <row r="8" customFormat="false" ht="15" hidden="false" customHeight="true" outlineLevel="0" collapsed="false">
      <c r="A8" s="3" t="s">
        <v>56</v>
      </c>
      <c r="B8" s="12" t="n">
        <v>0.13</v>
      </c>
      <c r="C8" s="4" t="s">
        <v>33</v>
      </c>
      <c r="D8" s="3"/>
      <c r="E8" s="3"/>
      <c r="F8" s="3"/>
      <c r="G8" s="3"/>
      <c r="H8" s="3"/>
      <c r="I8" s="3"/>
      <c r="J8" s="3"/>
      <c r="K8" s="3"/>
      <c r="L8" s="3"/>
    </row>
    <row r="9" customFormat="false" ht="15" hidden="false" customHeight="true" outlineLevel="0" collapsed="false">
      <c r="A9" s="3" t="s">
        <v>82</v>
      </c>
      <c r="B9" s="7" t="n">
        <f aca="false">WACC!D26</f>
        <v>0.105</v>
      </c>
      <c r="C9" s="4" t="s">
        <v>83</v>
      </c>
      <c r="D9" s="3"/>
      <c r="E9" s="3"/>
      <c r="F9" s="3"/>
      <c r="G9" s="3"/>
      <c r="H9" s="3"/>
      <c r="I9" s="3"/>
      <c r="J9" s="3"/>
      <c r="K9" s="3"/>
      <c r="L9" s="3"/>
    </row>
    <row r="10" customFormat="false" ht="15" hidden="false" customHeight="true" outlineLevel="0" collapsed="false">
      <c r="A10" s="3" t="s">
        <v>84</v>
      </c>
      <c r="B10" s="18" t="n">
        <v>0.035</v>
      </c>
      <c r="C10" s="4" t="s">
        <v>33</v>
      </c>
      <c r="D10" s="3"/>
      <c r="E10" s="3"/>
      <c r="F10" s="3"/>
      <c r="G10" s="3"/>
      <c r="H10" s="3"/>
      <c r="I10" s="3"/>
      <c r="J10" s="3"/>
      <c r="K10" s="3"/>
      <c r="L10" s="3"/>
    </row>
    <row r="11" customFormat="false" ht="15" hidden="false" customHeight="true" outlineLevel="0" collapsed="false">
      <c r="A11" s="3" t="s">
        <v>85</v>
      </c>
      <c r="B11" s="12" t="n">
        <v>0.15</v>
      </c>
      <c r="C11" s="4" t="s">
        <v>33</v>
      </c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5" hidden="false" customHeight="true" outlineLevel="0" collapsed="false">
      <c r="A12" s="3" t="s">
        <v>86</v>
      </c>
      <c r="B12" s="23" t="n">
        <v>34.3</v>
      </c>
      <c r="C12" s="4" t="s">
        <v>148</v>
      </c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true" outlineLevel="0" collapsed="false">
      <c r="A13" s="3" t="s">
        <v>88</v>
      </c>
      <c r="B13" s="24" t="n">
        <v>1</v>
      </c>
      <c r="C13" s="4" t="s">
        <v>89</v>
      </c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5" hidden="false" customHeight="true" outlineLevel="0" collapsed="false">
      <c r="A14" s="3" t="s">
        <v>90</v>
      </c>
      <c r="B14" s="11" t="n">
        <v>2</v>
      </c>
      <c r="C14" s="4" t="s">
        <v>91</v>
      </c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5" hidden="false" customHeight="true" outlineLevel="0" collapsed="false">
      <c r="A16" s="10" t="s">
        <v>92</v>
      </c>
      <c r="B16" s="25" t="s">
        <v>149</v>
      </c>
      <c r="C16" s="25" t="s">
        <v>150</v>
      </c>
      <c r="D16" s="25" t="s">
        <v>151</v>
      </c>
      <c r="E16" s="25" t="s">
        <v>152</v>
      </c>
      <c r="F16" s="25" t="s">
        <v>153</v>
      </c>
      <c r="G16" s="25" t="s">
        <v>154</v>
      </c>
      <c r="H16" s="25" t="s">
        <v>155</v>
      </c>
      <c r="I16" s="25" t="s">
        <v>156</v>
      </c>
      <c r="J16" s="25" t="s">
        <v>157</v>
      </c>
      <c r="K16" s="25" t="s">
        <v>158</v>
      </c>
      <c r="L16" s="10" t="s">
        <v>103</v>
      </c>
    </row>
    <row r="17" customFormat="false" ht="15" hidden="false" customHeight="true" outlineLevel="0" collapsed="false">
      <c r="A17" s="3" t="s">
        <v>104</v>
      </c>
      <c r="B17" s="21" t="n">
        <v>0.5</v>
      </c>
      <c r="C17" s="3" t="n">
        <f aca="false">B17+1</f>
        <v>1.5</v>
      </c>
      <c r="D17" s="3" t="n">
        <f aca="false">C17+1</f>
        <v>2.5</v>
      </c>
      <c r="E17" s="3" t="n">
        <f aca="false">D17+1</f>
        <v>3.5</v>
      </c>
      <c r="F17" s="3" t="n">
        <f aca="false">E17+1</f>
        <v>4.5</v>
      </c>
      <c r="G17" s="3" t="n">
        <f aca="false">F17+1</f>
        <v>5.5</v>
      </c>
      <c r="H17" s="3" t="n">
        <f aca="false">G17+1</f>
        <v>6.5</v>
      </c>
      <c r="I17" s="3" t="n">
        <f aca="false">H17+1</f>
        <v>7.5</v>
      </c>
      <c r="J17" s="3" t="n">
        <f aca="false">I17+1</f>
        <v>8.5</v>
      </c>
      <c r="K17" s="3" t="n">
        <f aca="false">J17+1</f>
        <v>9.5</v>
      </c>
      <c r="L17" s="3"/>
    </row>
    <row r="18" customFormat="false" ht="15" hidden="false" customHeight="true" outlineLevel="0" collapsed="false">
      <c r="A18" s="3" t="s">
        <v>105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2</v>
      </c>
      <c r="I18" s="3" t="n">
        <v>3</v>
      </c>
      <c r="J18" s="3" t="n">
        <v>4</v>
      </c>
      <c r="K18" s="3" t="n">
        <v>5</v>
      </c>
      <c r="L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5" hidden="false" customHeight="true" outlineLevel="0" collapsed="false">
      <c r="A20" s="13" t="s">
        <v>159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customFormat="false" ht="15" hidden="false" customHeight="true" outlineLevel="0" collapsed="false">
      <c r="A21" s="3" t="s">
        <v>107</v>
      </c>
      <c r="B21" s="23" t="n">
        <v>37</v>
      </c>
      <c r="C21" s="23" t="n">
        <v>32</v>
      </c>
      <c r="D21" s="23" t="n">
        <v>34</v>
      </c>
      <c r="E21" s="23" t="n">
        <v>38</v>
      </c>
      <c r="F21" s="23" t="n">
        <v>41</v>
      </c>
      <c r="G21" s="27" t="n">
        <f aca="false">F21*(1+$F22+($B$10-$F22)*G$18/5)</f>
        <v>43.8764736842105</v>
      </c>
      <c r="H21" s="27" t="n">
        <f aca="false">G21*(1+$F22+($B$10-$F22)*H$18/5)</f>
        <v>46.5691035955679</v>
      </c>
      <c r="I21" s="27" t="n">
        <f aca="false">H21*(1+$F22+($B$10-$F22)*I$18/5)</f>
        <v>49.0176580425138</v>
      </c>
      <c r="J21" s="27" t="n">
        <f aca="false">I21*(1+$F22+($B$10-$F22)*J$18/5)</f>
        <v>51.1641154894281</v>
      </c>
      <c r="K21" s="27" t="n">
        <f aca="false">J21*(1+$F22+($B$10-$F22)*K$18/5)</f>
        <v>52.9548595315581</v>
      </c>
      <c r="L21" s="27" t="n">
        <f aca="false">K21*(1+$B$10)</f>
        <v>54.8082796151626</v>
      </c>
    </row>
    <row r="22" customFormat="false" ht="15" hidden="false" customHeight="true" outlineLevel="0" collapsed="false">
      <c r="A22" s="3" t="s">
        <v>108</v>
      </c>
      <c r="B22" s="8" t="n">
        <f aca="false">B21/$B$12-1</f>
        <v>0.0787172011661808</v>
      </c>
      <c r="C22" s="8" t="n">
        <f aca="false">C21/B21-1</f>
        <v>-0.135135135135135</v>
      </c>
      <c r="D22" s="8" t="n">
        <f aca="false">D21/C21-1</f>
        <v>0.0625</v>
      </c>
      <c r="E22" s="8" t="n">
        <f aca="false">E21/D21-1</f>
        <v>0.117647058823529</v>
      </c>
      <c r="F22" s="8" t="n">
        <f aca="false">F21/E21-1</f>
        <v>0.0789473684210527</v>
      </c>
      <c r="G22" s="8" t="n">
        <f aca="false">G21/F21-1</f>
        <v>0.0701578947368422</v>
      </c>
      <c r="H22" s="8" t="n">
        <f aca="false">H21/G21-1</f>
        <v>0.0613684210526315</v>
      </c>
      <c r="I22" s="8" t="n">
        <f aca="false">I21/H21-1</f>
        <v>0.0525789473684211</v>
      </c>
      <c r="J22" s="8" t="n">
        <f aca="false">J21/I21-1</f>
        <v>0.0437894736842106</v>
      </c>
      <c r="K22" s="8" t="n">
        <f aca="false">K21/J21-1</f>
        <v>0.0349999999999999</v>
      </c>
      <c r="L22" s="8" t="n">
        <f aca="false">L21/K21-1</f>
        <v>0.0349999999999999</v>
      </c>
    </row>
    <row r="23" customFormat="false" ht="15" hidden="false" customHeight="true" outlineLevel="0" collapsed="false">
      <c r="A23" s="3" t="s">
        <v>109</v>
      </c>
      <c r="B23" s="12" t="n">
        <v>0.32</v>
      </c>
      <c r="C23" s="12" t="n">
        <v>0.27</v>
      </c>
      <c r="D23" s="12" t="n">
        <v>0.28</v>
      </c>
      <c r="E23" s="12" t="n">
        <v>0.3</v>
      </c>
      <c r="F23" s="12" t="n">
        <v>0.3</v>
      </c>
      <c r="G23" s="8" t="n">
        <f aca="false">$F23+($L23-$F23)*G$18/5</f>
        <v>0.296</v>
      </c>
      <c r="H23" s="8" t="n">
        <f aca="false">$F23+($L23-$F23)*H$18/5</f>
        <v>0.292</v>
      </c>
      <c r="I23" s="8" t="n">
        <f aca="false">$F23+($L23-$F23)*I$18/5</f>
        <v>0.288</v>
      </c>
      <c r="J23" s="8" t="n">
        <f aca="false">$F23+($L23-$F23)*J$18/5</f>
        <v>0.284</v>
      </c>
      <c r="K23" s="8" t="n">
        <f aca="false">$F23+($L23-$F23)*K$18/5</f>
        <v>0.28</v>
      </c>
      <c r="L23" s="18" t="n">
        <v>0.28</v>
      </c>
    </row>
    <row r="24" customFormat="false" ht="15" hidden="false" customHeight="true" outlineLevel="0" collapsed="false">
      <c r="A24" s="3" t="s">
        <v>110</v>
      </c>
      <c r="B24" s="27" t="n">
        <f aca="false">B21*B23</f>
        <v>11.84</v>
      </c>
      <c r="C24" s="27" t="n">
        <f aca="false">C21*C23</f>
        <v>8.64</v>
      </c>
      <c r="D24" s="27" t="n">
        <f aca="false">D21*D23</f>
        <v>9.52</v>
      </c>
      <c r="E24" s="27" t="n">
        <f aca="false">E21*E23</f>
        <v>11.4</v>
      </c>
      <c r="F24" s="27" t="n">
        <f aca="false">F21*F23</f>
        <v>12.3</v>
      </c>
      <c r="G24" s="27" t="n">
        <f aca="false">G21*G23</f>
        <v>12.9874362105263</v>
      </c>
      <c r="H24" s="27" t="n">
        <f aca="false">H21*H23</f>
        <v>13.5981782499058</v>
      </c>
      <c r="I24" s="27" t="n">
        <f aca="false">I21*I23</f>
        <v>14.117085516244</v>
      </c>
      <c r="J24" s="27" t="n">
        <f aca="false">J21*J23</f>
        <v>14.5306087989976</v>
      </c>
      <c r="K24" s="27" t="n">
        <f aca="false">K21*K23</f>
        <v>14.8273606688363</v>
      </c>
      <c r="L24" s="27" t="n">
        <f aca="false">L21*L23</f>
        <v>15.3463182922455</v>
      </c>
    </row>
    <row r="25" customFormat="false" ht="15" hidden="false" customHeight="true" outlineLevel="0" collapsed="false">
      <c r="A25" s="3" t="s">
        <v>111</v>
      </c>
      <c r="B25" s="27" t="n">
        <f aca="false">B24*(1-$B$8)</f>
        <v>10.3008</v>
      </c>
      <c r="C25" s="27" t="n">
        <f aca="false">C24*(1-$B$8)</f>
        <v>7.5168</v>
      </c>
      <c r="D25" s="27" t="n">
        <f aca="false">D24*(1-$B$8)</f>
        <v>8.2824</v>
      </c>
      <c r="E25" s="27" t="n">
        <f aca="false">E24*(1-$B$8)</f>
        <v>9.918</v>
      </c>
      <c r="F25" s="27" t="n">
        <f aca="false">F24*(1-$B$8)</f>
        <v>10.701</v>
      </c>
      <c r="G25" s="27" t="n">
        <f aca="false">G24*(1-$B$8)</f>
        <v>11.2990695031579</v>
      </c>
      <c r="H25" s="27" t="n">
        <f aca="false">H24*(1-$B$8)</f>
        <v>11.8304150774181</v>
      </c>
      <c r="I25" s="27" t="n">
        <f aca="false">I24*(1-$B$8)</f>
        <v>12.2818643991323</v>
      </c>
      <c r="J25" s="27" t="n">
        <f aca="false">J24*(1-$B$8)</f>
        <v>12.6416296551279</v>
      </c>
      <c r="K25" s="27" t="n">
        <f aca="false">K24*(1-$B$8)</f>
        <v>12.8998037818875</v>
      </c>
      <c r="L25" s="27" t="n">
        <f aca="false">L24*(1-$B$8)</f>
        <v>13.3512969142536</v>
      </c>
    </row>
    <row r="26" customFormat="false" ht="15" hidden="false" customHeight="true" outlineLevel="0" collapsed="false">
      <c r="A26" s="3" t="s">
        <v>112</v>
      </c>
      <c r="B26" s="12" t="n">
        <v>0.05</v>
      </c>
      <c r="C26" s="12" t="n">
        <v>0.05</v>
      </c>
      <c r="D26" s="12" t="n">
        <v>0.05</v>
      </c>
      <c r="E26" s="12" t="n">
        <v>0.05</v>
      </c>
      <c r="F26" s="12" t="n">
        <v>0.05</v>
      </c>
      <c r="G26" s="8" t="n">
        <f aca="false">$F26+($L26-$F26)*G$18/5</f>
        <v>0.048</v>
      </c>
      <c r="H26" s="8" t="n">
        <f aca="false">$F26+($L26-$F26)*H$18/5</f>
        <v>0.046</v>
      </c>
      <c r="I26" s="8" t="n">
        <f aca="false">$F26+($L26-$F26)*I$18/5</f>
        <v>0.044</v>
      </c>
      <c r="J26" s="8" t="n">
        <f aca="false">$F26+($L26-$F26)*J$18/5</f>
        <v>0.042</v>
      </c>
      <c r="K26" s="8" t="n">
        <f aca="false">$F26+($L26-$F26)*K$18/5</f>
        <v>0.04</v>
      </c>
      <c r="L26" s="12" t="n">
        <v>0.04</v>
      </c>
    </row>
    <row r="27" customFormat="false" ht="15" hidden="false" customHeight="true" outlineLevel="0" collapsed="false">
      <c r="A27" s="3" t="s">
        <v>113</v>
      </c>
      <c r="B27" s="27" t="n">
        <f aca="false">B21*B26</f>
        <v>1.85</v>
      </c>
      <c r="C27" s="27" t="n">
        <f aca="false">C21*C26</f>
        <v>1.6</v>
      </c>
      <c r="D27" s="27" t="n">
        <f aca="false">D21*D26</f>
        <v>1.7</v>
      </c>
      <c r="E27" s="27" t="n">
        <f aca="false">E21*E26</f>
        <v>1.9</v>
      </c>
      <c r="F27" s="27" t="n">
        <f aca="false">F21*F26</f>
        <v>2.05</v>
      </c>
      <c r="G27" s="27" t="n">
        <f aca="false">G21*G26</f>
        <v>2.10607073684211</v>
      </c>
      <c r="H27" s="27" t="n">
        <f aca="false">H21*H26</f>
        <v>2.14217876539612</v>
      </c>
      <c r="I27" s="27" t="n">
        <f aca="false">I21*I26</f>
        <v>2.15677695387061</v>
      </c>
      <c r="J27" s="27" t="n">
        <f aca="false">J21*J26</f>
        <v>2.14889285055598</v>
      </c>
      <c r="K27" s="27" t="n">
        <f aca="false">K21*K26</f>
        <v>2.11819438126232</v>
      </c>
      <c r="L27" s="27" t="n">
        <f aca="false">L21*L26</f>
        <v>2.1923311846065</v>
      </c>
    </row>
    <row r="28" customFormat="false" ht="15" hidden="false" customHeight="true" outlineLevel="0" collapsed="false">
      <c r="A28" s="3" t="s">
        <v>114</v>
      </c>
      <c r="B28" s="27" t="n">
        <f aca="false">$B$11*(B21-$B$12)</f>
        <v>0.405</v>
      </c>
      <c r="C28" s="27" t="n">
        <f aca="false">$B$11*(C21-B21)</f>
        <v>-0.75</v>
      </c>
      <c r="D28" s="27" t="n">
        <f aca="false">$B$11*(D21-C21)</f>
        <v>0.3</v>
      </c>
      <c r="E28" s="27" t="n">
        <f aca="false">$B$11*(E21-D21)</f>
        <v>0.6</v>
      </c>
      <c r="F28" s="27" t="n">
        <f aca="false">$B$11*(F21-E21)</f>
        <v>0.45</v>
      </c>
      <c r="G28" s="27" t="n">
        <f aca="false">$B$11*(G21-F21)</f>
        <v>0.43147105263158</v>
      </c>
      <c r="H28" s="27" t="n">
        <f aca="false">$B$11*(H21-G21)</f>
        <v>0.4038944867036</v>
      </c>
      <c r="I28" s="27" t="n">
        <f aca="false">$B$11*(I21-H21)</f>
        <v>0.367283167041887</v>
      </c>
      <c r="J28" s="27" t="n">
        <f aca="false">$B$11*(J21-I21)</f>
        <v>0.321968617037144</v>
      </c>
      <c r="K28" s="27" t="n">
        <f aca="false">$B$11*(K21-J21)</f>
        <v>0.268611606319497</v>
      </c>
      <c r="L28" s="27" t="n">
        <f aca="false">$B$11*(L21-K21)</f>
        <v>0.278013012540679</v>
      </c>
    </row>
    <row r="29" customFormat="false" ht="15" hidden="false" customHeight="true" outlineLevel="0" collapsed="false">
      <c r="A29" s="3" t="s">
        <v>115</v>
      </c>
      <c r="B29" s="27" t="n">
        <f aca="false">B25-B27-B28</f>
        <v>8.0458</v>
      </c>
      <c r="C29" s="27" t="n">
        <f aca="false">C25-C27-C28</f>
        <v>6.6668</v>
      </c>
      <c r="D29" s="27" t="n">
        <f aca="false">D25-D27-D28</f>
        <v>6.2824</v>
      </c>
      <c r="E29" s="27" t="n">
        <f aca="false">E25-E27-E28</f>
        <v>7.418</v>
      </c>
      <c r="F29" s="27" t="n">
        <f aca="false">F25-F27-F28</f>
        <v>8.201</v>
      </c>
      <c r="G29" s="27" t="n">
        <f aca="false">G25-G27-G28</f>
        <v>8.76152771368421</v>
      </c>
      <c r="H29" s="27" t="n">
        <f aca="false">H25-H27-H28</f>
        <v>9.28434182531834</v>
      </c>
      <c r="I29" s="27" t="n">
        <f aca="false">I25-I27-I28</f>
        <v>9.75780427821976</v>
      </c>
      <c r="J29" s="27" t="n">
        <f aca="false">J25-J27-J28</f>
        <v>10.1707681875348</v>
      </c>
      <c r="K29" s="27" t="n">
        <f aca="false">K25-K27-K28</f>
        <v>10.5129977943057</v>
      </c>
      <c r="L29" s="27" t="n">
        <f aca="false">L25-L27-L28</f>
        <v>10.8809527171064</v>
      </c>
    </row>
    <row r="30" customFormat="false" ht="15" hidden="false" customHeight="true" outlineLevel="0" collapsed="false">
      <c r="A30" s="3" t="s">
        <v>116</v>
      </c>
      <c r="B30" s="28" t="n">
        <f aca="false">1/(1+$B$9)^B$17</f>
        <v>0.951302988308988</v>
      </c>
      <c r="C30" s="28" t="n">
        <f aca="false">1/(1+$B$9)^C$17</f>
        <v>0.860907681727591</v>
      </c>
      <c r="D30" s="28" t="n">
        <f aca="false">1/(1+$B$9)^D$17</f>
        <v>0.77910197441411</v>
      </c>
      <c r="E30" s="28" t="n">
        <f aca="false">1/(1+$B$9)^E$17</f>
        <v>0.705069660103267</v>
      </c>
      <c r="F30" s="28" t="n">
        <f aca="false">1/(1+$B$9)^F$17</f>
        <v>0.638072090591192</v>
      </c>
      <c r="G30" s="28" t="n">
        <f aca="false">1/(1+$B$9)^G$17</f>
        <v>0.577440805964879</v>
      </c>
      <c r="H30" s="28" t="n">
        <f aca="false">1/(1+$B$9)^H$17</f>
        <v>0.522570865126588</v>
      </c>
      <c r="I30" s="28" t="n">
        <f aca="false">1/(1+$B$9)^I$17</f>
        <v>0.47291481006931</v>
      </c>
      <c r="J30" s="28" t="n">
        <f aca="false">1/(1+$B$9)^J$17</f>
        <v>0.427977203682634</v>
      </c>
      <c r="K30" s="28" t="n">
        <f aca="false">1/(1+$B$9)^K$17</f>
        <v>0.387309686590619</v>
      </c>
      <c r="L30" s="3"/>
    </row>
    <row r="31" customFormat="false" ht="15" hidden="false" customHeight="true" outlineLevel="0" collapsed="false">
      <c r="A31" s="3" t="s">
        <v>117</v>
      </c>
      <c r="B31" s="27" t="n">
        <f aca="false">B29*B30</f>
        <v>7.65399358333646</v>
      </c>
      <c r="C31" s="27" t="n">
        <f aca="false">C29*C30</f>
        <v>5.73949933254151</v>
      </c>
      <c r="D31" s="27" t="n">
        <f aca="false">D29*D30</f>
        <v>4.8946302440592</v>
      </c>
      <c r="E31" s="27" t="n">
        <f aca="false">E29*E30</f>
        <v>5.23020673864603</v>
      </c>
      <c r="F31" s="27" t="n">
        <f aca="false">F29*F30</f>
        <v>5.23282921493836</v>
      </c>
      <c r="G31" s="27" t="n">
        <f aca="false">G29*G30</f>
        <v>5.05926362447344</v>
      </c>
      <c r="H31" s="27" t="n">
        <f aca="false">H29*H30</f>
        <v>4.85172653978757</v>
      </c>
      <c r="I31" s="27" t="n">
        <f aca="false">I29*I30</f>
        <v>4.6146101569278</v>
      </c>
      <c r="J31" s="27" t="n">
        <f aca="false">J29*J30</f>
        <v>4.35285692820542</v>
      </c>
      <c r="K31" s="27" t="n">
        <f aca="false">K29*K30</f>
        <v>4.07178588084041</v>
      </c>
      <c r="L31" s="27"/>
    </row>
    <row r="32" customFormat="false" ht="15" hidden="false" customHeight="true" outlineLevel="0" collapsed="false">
      <c r="A32" s="3" t="s">
        <v>118</v>
      </c>
      <c r="B32" s="27" t="n">
        <f aca="false">L29/($B$9-$B$10)</f>
        <v>155.442181672949</v>
      </c>
      <c r="C32" s="3"/>
      <c r="D32" s="3"/>
      <c r="E32" s="3"/>
      <c r="F32" s="3"/>
      <c r="G32" s="3"/>
      <c r="H32" s="3"/>
      <c r="I32" s="3"/>
      <c r="J32" s="3"/>
      <c r="K32" s="3"/>
      <c r="L32" s="3"/>
    </row>
    <row r="33" customFormat="false" ht="15" hidden="false" customHeight="true" outlineLevel="0" collapsed="false">
      <c r="A33" s="3" t="s">
        <v>119</v>
      </c>
      <c r="B33" s="27" t="n">
        <f aca="false">B32/(1+$B$9)^$K$17</f>
        <v>60.2042626667118</v>
      </c>
      <c r="C33" s="3"/>
      <c r="D33" s="3"/>
      <c r="E33" s="3"/>
      <c r="F33" s="3"/>
      <c r="G33" s="3"/>
      <c r="H33" s="3"/>
      <c r="I33" s="3"/>
      <c r="J33" s="3"/>
      <c r="K33" s="3"/>
      <c r="L33" s="3"/>
    </row>
    <row r="34" customFormat="false" ht="15" hidden="false" customHeight="true" outlineLevel="0" collapsed="false">
      <c r="A34" s="3" t="s">
        <v>120</v>
      </c>
      <c r="B34" s="27" t="n">
        <f aca="false">SUM(B31:K31)+B33+$B$7</f>
        <v>113.785664910468</v>
      </c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5" hidden="false" customHeight="true" outlineLevel="0" collapsed="false">
      <c r="A35" s="3" t="s">
        <v>121</v>
      </c>
      <c r="B35" s="29" t="n">
        <f aca="false">B34/$B$6*$B$13</f>
        <v>143.379114050489</v>
      </c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true" outlineLevel="0" collapsed="false">
      <c r="A36" s="3" t="s">
        <v>122</v>
      </c>
      <c r="B36" s="8" t="n">
        <f aca="false">B35/$B$4-1</f>
        <v>-0.650644199579716</v>
      </c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" hidden="false" customHeight="true" outlineLevel="0" collapsed="false">
      <c r="A38" s="13" t="s">
        <v>160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</row>
    <row r="39" customFormat="false" ht="15" hidden="false" customHeight="true" outlineLevel="0" collapsed="false">
      <c r="A39" s="3" t="s">
        <v>107</v>
      </c>
      <c r="B39" s="23" t="n">
        <v>41</v>
      </c>
      <c r="C39" s="23" t="n">
        <v>46</v>
      </c>
      <c r="D39" s="23" t="n">
        <v>45</v>
      </c>
      <c r="E39" s="23" t="n">
        <v>50</v>
      </c>
      <c r="F39" s="23" t="n">
        <v>55</v>
      </c>
      <c r="G39" s="27" t="n">
        <f aca="false">F39*(1+$F40+($B$10-$F40)*G$18/5)</f>
        <v>59.785</v>
      </c>
      <c r="H39" s="27" t="n">
        <f aca="false">G39*(1+$F40+($B$10-$F40)*H$18/5)</f>
        <v>64.20909</v>
      </c>
      <c r="I39" s="27" t="n">
        <f aca="false">H39*(1+$F40+($B$10-$F40)*I$18/5)</f>
        <v>68.12584449</v>
      </c>
      <c r="J39" s="27" t="n">
        <f aca="false">I39*(1+$F40+($B$10-$F40)*J$18/5)</f>
        <v>71.39588502552</v>
      </c>
      <c r="K39" s="27" t="n">
        <f aca="false">J39*(1+$F40+($B$10-$F40)*K$18/5)</f>
        <v>73.8947410014132</v>
      </c>
      <c r="L39" s="27" t="n">
        <f aca="false">K39*(1+$B$10)</f>
        <v>76.4810569364627</v>
      </c>
    </row>
    <row r="40" customFormat="false" ht="15" hidden="false" customHeight="true" outlineLevel="0" collapsed="false">
      <c r="A40" s="3" t="s">
        <v>108</v>
      </c>
      <c r="B40" s="8" t="n">
        <f aca="false">B39/$B$12-1</f>
        <v>0.19533527696793</v>
      </c>
      <c r="C40" s="8" t="n">
        <f aca="false">C39/B39-1</f>
        <v>0.121951219512195</v>
      </c>
      <c r="D40" s="8" t="n">
        <f aca="false">D39/C39-1</f>
        <v>-0.0217391304347826</v>
      </c>
      <c r="E40" s="8" t="n">
        <f aca="false">E39/D39-1</f>
        <v>0.111111111111111</v>
      </c>
      <c r="F40" s="8" t="n">
        <f aca="false">F39/E39-1</f>
        <v>0.1</v>
      </c>
      <c r="G40" s="8" t="n">
        <f aca="false">G39/F39-1</f>
        <v>0.087</v>
      </c>
      <c r="H40" s="8" t="n">
        <f aca="false">H39/G39-1</f>
        <v>0.0740000000000001</v>
      </c>
      <c r="I40" s="8" t="n">
        <f aca="false">I39/H39-1</f>
        <v>0.0609999999999999</v>
      </c>
      <c r="J40" s="8" t="n">
        <f aca="false">J39/I39-1</f>
        <v>0.048</v>
      </c>
      <c r="K40" s="8" t="n">
        <f aca="false">K39/J39-1</f>
        <v>0.0349999999999999</v>
      </c>
      <c r="L40" s="8" t="n">
        <f aca="false">L39/K39-1</f>
        <v>0.0349999999999999</v>
      </c>
    </row>
    <row r="41" customFormat="false" ht="15" hidden="false" customHeight="true" outlineLevel="0" collapsed="false">
      <c r="A41" s="3" t="s">
        <v>109</v>
      </c>
      <c r="B41" s="12" t="n">
        <v>0.34</v>
      </c>
      <c r="C41" s="12" t="n">
        <v>0.35</v>
      </c>
      <c r="D41" s="12" t="n">
        <v>0.33</v>
      </c>
      <c r="E41" s="12" t="n">
        <v>0.34</v>
      </c>
      <c r="F41" s="12" t="n">
        <v>0.34</v>
      </c>
      <c r="G41" s="8" t="n">
        <f aca="false">$F41+($L41-$F41)*G$18/5</f>
        <v>0.336</v>
      </c>
      <c r="H41" s="8" t="n">
        <f aca="false">$F41+($L41-$F41)*H$18/5</f>
        <v>0.332</v>
      </c>
      <c r="I41" s="8" t="n">
        <f aca="false">$F41+($L41-$F41)*I$18/5</f>
        <v>0.328</v>
      </c>
      <c r="J41" s="8" t="n">
        <f aca="false">$F41+($L41-$F41)*J$18/5</f>
        <v>0.324</v>
      </c>
      <c r="K41" s="8" t="n">
        <f aca="false">$F41+($L41-$F41)*K$18/5</f>
        <v>0.32</v>
      </c>
      <c r="L41" s="18" t="n">
        <v>0.32</v>
      </c>
    </row>
    <row r="42" customFormat="false" ht="15" hidden="false" customHeight="true" outlineLevel="0" collapsed="false">
      <c r="A42" s="3" t="s">
        <v>110</v>
      </c>
      <c r="B42" s="27" t="n">
        <f aca="false">B39*B41</f>
        <v>13.94</v>
      </c>
      <c r="C42" s="27" t="n">
        <f aca="false">C39*C41</f>
        <v>16.1</v>
      </c>
      <c r="D42" s="27" t="n">
        <f aca="false">D39*D41</f>
        <v>14.85</v>
      </c>
      <c r="E42" s="27" t="n">
        <f aca="false">E39*E41</f>
        <v>17</v>
      </c>
      <c r="F42" s="27" t="n">
        <f aca="false">F39*F41</f>
        <v>18.7</v>
      </c>
      <c r="G42" s="27" t="n">
        <f aca="false">G39*G41</f>
        <v>20.08776</v>
      </c>
      <c r="H42" s="27" t="n">
        <f aca="false">H39*H41</f>
        <v>21.31741788</v>
      </c>
      <c r="I42" s="27" t="n">
        <f aca="false">I39*I41</f>
        <v>22.34527699272</v>
      </c>
      <c r="J42" s="27" t="n">
        <f aca="false">J39*J41</f>
        <v>23.1322667482685</v>
      </c>
      <c r="K42" s="27" t="n">
        <f aca="false">K39*K41</f>
        <v>23.6463171204522</v>
      </c>
      <c r="L42" s="27" t="n">
        <f aca="false">L39*L41</f>
        <v>24.4739382196681</v>
      </c>
    </row>
    <row r="43" customFormat="false" ht="15" hidden="false" customHeight="true" outlineLevel="0" collapsed="false">
      <c r="A43" s="3" t="s">
        <v>111</v>
      </c>
      <c r="B43" s="27" t="n">
        <f aca="false">B42*(1-$B$8)</f>
        <v>12.1278</v>
      </c>
      <c r="C43" s="27" t="n">
        <f aca="false">C42*(1-$B$8)</f>
        <v>14.007</v>
      </c>
      <c r="D43" s="27" t="n">
        <f aca="false">D42*(1-$B$8)</f>
        <v>12.9195</v>
      </c>
      <c r="E43" s="27" t="n">
        <f aca="false">E42*(1-$B$8)</f>
        <v>14.79</v>
      </c>
      <c r="F43" s="27" t="n">
        <f aca="false">F42*(1-$B$8)</f>
        <v>16.269</v>
      </c>
      <c r="G43" s="27" t="n">
        <f aca="false">G42*(1-$B$8)</f>
        <v>17.4763512</v>
      </c>
      <c r="H43" s="27" t="n">
        <f aca="false">H42*(1-$B$8)</f>
        <v>18.5461535556</v>
      </c>
      <c r="I43" s="27" t="n">
        <f aca="false">I42*(1-$B$8)</f>
        <v>19.4403909836664</v>
      </c>
      <c r="J43" s="27" t="n">
        <f aca="false">J42*(1-$B$8)</f>
        <v>20.1250720709936</v>
      </c>
      <c r="K43" s="27" t="n">
        <f aca="false">K42*(1-$B$8)</f>
        <v>20.5722958947934</v>
      </c>
      <c r="L43" s="27" t="n">
        <f aca="false">L42*(1-$B$8)</f>
        <v>21.2923262511112</v>
      </c>
    </row>
    <row r="44" customFormat="false" ht="15" hidden="false" customHeight="true" outlineLevel="0" collapsed="false">
      <c r="A44" s="3" t="s">
        <v>112</v>
      </c>
      <c r="B44" s="12" t="n">
        <v>0.05</v>
      </c>
      <c r="C44" s="12" t="n">
        <v>0.05</v>
      </c>
      <c r="D44" s="12" t="n">
        <v>0.05</v>
      </c>
      <c r="E44" s="12" t="n">
        <v>0.05</v>
      </c>
      <c r="F44" s="12" t="n">
        <v>0.05</v>
      </c>
      <c r="G44" s="8" t="n">
        <f aca="false">$F44+($L44-$F44)*G$18/5</f>
        <v>0.048</v>
      </c>
      <c r="H44" s="8" t="n">
        <f aca="false">$F44+($L44-$F44)*H$18/5</f>
        <v>0.046</v>
      </c>
      <c r="I44" s="8" t="n">
        <f aca="false">$F44+($L44-$F44)*I$18/5</f>
        <v>0.044</v>
      </c>
      <c r="J44" s="8" t="n">
        <f aca="false">$F44+($L44-$F44)*J$18/5</f>
        <v>0.042</v>
      </c>
      <c r="K44" s="8" t="n">
        <f aca="false">$F44+($L44-$F44)*K$18/5</f>
        <v>0.04</v>
      </c>
      <c r="L44" s="12" t="n">
        <v>0.04</v>
      </c>
    </row>
    <row r="45" customFormat="false" ht="15" hidden="false" customHeight="true" outlineLevel="0" collapsed="false">
      <c r="A45" s="3" t="s">
        <v>113</v>
      </c>
      <c r="B45" s="27" t="n">
        <f aca="false">B39*B44</f>
        <v>2.05</v>
      </c>
      <c r="C45" s="27" t="n">
        <f aca="false">C39*C44</f>
        <v>2.3</v>
      </c>
      <c r="D45" s="27" t="n">
        <f aca="false">D39*D44</f>
        <v>2.25</v>
      </c>
      <c r="E45" s="27" t="n">
        <f aca="false">E39*E44</f>
        <v>2.5</v>
      </c>
      <c r="F45" s="27" t="n">
        <f aca="false">F39*F44</f>
        <v>2.75</v>
      </c>
      <c r="G45" s="27" t="n">
        <f aca="false">G39*G44</f>
        <v>2.86968</v>
      </c>
      <c r="H45" s="27" t="n">
        <f aca="false">H39*H44</f>
        <v>2.95361814</v>
      </c>
      <c r="I45" s="27" t="n">
        <f aca="false">I39*I44</f>
        <v>2.99753715756</v>
      </c>
      <c r="J45" s="27" t="n">
        <f aca="false">J39*J44</f>
        <v>2.99862717107184</v>
      </c>
      <c r="K45" s="27" t="n">
        <f aca="false">K39*K44</f>
        <v>2.95578964005653</v>
      </c>
      <c r="L45" s="27" t="n">
        <f aca="false">L39*L44</f>
        <v>3.05924227745851</v>
      </c>
    </row>
    <row r="46" customFormat="false" ht="15" hidden="false" customHeight="true" outlineLevel="0" collapsed="false">
      <c r="A46" s="3" t="s">
        <v>114</v>
      </c>
      <c r="B46" s="27" t="n">
        <f aca="false">$B$11*(B39-$B$12)</f>
        <v>1.005</v>
      </c>
      <c r="C46" s="27" t="n">
        <f aca="false">$B$11*(C39-B39)</f>
        <v>0.75</v>
      </c>
      <c r="D46" s="27" t="n">
        <f aca="false">$B$11*(D39-C39)</f>
        <v>-0.15</v>
      </c>
      <c r="E46" s="27" t="n">
        <f aca="false">$B$11*(E39-D39)</f>
        <v>0.75</v>
      </c>
      <c r="F46" s="27" t="n">
        <f aca="false">$B$11*(F39-E39)</f>
        <v>0.75</v>
      </c>
      <c r="G46" s="27" t="n">
        <f aca="false">$B$11*(G39-F39)</f>
        <v>0.717749999999999</v>
      </c>
      <c r="H46" s="27" t="n">
        <f aca="false">$B$11*(H39-G39)</f>
        <v>0.663613500000001</v>
      </c>
      <c r="I46" s="27" t="n">
        <f aca="false">$B$11*(I39-H39)</f>
        <v>0.5875131735</v>
      </c>
      <c r="J46" s="27" t="n">
        <f aca="false">$B$11*(J39-I39)</f>
        <v>0.490506080327999</v>
      </c>
      <c r="K46" s="27" t="n">
        <f aca="false">$B$11*(K39-J39)</f>
        <v>0.374828396383979</v>
      </c>
      <c r="L46" s="27" t="n">
        <f aca="false">$B$11*(L39-K39)</f>
        <v>0.387947390257418</v>
      </c>
    </row>
    <row r="47" customFormat="false" ht="15" hidden="false" customHeight="true" outlineLevel="0" collapsed="false">
      <c r="A47" s="3" t="s">
        <v>115</v>
      </c>
      <c r="B47" s="27" t="n">
        <f aca="false">B43-B45-B46</f>
        <v>9.0728</v>
      </c>
      <c r="C47" s="27" t="n">
        <f aca="false">C43-C45-C46</f>
        <v>10.957</v>
      </c>
      <c r="D47" s="27" t="n">
        <f aca="false">D43-D45-D46</f>
        <v>10.8195</v>
      </c>
      <c r="E47" s="27" t="n">
        <f aca="false">E43-E45-E46</f>
        <v>11.54</v>
      </c>
      <c r="F47" s="27" t="n">
        <f aca="false">F43-F45-F46</f>
        <v>12.769</v>
      </c>
      <c r="G47" s="27" t="n">
        <f aca="false">G43-G45-G46</f>
        <v>13.8889212</v>
      </c>
      <c r="H47" s="27" t="n">
        <f aca="false">H43-H45-H46</f>
        <v>14.9289219156</v>
      </c>
      <c r="I47" s="27" t="n">
        <f aca="false">I43-I45-I46</f>
        <v>15.8553406526064</v>
      </c>
      <c r="J47" s="27" t="n">
        <f aca="false">J43-J45-J46</f>
        <v>16.6359388195937</v>
      </c>
      <c r="K47" s="27" t="n">
        <f aca="false">K43-K45-K46</f>
        <v>17.2416778583529</v>
      </c>
      <c r="L47" s="27" t="n">
        <f aca="false">L43-L45-L46</f>
        <v>17.8451365833953</v>
      </c>
    </row>
    <row r="48" customFormat="false" ht="15" hidden="false" customHeight="true" outlineLevel="0" collapsed="false">
      <c r="A48" s="3" t="s">
        <v>116</v>
      </c>
      <c r="B48" s="28" t="n">
        <f aca="false">1/(1+$B$9)^B$17</f>
        <v>0.951302988308988</v>
      </c>
      <c r="C48" s="28" t="n">
        <f aca="false">1/(1+$B$9)^C$17</f>
        <v>0.860907681727591</v>
      </c>
      <c r="D48" s="28" t="n">
        <f aca="false">1/(1+$B$9)^D$17</f>
        <v>0.77910197441411</v>
      </c>
      <c r="E48" s="28" t="n">
        <f aca="false">1/(1+$B$9)^E$17</f>
        <v>0.705069660103267</v>
      </c>
      <c r="F48" s="28" t="n">
        <f aca="false">1/(1+$B$9)^F$17</f>
        <v>0.638072090591192</v>
      </c>
      <c r="G48" s="28" t="n">
        <f aca="false">1/(1+$B$9)^G$17</f>
        <v>0.577440805964879</v>
      </c>
      <c r="H48" s="28" t="n">
        <f aca="false">1/(1+$B$9)^H$17</f>
        <v>0.522570865126588</v>
      </c>
      <c r="I48" s="28" t="n">
        <f aca="false">1/(1+$B$9)^I$17</f>
        <v>0.47291481006931</v>
      </c>
      <c r="J48" s="28" t="n">
        <f aca="false">1/(1+$B$9)^J$17</f>
        <v>0.427977203682634</v>
      </c>
      <c r="K48" s="28" t="n">
        <f aca="false">1/(1+$B$9)^K$17</f>
        <v>0.387309686590619</v>
      </c>
      <c r="L48" s="3"/>
    </row>
    <row r="49" customFormat="false" ht="15" hidden="false" customHeight="true" outlineLevel="0" collapsed="false">
      <c r="A49" s="3" t="s">
        <v>117</v>
      </c>
      <c r="B49" s="27" t="n">
        <f aca="false">B47*B48</f>
        <v>8.63098175232979</v>
      </c>
      <c r="C49" s="27" t="n">
        <f aca="false">C47*C48</f>
        <v>9.43296546868921</v>
      </c>
      <c r="D49" s="27" t="n">
        <f aca="false">D47*D48</f>
        <v>8.42949381217346</v>
      </c>
      <c r="E49" s="27" t="n">
        <f aca="false">E47*E48</f>
        <v>8.1365038775917</v>
      </c>
      <c r="F49" s="27" t="n">
        <f aca="false">F47*F48</f>
        <v>8.14754252475893</v>
      </c>
      <c r="G49" s="27" t="n">
        <f aca="false">G47*G48</f>
        <v>8.0200298517107</v>
      </c>
      <c r="H49" s="27" t="n">
        <f aca="false">H47*H48</f>
        <v>7.80141964084237</v>
      </c>
      <c r="I49" s="27" t="n">
        <f aca="false">I47*I48</f>
        <v>7.49822541331157</v>
      </c>
      <c r="J49" s="27" t="n">
        <f aca="false">J47*J48</f>
        <v>7.1198025766451</v>
      </c>
      <c r="K49" s="27" t="n">
        <f aca="false">K47*K48</f>
        <v>6.67786884761508</v>
      </c>
      <c r="L49" s="27"/>
    </row>
    <row r="50" customFormat="false" ht="15" hidden="false" customHeight="true" outlineLevel="0" collapsed="false">
      <c r="A50" s="3" t="s">
        <v>118</v>
      </c>
      <c r="B50" s="27" t="n">
        <f aca="false">L47/($B$9-$B$10)</f>
        <v>254.930522619933</v>
      </c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Format="false" ht="15" hidden="false" customHeight="true" outlineLevel="0" collapsed="false">
      <c r="A51" s="3" t="s">
        <v>119</v>
      </c>
      <c r="B51" s="27" t="n">
        <f aca="false">B50/(1+$B$9)^$K$17</f>
        <v>98.7370608183087</v>
      </c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Format="false" ht="15" hidden="false" customHeight="true" outlineLevel="0" collapsed="false">
      <c r="A52" s="3" t="s">
        <v>120</v>
      </c>
      <c r="B52" s="27" t="n">
        <f aca="false">SUM(B49:K49)+B51+$B$7</f>
        <v>180.511894583977</v>
      </c>
      <c r="C52" s="3"/>
      <c r="D52" s="3"/>
      <c r="E52" s="3"/>
      <c r="F52" s="3"/>
      <c r="G52" s="3"/>
      <c r="H52" s="3"/>
      <c r="I52" s="3"/>
      <c r="J52" s="3"/>
      <c r="K52" s="3"/>
      <c r="L52" s="3"/>
    </row>
    <row r="53" customFormat="false" ht="15" hidden="false" customHeight="true" outlineLevel="0" collapsed="false">
      <c r="A53" s="3" t="s">
        <v>121</v>
      </c>
      <c r="B53" s="29" t="n">
        <f aca="false">B52/$B$6*$B$13</f>
        <v>227.459544586664</v>
      </c>
      <c r="C53" s="3"/>
      <c r="D53" s="3"/>
      <c r="E53" s="3"/>
      <c r="F53" s="3"/>
      <c r="G53" s="3"/>
      <c r="H53" s="3"/>
      <c r="I53" s="3"/>
      <c r="J53" s="3"/>
      <c r="K53" s="3"/>
      <c r="L53" s="3"/>
    </row>
    <row r="54" customFormat="false" ht="15" hidden="false" customHeight="true" outlineLevel="0" collapsed="false">
      <c r="A54" s="3" t="s">
        <v>122</v>
      </c>
      <c r="B54" s="8" t="n">
        <f aca="false">B53/$B$4-1</f>
        <v>-0.445774848111245</v>
      </c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customFormat="false" ht="15" hidden="false" customHeight="true" outlineLevel="0" collapsed="false">
      <c r="A56" s="13" t="s">
        <v>161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 customFormat="false" ht="15" hidden="false" customHeight="true" outlineLevel="0" collapsed="false">
      <c r="A57" s="3" t="s">
        <v>107</v>
      </c>
      <c r="B57" s="23" t="n">
        <v>44</v>
      </c>
      <c r="C57" s="23" t="n">
        <v>52</v>
      </c>
      <c r="D57" s="23" t="n">
        <v>58</v>
      </c>
      <c r="E57" s="23" t="n">
        <v>64</v>
      </c>
      <c r="F57" s="23" t="n">
        <v>70</v>
      </c>
      <c r="G57" s="27" t="n">
        <f aca="false">F57*(1+$F58+($B$10-$F58)*G$18/5)</f>
        <v>75.74</v>
      </c>
      <c r="H57" s="27" t="n">
        <f aca="false">G57*(1+$F58+($B$10-$F58)*H$18/5)</f>
        <v>81.060735</v>
      </c>
      <c r="I57" s="27" t="n">
        <f aca="false">H57*(1+$F58+($B$10-$F58)*I$18/5)</f>
        <v>85.8027879975</v>
      </c>
      <c r="J57" s="27" t="n">
        <f aca="false">I57*(1+$F58+($B$10-$F58)*J$18/5)</f>
        <v>89.8140683363831</v>
      </c>
      <c r="K57" s="27" t="n">
        <f aca="false">J57*(1+$F58+($B$10-$F58)*K$18/5)</f>
        <v>92.9575607281565</v>
      </c>
      <c r="L57" s="27" t="n">
        <f aca="false">K57*(1+$B$10)</f>
        <v>96.211075353642</v>
      </c>
    </row>
    <row r="58" customFormat="false" ht="15" hidden="false" customHeight="true" outlineLevel="0" collapsed="false">
      <c r="A58" s="3" t="s">
        <v>108</v>
      </c>
      <c r="B58" s="8" t="n">
        <f aca="false">B57/$B$12-1</f>
        <v>0.282798833819242</v>
      </c>
      <c r="C58" s="8" t="n">
        <f aca="false">C57/B57-1</f>
        <v>0.181818181818182</v>
      </c>
      <c r="D58" s="8" t="n">
        <f aca="false">D57/C57-1</f>
        <v>0.115384615384615</v>
      </c>
      <c r="E58" s="8" t="n">
        <f aca="false">E57/D57-1</f>
        <v>0.103448275862069</v>
      </c>
      <c r="F58" s="8" t="n">
        <f aca="false">F57/E57-1</f>
        <v>0.09375</v>
      </c>
      <c r="G58" s="8" t="n">
        <f aca="false">G57/F57-1</f>
        <v>0.0820000000000001</v>
      </c>
      <c r="H58" s="8" t="n">
        <f aca="false">H57/G57-1</f>
        <v>0.0702499999999999</v>
      </c>
      <c r="I58" s="8" t="n">
        <f aca="false">I57/H57-1</f>
        <v>0.0585</v>
      </c>
      <c r="J58" s="8" t="n">
        <f aca="false">J57/I57-1</f>
        <v>0.0467500000000001</v>
      </c>
      <c r="K58" s="8" t="n">
        <f aca="false">K57/J57-1</f>
        <v>0.0349999999999999</v>
      </c>
      <c r="L58" s="8" t="n">
        <f aca="false">L57/K57-1</f>
        <v>0.0349999999999999</v>
      </c>
    </row>
    <row r="59" customFormat="false" ht="15" hidden="false" customHeight="true" outlineLevel="0" collapsed="false">
      <c r="A59" s="3" t="s">
        <v>109</v>
      </c>
      <c r="B59" s="12" t="n">
        <v>0.35</v>
      </c>
      <c r="C59" s="12" t="n">
        <v>0.36</v>
      </c>
      <c r="D59" s="12" t="n">
        <v>0.36</v>
      </c>
      <c r="E59" s="12" t="n">
        <v>0.36</v>
      </c>
      <c r="F59" s="12" t="n">
        <v>0.35</v>
      </c>
      <c r="G59" s="8" t="n">
        <f aca="false">$F59+($L59-$F59)*G$18/5</f>
        <v>0.346</v>
      </c>
      <c r="H59" s="8" t="n">
        <f aca="false">$F59+($L59-$F59)*H$18/5</f>
        <v>0.342</v>
      </c>
      <c r="I59" s="8" t="n">
        <f aca="false">$F59+($L59-$F59)*I$18/5</f>
        <v>0.338</v>
      </c>
      <c r="J59" s="8" t="n">
        <f aca="false">$F59+($L59-$F59)*J$18/5</f>
        <v>0.334</v>
      </c>
      <c r="K59" s="8" t="n">
        <f aca="false">$F59+($L59-$F59)*K$18/5</f>
        <v>0.33</v>
      </c>
      <c r="L59" s="18" t="n">
        <v>0.33</v>
      </c>
    </row>
    <row r="60" customFormat="false" ht="15" hidden="false" customHeight="true" outlineLevel="0" collapsed="false">
      <c r="A60" s="3" t="s">
        <v>110</v>
      </c>
      <c r="B60" s="27" t="n">
        <f aca="false">B57*B59</f>
        <v>15.4</v>
      </c>
      <c r="C60" s="27" t="n">
        <f aca="false">C57*C59</f>
        <v>18.72</v>
      </c>
      <c r="D60" s="27" t="n">
        <f aca="false">D57*D59</f>
        <v>20.88</v>
      </c>
      <c r="E60" s="27" t="n">
        <f aca="false">E57*E59</f>
        <v>23.04</v>
      </c>
      <c r="F60" s="27" t="n">
        <f aca="false">F57*F59</f>
        <v>24.5</v>
      </c>
      <c r="G60" s="27" t="n">
        <f aca="false">G57*G59</f>
        <v>26.20604</v>
      </c>
      <c r="H60" s="27" t="n">
        <f aca="false">H57*H59</f>
        <v>27.72277137</v>
      </c>
      <c r="I60" s="27" t="n">
        <f aca="false">I57*I59</f>
        <v>29.001342343155</v>
      </c>
      <c r="J60" s="27" t="n">
        <f aca="false">J57*J59</f>
        <v>29.997898824352</v>
      </c>
      <c r="K60" s="27" t="n">
        <f aca="false">K57*K59</f>
        <v>30.6759950402917</v>
      </c>
      <c r="L60" s="27" t="n">
        <f aca="false">L57*L59</f>
        <v>31.7496548667019</v>
      </c>
    </row>
    <row r="61" customFormat="false" ht="15" hidden="false" customHeight="true" outlineLevel="0" collapsed="false">
      <c r="A61" s="3" t="s">
        <v>111</v>
      </c>
      <c r="B61" s="27" t="n">
        <f aca="false">B60*(1-$B$8)</f>
        <v>13.398</v>
      </c>
      <c r="C61" s="27" t="n">
        <f aca="false">C60*(1-$B$8)</f>
        <v>16.2864</v>
      </c>
      <c r="D61" s="27" t="n">
        <f aca="false">D60*(1-$B$8)</f>
        <v>18.1656</v>
      </c>
      <c r="E61" s="27" t="n">
        <f aca="false">E60*(1-$B$8)</f>
        <v>20.0448</v>
      </c>
      <c r="F61" s="27" t="n">
        <f aca="false">F60*(1-$B$8)</f>
        <v>21.315</v>
      </c>
      <c r="G61" s="27" t="n">
        <f aca="false">G60*(1-$B$8)</f>
        <v>22.7992548</v>
      </c>
      <c r="H61" s="27" t="n">
        <f aca="false">H60*(1-$B$8)</f>
        <v>24.1188110919</v>
      </c>
      <c r="I61" s="27" t="n">
        <f aca="false">I60*(1-$B$8)</f>
        <v>25.2311678385449</v>
      </c>
      <c r="J61" s="27" t="n">
        <f aca="false">J60*(1-$B$8)</f>
        <v>26.0981719771862</v>
      </c>
      <c r="K61" s="27" t="n">
        <f aca="false">K60*(1-$B$8)</f>
        <v>26.6881156850537</v>
      </c>
      <c r="L61" s="27" t="n">
        <f aca="false">L60*(1-$B$8)</f>
        <v>27.6221997340306</v>
      </c>
    </row>
    <row r="62" customFormat="false" ht="15" hidden="false" customHeight="true" outlineLevel="0" collapsed="false">
      <c r="A62" s="3" t="s">
        <v>112</v>
      </c>
      <c r="B62" s="12" t="n">
        <v>0.05</v>
      </c>
      <c r="C62" s="12" t="n">
        <v>0.05</v>
      </c>
      <c r="D62" s="12" t="n">
        <v>0.05</v>
      </c>
      <c r="E62" s="12" t="n">
        <v>0.05</v>
      </c>
      <c r="F62" s="12" t="n">
        <v>0.05</v>
      </c>
      <c r="G62" s="8" t="n">
        <f aca="false">$F62+($L62-$F62)*G$18/5</f>
        <v>0.048</v>
      </c>
      <c r="H62" s="8" t="n">
        <f aca="false">$F62+($L62-$F62)*H$18/5</f>
        <v>0.046</v>
      </c>
      <c r="I62" s="8" t="n">
        <f aca="false">$F62+($L62-$F62)*I$18/5</f>
        <v>0.044</v>
      </c>
      <c r="J62" s="8" t="n">
        <f aca="false">$F62+($L62-$F62)*J$18/5</f>
        <v>0.042</v>
      </c>
      <c r="K62" s="8" t="n">
        <f aca="false">$F62+($L62-$F62)*K$18/5</f>
        <v>0.04</v>
      </c>
      <c r="L62" s="12" t="n">
        <v>0.04</v>
      </c>
    </row>
    <row r="63" customFormat="false" ht="15" hidden="false" customHeight="true" outlineLevel="0" collapsed="false">
      <c r="A63" s="3" t="s">
        <v>113</v>
      </c>
      <c r="B63" s="27" t="n">
        <f aca="false">B57*B62</f>
        <v>2.2</v>
      </c>
      <c r="C63" s="27" t="n">
        <f aca="false">C57*C62</f>
        <v>2.6</v>
      </c>
      <c r="D63" s="27" t="n">
        <f aca="false">D57*D62</f>
        <v>2.9</v>
      </c>
      <c r="E63" s="27" t="n">
        <f aca="false">E57*E62</f>
        <v>3.2</v>
      </c>
      <c r="F63" s="27" t="n">
        <f aca="false">F57*F62</f>
        <v>3.5</v>
      </c>
      <c r="G63" s="27" t="n">
        <f aca="false">G57*G62</f>
        <v>3.63552</v>
      </c>
      <c r="H63" s="27" t="n">
        <f aca="false">H57*H62</f>
        <v>3.72879381</v>
      </c>
      <c r="I63" s="27" t="n">
        <f aca="false">I57*I62</f>
        <v>3.77532267189</v>
      </c>
      <c r="J63" s="27" t="n">
        <f aca="false">J57*J62</f>
        <v>3.77219087012809</v>
      </c>
      <c r="K63" s="27" t="n">
        <f aca="false">K57*K62</f>
        <v>3.71830242912626</v>
      </c>
      <c r="L63" s="27" t="n">
        <f aca="false">L57*L62</f>
        <v>3.84844301414568</v>
      </c>
    </row>
    <row r="64" customFormat="false" ht="15" hidden="false" customHeight="true" outlineLevel="0" collapsed="false">
      <c r="A64" s="3" t="s">
        <v>114</v>
      </c>
      <c r="B64" s="27" t="n">
        <f aca="false">$B$11*(B57-$B$12)</f>
        <v>1.455</v>
      </c>
      <c r="C64" s="27" t="n">
        <f aca="false">$B$11*(C57-B57)</f>
        <v>1.2</v>
      </c>
      <c r="D64" s="27" t="n">
        <f aca="false">$B$11*(D57-C57)</f>
        <v>0.9</v>
      </c>
      <c r="E64" s="27" t="n">
        <f aca="false">$B$11*(E57-D57)</f>
        <v>0.9</v>
      </c>
      <c r="F64" s="27" t="n">
        <f aca="false">$B$11*(F57-E57)</f>
        <v>0.9</v>
      </c>
      <c r="G64" s="27" t="n">
        <f aca="false">$B$11*(G57-F57)</f>
        <v>0.861000000000001</v>
      </c>
      <c r="H64" s="27" t="n">
        <f aca="false">$B$11*(H57-G57)</f>
        <v>0.79811025</v>
      </c>
      <c r="I64" s="27" t="n">
        <f aca="false">$B$11*(I57-H57)</f>
        <v>0.711307949624999</v>
      </c>
      <c r="J64" s="27" t="n">
        <f aca="false">$B$11*(J57-I57)</f>
        <v>0.601692050832469</v>
      </c>
      <c r="K64" s="27" t="n">
        <f aca="false">$B$11*(K57-J57)</f>
        <v>0.471523858766011</v>
      </c>
      <c r="L64" s="27" t="n">
        <f aca="false">$B$11*(L57-K57)</f>
        <v>0.48802719382282</v>
      </c>
    </row>
    <row r="65" customFormat="false" ht="15" hidden="false" customHeight="true" outlineLevel="0" collapsed="false">
      <c r="A65" s="3" t="s">
        <v>115</v>
      </c>
      <c r="B65" s="27" t="n">
        <f aca="false">B61-B63-B64</f>
        <v>9.743</v>
      </c>
      <c r="C65" s="27" t="n">
        <f aca="false">C61-C63-C64</f>
        <v>12.4864</v>
      </c>
      <c r="D65" s="27" t="n">
        <f aca="false">D61-D63-D64</f>
        <v>14.3656</v>
      </c>
      <c r="E65" s="27" t="n">
        <f aca="false">E61-E63-E64</f>
        <v>15.9448</v>
      </c>
      <c r="F65" s="27" t="n">
        <f aca="false">F61-F63-F64</f>
        <v>16.915</v>
      </c>
      <c r="G65" s="27" t="n">
        <f aca="false">G61-G63-G64</f>
        <v>18.3027348</v>
      </c>
      <c r="H65" s="27" t="n">
        <f aca="false">H61-H63-H64</f>
        <v>19.5919070319</v>
      </c>
      <c r="I65" s="27" t="n">
        <f aca="false">I61-I63-I64</f>
        <v>20.7445372170299</v>
      </c>
      <c r="J65" s="27" t="n">
        <f aca="false">J61-J63-J64</f>
        <v>21.7242890562257</v>
      </c>
      <c r="K65" s="27" t="n">
        <f aca="false">K61-K63-K64</f>
        <v>22.4982893971615</v>
      </c>
      <c r="L65" s="27" t="n">
        <f aca="false">L61-L63-L64</f>
        <v>23.2857295260621</v>
      </c>
    </row>
    <row r="66" customFormat="false" ht="15" hidden="false" customHeight="true" outlineLevel="0" collapsed="false">
      <c r="A66" s="3" t="s">
        <v>116</v>
      </c>
      <c r="B66" s="28" t="n">
        <f aca="false">1/(1+$B$9)^B$17</f>
        <v>0.951302988308988</v>
      </c>
      <c r="C66" s="28" t="n">
        <f aca="false">1/(1+$B$9)^C$17</f>
        <v>0.860907681727591</v>
      </c>
      <c r="D66" s="28" t="n">
        <f aca="false">1/(1+$B$9)^D$17</f>
        <v>0.77910197441411</v>
      </c>
      <c r="E66" s="28" t="n">
        <f aca="false">1/(1+$B$9)^E$17</f>
        <v>0.705069660103267</v>
      </c>
      <c r="F66" s="28" t="n">
        <f aca="false">1/(1+$B$9)^F$17</f>
        <v>0.638072090591192</v>
      </c>
      <c r="G66" s="28" t="n">
        <f aca="false">1/(1+$B$9)^G$17</f>
        <v>0.577440805964879</v>
      </c>
      <c r="H66" s="28" t="n">
        <f aca="false">1/(1+$B$9)^H$17</f>
        <v>0.522570865126588</v>
      </c>
      <c r="I66" s="28" t="n">
        <f aca="false">1/(1+$B$9)^I$17</f>
        <v>0.47291481006931</v>
      </c>
      <c r="J66" s="28" t="n">
        <f aca="false">1/(1+$B$9)^J$17</f>
        <v>0.427977203682634</v>
      </c>
      <c r="K66" s="28" t="n">
        <f aca="false">1/(1+$B$9)^K$17</f>
        <v>0.387309686590619</v>
      </c>
      <c r="L66" s="3"/>
    </row>
    <row r="67" customFormat="false" ht="15" hidden="false" customHeight="true" outlineLevel="0" collapsed="false">
      <c r="A67" s="3" t="s">
        <v>117</v>
      </c>
      <c r="B67" s="27" t="n">
        <f aca="false">B65*B66</f>
        <v>9.26854501509447</v>
      </c>
      <c r="C67" s="27" t="n">
        <f aca="false">C65*C66</f>
        <v>10.7496376771234</v>
      </c>
      <c r="D67" s="27" t="n">
        <f aca="false">D65*D66</f>
        <v>11.1922673236433</v>
      </c>
      <c r="E67" s="27" t="n">
        <f aca="false">E65*E66</f>
        <v>11.2421947164146</v>
      </c>
      <c r="F67" s="27" t="n">
        <f aca="false">F65*F66</f>
        <v>10.79298941235</v>
      </c>
      <c r="G67" s="27" t="n">
        <f aca="false">G65*G66</f>
        <v>10.5687459342734</v>
      </c>
      <c r="H67" s="27" t="n">
        <f aca="false">H65*H66</f>
        <v>10.2381598071397</v>
      </c>
      <c r="I67" s="27" t="n">
        <f aca="false">I65*I66</f>
        <v>9.81039887796741</v>
      </c>
      <c r="J67" s="27" t="n">
        <f aca="false">J65*J66</f>
        <v>9.29750048227669</v>
      </c>
      <c r="K67" s="27" t="n">
        <f aca="false">K65*K66</f>
        <v>8.71380541523965</v>
      </c>
      <c r="L67" s="27"/>
    </row>
    <row r="68" customFormat="false" ht="15" hidden="false" customHeight="true" outlineLevel="0" collapsed="false">
      <c r="A68" s="3" t="s">
        <v>118</v>
      </c>
      <c r="B68" s="27" t="n">
        <f aca="false">L65/($B$9-$B$10)</f>
        <v>332.653278943745</v>
      </c>
      <c r="C68" s="3"/>
      <c r="D68" s="3"/>
      <c r="E68" s="3"/>
      <c r="F68" s="3"/>
      <c r="G68" s="3"/>
      <c r="H68" s="3"/>
      <c r="I68" s="3"/>
      <c r="J68" s="3"/>
      <c r="K68" s="3"/>
      <c r="L68" s="3"/>
    </row>
    <row r="69" customFormat="false" ht="15" hidden="false" customHeight="true" outlineLevel="0" collapsed="false">
      <c r="A69" s="3" t="s">
        <v>119</v>
      </c>
      <c r="B69" s="27" t="n">
        <f aca="false">B68/(1+$B$9)^$K$17</f>
        <v>128.839837211043</v>
      </c>
      <c r="C69" s="3"/>
      <c r="D69" s="3"/>
      <c r="E69" s="3"/>
      <c r="F69" s="3"/>
      <c r="G69" s="3"/>
      <c r="H69" s="3"/>
      <c r="I69" s="3"/>
      <c r="J69" s="3"/>
      <c r="K69" s="3"/>
      <c r="L69" s="3"/>
    </row>
    <row r="70" customFormat="false" ht="15" hidden="false" customHeight="true" outlineLevel="0" collapsed="false">
      <c r="A70" s="3" t="s">
        <v>120</v>
      </c>
      <c r="B70" s="27" t="n">
        <f aca="false">SUM(B67:K67)+B69+$B$7</f>
        <v>232.594081872566</v>
      </c>
      <c r="C70" s="3"/>
      <c r="D70" s="3"/>
      <c r="E70" s="3"/>
      <c r="F70" s="3"/>
      <c r="G70" s="3"/>
      <c r="H70" s="3"/>
      <c r="I70" s="3"/>
      <c r="J70" s="3"/>
      <c r="K70" s="3"/>
      <c r="L70" s="3"/>
    </row>
    <row r="71" customFormat="false" ht="15" hidden="false" customHeight="true" outlineLevel="0" collapsed="false">
      <c r="A71" s="3" t="s">
        <v>121</v>
      </c>
      <c r="B71" s="29" t="n">
        <f aca="false">B70/$B$6*$B$13</f>
        <v>293.087300746681</v>
      </c>
      <c r="C71" s="3"/>
      <c r="D71" s="3"/>
      <c r="E71" s="3"/>
      <c r="F71" s="3"/>
      <c r="G71" s="3"/>
      <c r="H71" s="3"/>
      <c r="I71" s="3"/>
      <c r="J71" s="3"/>
      <c r="K71" s="3"/>
      <c r="L71" s="3"/>
    </row>
    <row r="72" customFormat="false" ht="15" hidden="false" customHeight="true" outlineLevel="0" collapsed="false">
      <c r="A72" s="3" t="s">
        <v>122</v>
      </c>
      <c r="B72" s="8" t="n">
        <f aca="false">B71/$B$4-1</f>
        <v>-0.285867057950145</v>
      </c>
      <c r="C72" s="3"/>
      <c r="D72" s="3"/>
      <c r="E72" s="3"/>
      <c r="F72" s="3"/>
      <c r="G72" s="3"/>
      <c r="H72" s="3"/>
      <c r="I72" s="3"/>
      <c r="J72" s="3"/>
      <c r="K72" s="3"/>
      <c r="L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customFormat="false" ht="15" hidden="false" customHeight="true" outlineLevel="0" collapsed="false">
      <c r="A76" s="13" t="s">
        <v>125</v>
      </c>
      <c r="B76" s="26"/>
      <c r="C76" s="13" t="s">
        <v>126</v>
      </c>
      <c r="D76" s="26"/>
      <c r="E76" s="26"/>
      <c r="F76" s="26"/>
      <c r="G76" s="26"/>
      <c r="H76" s="26"/>
      <c r="I76" s="26"/>
      <c r="J76" s="26"/>
      <c r="K76" s="26"/>
      <c r="L76" s="26"/>
    </row>
    <row r="77" customFormat="false" ht="15" hidden="false" customHeight="true" outlineLevel="0" collapsed="false">
      <c r="A77" s="3" t="s">
        <v>127</v>
      </c>
      <c r="B77" s="30" t="n">
        <f aca="false">B35</f>
        <v>143.379114050489</v>
      </c>
      <c r="C77" s="8" t="n">
        <f aca="false">B77/$B$4-1</f>
        <v>-0.650644199579716</v>
      </c>
      <c r="D77" s="3"/>
      <c r="E77" s="3"/>
      <c r="F77" s="3"/>
      <c r="G77" s="3"/>
      <c r="H77" s="3"/>
      <c r="I77" s="3"/>
      <c r="J77" s="3"/>
      <c r="K77" s="3"/>
      <c r="L77" s="3"/>
    </row>
    <row r="78" customFormat="false" ht="15" hidden="false" customHeight="true" outlineLevel="0" collapsed="false">
      <c r="A78" s="3" t="s">
        <v>128</v>
      </c>
      <c r="B78" s="30" t="n">
        <f aca="false">B53</f>
        <v>227.459544586664</v>
      </c>
      <c r="C78" s="8" t="n">
        <f aca="false">B78/$B$4-1</f>
        <v>-0.445774848111245</v>
      </c>
      <c r="D78" s="3"/>
      <c r="E78" s="3"/>
      <c r="F78" s="3"/>
      <c r="G78" s="3"/>
      <c r="H78" s="3"/>
      <c r="I78" s="3"/>
      <c r="J78" s="3"/>
      <c r="K78" s="3"/>
      <c r="L78" s="3"/>
    </row>
    <row r="79" customFormat="false" ht="15" hidden="false" customHeight="true" outlineLevel="0" collapsed="false">
      <c r="A79" s="3" t="s">
        <v>129</v>
      </c>
      <c r="B79" s="30" t="n">
        <f aca="false">B71</f>
        <v>293.087300746681</v>
      </c>
      <c r="C79" s="8" t="n">
        <f aca="false">B79/$B$4-1</f>
        <v>-0.285867057950145</v>
      </c>
      <c r="D79" s="3"/>
      <c r="E79" s="3"/>
      <c r="F79" s="3"/>
      <c r="G79" s="3"/>
      <c r="H79" s="3"/>
      <c r="I79" s="3"/>
      <c r="J79" s="3"/>
      <c r="K79" s="3"/>
      <c r="L79" s="3"/>
    </row>
    <row r="80" customFormat="false" ht="15" hidden="false" customHeight="true" outlineLevel="0" collapsed="false">
      <c r="A80" s="3" t="s">
        <v>130</v>
      </c>
      <c r="B80" s="30" t="n">
        <f aca="false">INDEX(B35:B71,1+($B$14-1)*18)</f>
        <v>227.459544586664</v>
      </c>
      <c r="C80" s="8" t="n">
        <f aca="false">B80/$B$4-1</f>
        <v>-0.445774848111245</v>
      </c>
      <c r="D80" s="3"/>
      <c r="E80" s="3"/>
      <c r="F80" s="3"/>
      <c r="G80" s="3"/>
      <c r="H80" s="3"/>
      <c r="I80" s="3"/>
      <c r="J80" s="3"/>
      <c r="K80" s="3"/>
      <c r="L80" s="3"/>
    </row>
    <row r="81" customFormat="false" ht="15" hidden="false" customHeight="true" outlineLevel="0" collapsed="false">
      <c r="A81" s="3" t="s">
        <v>131</v>
      </c>
      <c r="B81" s="30" t="n">
        <f aca="false">B78</f>
        <v>227.459544586664</v>
      </c>
      <c r="C81" s="3"/>
      <c r="D81" s="3"/>
      <c r="E81" s="3"/>
      <c r="F81" s="3"/>
      <c r="G81" s="3"/>
      <c r="H81" s="3"/>
      <c r="I81" s="3"/>
      <c r="J81" s="3"/>
      <c r="K81" s="3"/>
      <c r="L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customFormat="false" ht="15" hidden="false" customHeight="true" outlineLevel="0" collapsed="false">
      <c r="A83" s="10" t="s">
        <v>132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customFormat="false" ht="15" hidden="false" customHeight="true" outlineLevel="0" collapsed="false">
      <c r="A84" s="3" t="s">
        <v>133</v>
      </c>
      <c r="B84" s="12" t="n">
        <v>0.08</v>
      </c>
      <c r="C84" s="12" t="n">
        <v>0.09</v>
      </c>
      <c r="D84" s="12" t="n">
        <v>0.1</v>
      </c>
      <c r="E84" s="12" t="n">
        <v>0.11</v>
      </c>
      <c r="F84" s="12" t="n">
        <v>0.12</v>
      </c>
      <c r="G84" s="12" t="n">
        <v>0.13</v>
      </c>
      <c r="H84" s="3"/>
      <c r="I84" s="3"/>
      <c r="J84" s="3"/>
      <c r="K84" s="3"/>
      <c r="L84" s="3"/>
    </row>
    <row r="85" customFormat="false" ht="15" hidden="false" customHeight="true" outlineLevel="0" collapsed="false">
      <c r="A85" s="3" t="s">
        <v>128</v>
      </c>
      <c r="B85" s="30" t="n">
        <f aca="false">(SUMPRODUCT(B47:K47/(1+B84)^$B$17:$K$17)+L47/(B84-$B$10)/(1+B84)^$K$17+$B$7)/$B$6*$B$13</f>
        <v>355.384113205813</v>
      </c>
      <c r="C85" s="30" t="n">
        <f aca="false">(SUMPRODUCT(B47:K47/(1+C84)^$B$17:$K$17)+L47/(C84-$B$10)/(1+C84)^$K$17+$B$7)/$B$6*$B$13</f>
        <v>290.183935733478</v>
      </c>
      <c r="D85" s="30" t="n">
        <f aca="false">(SUMPRODUCT(B47:K47/(1+D84)^$B$17:$K$17)+L47/(D84-$B$10)/(1+D84)^$K$17+$B$7)/$B$6*$B$13</f>
        <v>245.130870221365</v>
      </c>
      <c r="E85" s="30" t="n">
        <f aca="false">(SUMPRODUCT(B47:K47/(1+E84)^$B$17:$K$17)+L47/(E84-$B$10)/(1+E84)^$K$17+$B$7)/$B$6*$B$13</f>
        <v>212.161085236762</v>
      </c>
      <c r="F85" s="30" t="n">
        <f aca="false">(SUMPRODUCT(B47:K47/(1+F84)^$B$17:$K$17)+L47/(F84-$B$10)/(1+F84)^$K$17+$B$7)/$B$6*$B$13</f>
        <v>187.005828312163</v>
      </c>
      <c r="G85" s="30" t="n">
        <f aca="false">(SUMPRODUCT(B47:K47/(1+G84)^$B$17:$K$17)+L47/(G84-$B$10)/(1+G84)^$K$17+$B$7)/$B$6*$B$13</f>
        <v>167.193990316723</v>
      </c>
      <c r="H85" s="3"/>
      <c r="I85" s="3"/>
      <c r="J85" s="3"/>
      <c r="K85" s="3"/>
      <c r="L85" s="3"/>
    </row>
    <row r="86" customFormat="false" ht="15" hidden="false" customHeight="true" outlineLevel="0" collapsed="false">
      <c r="A86" s="3" t="s">
        <v>134</v>
      </c>
      <c r="B86" s="8" t="n">
        <f aca="false">B85/$B$4-1</f>
        <v>-0.134075404581241</v>
      </c>
      <c r="C86" s="8" t="n">
        <f aca="false">C85/$B$4-1</f>
        <v>-0.29294136172735</v>
      </c>
      <c r="D86" s="8" t="n">
        <f aca="false">D85/$B$4-1</f>
        <v>-0.402717111616761</v>
      </c>
      <c r="E86" s="8" t="n">
        <f aca="false">E85/$B$4-1</f>
        <v>-0.483050887559362</v>
      </c>
      <c r="F86" s="8" t="n">
        <f aca="false">F85/$B$4-1</f>
        <v>-0.544343879749121</v>
      </c>
      <c r="G86" s="8" t="n">
        <f aca="false">G85/$B$4-1</f>
        <v>-0.592617162552756</v>
      </c>
      <c r="H86" s="3"/>
      <c r="I86" s="3"/>
      <c r="J86" s="3"/>
      <c r="K86" s="3"/>
      <c r="L8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12" min="2" style="1" width="11"/>
  </cols>
  <sheetData>
    <row r="1" customFormat="false" ht="15.75" hidden="false" customHeight="true" outlineLevel="0" collapsed="false">
      <c r="A1" s="2" t="s">
        <v>162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" hidden="false" customHeight="true" outlineLevel="0" collapsed="false">
      <c r="A2" s="4" t="s">
        <v>73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true" outlineLevel="0" collapsed="false">
      <c r="A4" s="3" t="s">
        <v>3</v>
      </c>
      <c r="B4" s="20" t="n">
        <v>211.54</v>
      </c>
      <c r="C4" s="4" t="s">
        <v>163</v>
      </c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true" outlineLevel="0" collapsed="false">
      <c r="A5" s="3" t="s">
        <v>75</v>
      </c>
      <c r="B5" s="21" t="s">
        <v>164</v>
      </c>
      <c r="C5" s="4" t="s">
        <v>77</v>
      </c>
      <c r="D5" s="3"/>
      <c r="E5" s="3"/>
      <c r="F5" s="3"/>
      <c r="G5" s="3"/>
      <c r="H5" s="3"/>
      <c r="I5" s="3"/>
      <c r="J5" s="3"/>
      <c r="K5" s="3"/>
      <c r="L5" s="3"/>
    </row>
    <row r="6" customFormat="false" ht="15" hidden="false" customHeight="true" outlineLevel="0" collapsed="false">
      <c r="A6" s="3" t="s">
        <v>78</v>
      </c>
      <c r="B6" s="22" t="n">
        <v>0.38499</v>
      </c>
      <c r="C6" s="4" t="s">
        <v>138</v>
      </c>
      <c r="D6" s="3"/>
      <c r="E6" s="3"/>
      <c r="F6" s="3"/>
      <c r="G6" s="3"/>
      <c r="H6" s="3"/>
      <c r="I6" s="3"/>
      <c r="J6" s="3"/>
      <c r="K6" s="3"/>
      <c r="L6" s="3"/>
    </row>
    <row r="7" customFormat="false" ht="15" hidden="false" customHeight="true" outlineLevel="0" collapsed="false">
      <c r="A7" s="3" t="s">
        <v>80</v>
      </c>
      <c r="B7" s="23" t="n">
        <v>-0.23</v>
      </c>
      <c r="C7" s="4" t="s">
        <v>165</v>
      </c>
      <c r="D7" s="3"/>
      <c r="E7" s="3"/>
      <c r="F7" s="3"/>
      <c r="G7" s="3"/>
      <c r="H7" s="3"/>
      <c r="I7" s="3"/>
      <c r="J7" s="3"/>
      <c r="K7" s="3"/>
      <c r="L7" s="3"/>
    </row>
    <row r="8" customFormat="false" ht="15" hidden="false" customHeight="true" outlineLevel="0" collapsed="false">
      <c r="A8" s="3" t="s">
        <v>56</v>
      </c>
      <c r="B8" s="12" t="n">
        <v>0.21</v>
      </c>
      <c r="C8" s="4" t="s">
        <v>33</v>
      </c>
      <c r="D8" s="3"/>
      <c r="E8" s="3"/>
      <c r="F8" s="3"/>
      <c r="G8" s="3"/>
      <c r="H8" s="3"/>
      <c r="I8" s="3"/>
      <c r="J8" s="3"/>
      <c r="K8" s="3"/>
      <c r="L8" s="3"/>
    </row>
    <row r="9" customFormat="false" ht="15" hidden="false" customHeight="true" outlineLevel="0" collapsed="false">
      <c r="A9" s="3" t="s">
        <v>82</v>
      </c>
      <c r="B9" s="7" t="n">
        <f aca="false">WACC!E26</f>
        <v>0.11</v>
      </c>
      <c r="C9" s="4" t="s">
        <v>83</v>
      </c>
      <c r="D9" s="3"/>
      <c r="E9" s="3"/>
      <c r="F9" s="3"/>
      <c r="G9" s="3"/>
      <c r="H9" s="3"/>
      <c r="I9" s="3"/>
      <c r="J9" s="3"/>
      <c r="K9" s="3"/>
      <c r="L9" s="3"/>
    </row>
    <row r="10" customFormat="false" ht="15" hidden="false" customHeight="true" outlineLevel="0" collapsed="false">
      <c r="A10" s="3" t="s">
        <v>84</v>
      </c>
      <c r="B10" s="18" t="n">
        <v>0.04</v>
      </c>
      <c r="C10" s="4" t="s">
        <v>33</v>
      </c>
      <c r="D10" s="3"/>
      <c r="E10" s="3"/>
      <c r="F10" s="3"/>
      <c r="G10" s="3"/>
      <c r="H10" s="3"/>
      <c r="I10" s="3"/>
      <c r="J10" s="3"/>
      <c r="K10" s="3"/>
      <c r="L10" s="3"/>
    </row>
    <row r="11" customFormat="false" ht="15" hidden="false" customHeight="true" outlineLevel="0" collapsed="false">
      <c r="A11" s="3" t="s">
        <v>85</v>
      </c>
      <c r="B11" s="12" t="n">
        <v>0.12</v>
      </c>
      <c r="C11" s="4" t="s">
        <v>33</v>
      </c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5" hidden="false" customHeight="true" outlineLevel="0" collapsed="false">
      <c r="A12" s="3" t="s">
        <v>86</v>
      </c>
      <c r="B12" s="23" t="n">
        <v>14</v>
      </c>
      <c r="C12" s="4" t="s">
        <v>166</v>
      </c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true" outlineLevel="0" collapsed="false">
      <c r="A13" s="3" t="s">
        <v>88</v>
      </c>
      <c r="B13" s="24" t="n">
        <v>1</v>
      </c>
      <c r="C13" s="4" t="s">
        <v>89</v>
      </c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5" hidden="false" customHeight="true" outlineLevel="0" collapsed="false">
      <c r="A14" s="3" t="s">
        <v>90</v>
      </c>
      <c r="B14" s="11" t="n">
        <v>2</v>
      </c>
      <c r="C14" s="4" t="s">
        <v>91</v>
      </c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5" hidden="false" customHeight="true" outlineLevel="0" collapsed="false">
      <c r="A16" s="10" t="s">
        <v>92</v>
      </c>
      <c r="B16" s="25" t="s">
        <v>93</v>
      </c>
      <c r="C16" s="25" t="s">
        <v>94</v>
      </c>
      <c r="D16" s="25" t="s">
        <v>95</v>
      </c>
      <c r="E16" s="25" t="s">
        <v>96</v>
      </c>
      <c r="F16" s="25" t="s">
        <v>97</v>
      </c>
      <c r="G16" s="25" t="s">
        <v>98</v>
      </c>
      <c r="H16" s="25" t="s">
        <v>99</v>
      </c>
      <c r="I16" s="25" t="s">
        <v>100</v>
      </c>
      <c r="J16" s="25" t="s">
        <v>101</v>
      </c>
      <c r="K16" s="25" t="s">
        <v>102</v>
      </c>
      <c r="L16" s="10" t="s">
        <v>103</v>
      </c>
    </row>
    <row r="17" customFormat="false" ht="15" hidden="false" customHeight="true" outlineLevel="0" collapsed="false">
      <c r="A17" s="3" t="s">
        <v>104</v>
      </c>
      <c r="B17" s="21" t="n">
        <v>0.5</v>
      </c>
      <c r="C17" s="3" t="n">
        <f aca="false">B17+1</f>
        <v>1.5</v>
      </c>
      <c r="D17" s="3" t="n">
        <f aca="false">C17+1</f>
        <v>2.5</v>
      </c>
      <c r="E17" s="3" t="n">
        <f aca="false">D17+1</f>
        <v>3.5</v>
      </c>
      <c r="F17" s="3" t="n">
        <f aca="false">E17+1</f>
        <v>4.5</v>
      </c>
      <c r="G17" s="3" t="n">
        <f aca="false">F17+1</f>
        <v>5.5</v>
      </c>
      <c r="H17" s="3" t="n">
        <f aca="false">G17+1</f>
        <v>6.5</v>
      </c>
      <c r="I17" s="3" t="n">
        <f aca="false">H17+1</f>
        <v>7.5</v>
      </c>
      <c r="J17" s="3" t="n">
        <f aca="false">I17+1</f>
        <v>8.5</v>
      </c>
      <c r="K17" s="3" t="n">
        <f aca="false">J17+1</f>
        <v>9.5</v>
      </c>
      <c r="L17" s="3"/>
    </row>
    <row r="18" customFormat="false" ht="15" hidden="false" customHeight="true" outlineLevel="0" collapsed="false">
      <c r="A18" s="3" t="s">
        <v>105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2</v>
      </c>
      <c r="I18" s="3" t="n">
        <v>3</v>
      </c>
      <c r="J18" s="3" t="n">
        <v>4</v>
      </c>
      <c r="K18" s="3" t="n">
        <v>5</v>
      </c>
      <c r="L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5" hidden="false" customHeight="true" outlineLevel="0" collapsed="false">
      <c r="A20" s="13" t="s">
        <v>167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customFormat="false" ht="15" hidden="false" customHeight="true" outlineLevel="0" collapsed="false">
      <c r="A21" s="3" t="s">
        <v>107</v>
      </c>
      <c r="B21" s="23" t="n">
        <v>16</v>
      </c>
      <c r="C21" s="23" t="n">
        <v>14.5</v>
      </c>
      <c r="D21" s="23" t="n">
        <v>14</v>
      </c>
      <c r="E21" s="23" t="n">
        <v>15.5</v>
      </c>
      <c r="F21" s="23" t="n">
        <v>17</v>
      </c>
      <c r="G21" s="27" t="n">
        <f aca="false">F21*(1+$F22+($B$10-$F22)*G$18/5)</f>
        <v>18.4521290322581</v>
      </c>
      <c r="H21" s="27" t="n">
        <f aca="false">G21*(1+$F22+($B$10-$F22)*H$18/5)</f>
        <v>19.8187770405827</v>
      </c>
      <c r="I21" s="27" t="n">
        <f aca="false">H21*(1+$F22+($B$10-$F22)*I$18/5)</f>
        <v>21.0616061556438</v>
      </c>
      <c r="J21" s="27" t="n">
        <f aca="false">I21*(1+$F22+($B$10-$F22)*J$18/5)</f>
        <v>22.1432215427336</v>
      </c>
      <c r="K21" s="27" t="n">
        <f aca="false">J21*(1+$F22+($B$10-$F22)*K$18/5)</f>
        <v>23.028950404443</v>
      </c>
      <c r="L21" s="27" t="n">
        <f aca="false">K21*(1+$B$10)</f>
        <v>23.9501084206207</v>
      </c>
    </row>
    <row r="22" customFormat="false" ht="15" hidden="false" customHeight="true" outlineLevel="0" collapsed="false">
      <c r="A22" s="3" t="s">
        <v>108</v>
      </c>
      <c r="B22" s="8" t="n">
        <f aca="false">B21/$B$12-1</f>
        <v>0.142857142857143</v>
      </c>
      <c r="C22" s="8" t="n">
        <f aca="false">C21/B21-1</f>
        <v>-0.09375</v>
      </c>
      <c r="D22" s="8" t="n">
        <f aca="false">D21/C21-1</f>
        <v>-0.0344827586206896</v>
      </c>
      <c r="E22" s="8" t="n">
        <f aca="false">E21/D21-1</f>
        <v>0.107142857142857</v>
      </c>
      <c r="F22" s="8" t="n">
        <f aca="false">F21/E21-1</f>
        <v>0.096774193548387</v>
      </c>
      <c r="G22" s="8" t="n">
        <f aca="false">G21/F21-1</f>
        <v>0.0854193548387097</v>
      </c>
      <c r="H22" s="8" t="n">
        <f aca="false">H21/G21-1</f>
        <v>0.0740645161290323</v>
      </c>
      <c r="I22" s="8" t="n">
        <f aca="false">I21/H21-1</f>
        <v>0.0627096774193547</v>
      </c>
      <c r="J22" s="8" t="n">
        <f aca="false">J21/I21-1</f>
        <v>0.0513548387096774</v>
      </c>
      <c r="K22" s="8" t="n">
        <f aca="false">K21/J21-1</f>
        <v>0.04</v>
      </c>
      <c r="L22" s="8" t="n">
        <f aca="false">L21/K21-1</f>
        <v>0.04</v>
      </c>
    </row>
    <row r="23" customFormat="false" ht="15" hidden="false" customHeight="true" outlineLevel="0" collapsed="false">
      <c r="A23" s="3" t="s">
        <v>109</v>
      </c>
      <c r="B23" s="12" t="n">
        <v>0.23</v>
      </c>
      <c r="C23" s="12" t="n">
        <v>0.19</v>
      </c>
      <c r="D23" s="12" t="n">
        <v>0.18</v>
      </c>
      <c r="E23" s="12" t="n">
        <v>0.2</v>
      </c>
      <c r="F23" s="12" t="n">
        <v>0.2</v>
      </c>
      <c r="G23" s="8" t="n">
        <f aca="false">$F23+($L23-$F23)*G$18/5</f>
        <v>0.196</v>
      </c>
      <c r="H23" s="8" t="n">
        <f aca="false">$F23+($L23-$F23)*H$18/5</f>
        <v>0.192</v>
      </c>
      <c r="I23" s="8" t="n">
        <f aca="false">$F23+($L23-$F23)*I$18/5</f>
        <v>0.188</v>
      </c>
      <c r="J23" s="8" t="n">
        <f aca="false">$F23+($L23-$F23)*J$18/5</f>
        <v>0.184</v>
      </c>
      <c r="K23" s="8" t="n">
        <f aca="false">$F23+($L23-$F23)*K$18/5</f>
        <v>0.18</v>
      </c>
      <c r="L23" s="18" t="n">
        <v>0.18</v>
      </c>
    </row>
    <row r="24" customFormat="false" ht="15" hidden="false" customHeight="true" outlineLevel="0" collapsed="false">
      <c r="A24" s="3" t="s">
        <v>110</v>
      </c>
      <c r="B24" s="27" t="n">
        <f aca="false">B21*B23</f>
        <v>3.68</v>
      </c>
      <c r="C24" s="27" t="n">
        <f aca="false">C21*C23</f>
        <v>2.755</v>
      </c>
      <c r="D24" s="27" t="n">
        <f aca="false">D21*D23</f>
        <v>2.52</v>
      </c>
      <c r="E24" s="27" t="n">
        <f aca="false">E21*E23</f>
        <v>3.1</v>
      </c>
      <c r="F24" s="27" t="n">
        <f aca="false">F21*F23</f>
        <v>3.4</v>
      </c>
      <c r="G24" s="27" t="n">
        <f aca="false">G21*G23</f>
        <v>3.61661729032258</v>
      </c>
      <c r="H24" s="27" t="n">
        <f aca="false">H21*H23</f>
        <v>3.80520519179188</v>
      </c>
      <c r="I24" s="27" t="n">
        <f aca="false">I21*I23</f>
        <v>3.95958195726103</v>
      </c>
      <c r="J24" s="27" t="n">
        <f aca="false">J21*J23</f>
        <v>4.07435276386299</v>
      </c>
      <c r="K24" s="27" t="n">
        <f aca="false">K21*K23</f>
        <v>4.14521107279973</v>
      </c>
      <c r="L24" s="27" t="n">
        <f aca="false">L21*L23</f>
        <v>4.31101951571172</v>
      </c>
    </row>
    <row r="25" customFormat="false" ht="15" hidden="false" customHeight="true" outlineLevel="0" collapsed="false">
      <c r="A25" s="3" t="s">
        <v>111</v>
      </c>
      <c r="B25" s="27" t="n">
        <f aca="false">B24*(1-$B$8)</f>
        <v>2.9072</v>
      </c>
      <c r="C25" s="27" t="n">
        <f aca="false">C24*(1-$B$8)</f>
        <v>2.17645</v>
      </c>
      <c r="D25" s="27" t="n">
        <f aca="false">D24*(1-$B$8)</f>
        <v>1.9908</v>
      </c>
      <c r="E25" s="27" t="n">
        <f aca="false">E24*(1-$B$8)</f>
        <v>2.449</v>
      </c>
      <c r="F25" s="27" t="n">
        <f aca="false">F24*(1-$B$8)</f>
        <v>2.686</v>
      </c>
      <c r="G25" s="27" t="n">
        <f aca="false">G24*(1-$B$8)</f>
        <v>2.85712765935484</v>
      </c>
      <c r="H25" s="27" t="n">
        <f aca="false">H24*(1-$B$8)</f>
        <v>3.00611210151559</v>
      </c>
      <c r="I25" s="27" t="n">
        <f aca="false">I24*(1-$B$8)</f>
        <v>3.12806974623622</v>
      </c>
      <c r="J25" s="27" t="n">
        <f aca="false">J24*(1-$B$8)</f>
        <v>3.21873868345176</v>
      </c>
      <c r="K25" s="27" t="n">
        <f aca="false">K24*(1-$B$8)</f>
        <v>3.27471674751179</v>
      </c>
      <c r="L25" s="27" t="n">
        <f aca="false">L24*(1-$B$8)</f>
        <v>3.40570541741226</v>
      </c>
    </row>
    <row r="26" customFormat="false" ht="15" hidden="false" customHeight="true" outlineLevel="0" collapsed="false">
      <c r="A26" s="3" t="s">
        <v>112</v>
      </c>
      <c r="B26" s="12" t="n">
        <v>0.02</v>
      </c>
      <c r="C26" s="12" t="n">
        <v>0.02</v>
      </c>
      <c r="D26" s="12" t="n">
        <v>0.02</v>
      </c>
      <c r="E26" s="12" t="n">
        <v>0.02</v>
      </c>
      <c r="F26" s="12" t="n">
        <v>0.02</v>
      </c>
      <c r="G26" s="8" t="n">
        <f aca="false">$F26+($L26-$F26)*G$18/5</f>
        <v>0.02</v>
      </c>
      <c r="H26" s="8" t="n">
        <f aca="false">$F26+($L26-$F26)*H$18/5</f>
        <v>0.02</v>
      </c>
      <c r="I26" s="8" t="n">
        <f aca="false">$F26+($L26-$F26)*I$18/5</f>
        <v>0.02</v>
      </c>
      <c r="J26" s="8" t="n">
        <f aca="false">$F26+($L26-$F26)*J$18/5</f>
        <v>0.02</v>
      </c>
      <c r="K26" s="8" t="n">
        <f aca="false">$F26+($L26-$F26)*K$18/5</f>
        <v>0.02</v>
      </c>
      <c r="L26" s="12" t="n">
        <v>0.02</v>
      </c>
    </row>
    <row r="27" customFormat="false" ht="15" hidden="false" customHeight="true" outlineLevel="0" collapsed="false">
      <c r="A27" s="3" t="s">
        <v>113</v>
      </c>
      <c r="B27" s="27" t="n">
        <f aca="false">B21*B26</f>
        <v>0.32</v>
      </c>
      <c r="C27" s="27" t="n">
        <f aca="false">C21*C26</f>
        <v>0.29</v>
      </c>
      <c r="D27" s="27" t="n">
        <f aca="false">D21*D26</f>
        <v>0.28</v>
      </c>
      <c r="E27" s="27" t="n">
        <f aca="false">E21*E26</f>
        <v>0.31</v>
      </c>
      <c r="F27" s="27" t="n">
        <f aca="false">F21*F26</f>
        <v>0.34</v>
      </c>
      <c r="G27" s="27" t="n">
        <f aca="false">G21*G26</f>
        <v>0.369042580645161</v>
      </c>
      <c r="H27" s="27" t="n">
        <f aca="false">H21*H26</f>
        <v>0.396375540811655</v>
      </c>
      <c r="I27" s="27" t="n">
        <f aca="false">I21*I26</f>
        <v>0.421232123112876</v>
      </c>
      <c r="J27" s="27" t="n">
        <f aca="false">J21*J26</f>
        <v>0.442864430854672</v>
      </c>
      <c r="K27" s="27" t="n">
        <f aca="false">K21*K26</f>
        <v>0.460579008088859</v>
      </c>
      <c r="L27" s="27" t="n">
        <f aca="false">L21*L26</f>
        <v>0.479002168412414</v>
      </c>
    </row>
    <row r="28" customFormat="false" ht="15" hidden="false" customHeight="true" outlineLevel="0" collapsed="false">
      <c r="A28" s="3" t="s">
        <v>114</v>
      </c>
      <c r="B28" s="27" t="n">
        <f aca="false">$B$11*(B21-$B$12)</f>
        <v>0.24</v>
      </c>
      <c r="C28" s="27" t="n">
        <f aca="false">$B$11*(C21-B21)</f>
        <v>-0.18</v>
      </c>
      <c r="D28" s="27" t="n">
        <f aca="false">$B$11*(D21-C21)</f>
        <v>-0.06</v>
      </c>
      <c r="E28" s="27" t="n">
        <f aca="false">$B$11*(E21-D21)</f>
        <v>0.18</v>
      </c>
      <c r="F28" s="27" t="n">
        <f aca="false">$B$11*(F21-E21)</f>
        <v>0.18</v>
      </c>
      <c r="G28" s="27" t="n">
        <f aca="false">$B$11*(G21-F21)</f>
        <v>0.174255483870968</v>
      </c>
      <c r="H28" s="27" t="n">
        <f aca="false">$B$11*(H21-G21)</f>
        <v>0.16399776099896</v>
      </c>
      <c r="I28" s="27" t="n">
        <f aca="false">$B$11*(I21-H21)</f>
        <v>0.149139493807327</v>
      </c>
      <c r="J28" s="27" t="n">
        <f aca="false">$B$11*(J21-I21)</f>
        <v>0.12979384645078</v>
      </c>
      <c r="K28" s="27" t="n">
        <f aca="false">$B$11*(K21-J21)</f>
        <v>0.106287463405122</v>
      </c>
      <c r="L28" s="27" t="n">
        <f aca="false">$B$11*(L21-K21)</f>
        <v>0.110538961941326</v>
      </c>
    </row>
    <row r="29" customFormat="false" ht="15" hidden="false" customHeight="true" outlineLevel="0" collapsed="false">
      <c r="A29" s="3" t="s">
        <v>115</v>
      </c>
      <c r="B29" s="27" t="n">
        <f aca="false">B25-B27-B28</f>
        <v>2.3472</v>
      </c>
      <c r="C29" s="27" t="n">
        <f aca="false">C25-C27-C28</f>
        <v>2.06645</v>
      </c>
      <c r="D29" s="27" t="n">
        <f aca="false">D25-D27-D28</f>
        <v>1.7708</v>
      </c>
      <c r="E29" s="27" t="n">
        <f aca="false">E25-E27-E28</f>
        <v>1.959</v>
      </c>
      <c r="F29" s="27" t="n">
        <f aca="false">F25-F27-F28</f>
        <v>2.166</v>
      </c>
      <c r="G29" s="27" t="n">
        <f aca="false">G25-G27-G28</f>
        <v>2.31382959483871</v>
      </c>
      <c r="H29" s="27" t="n">
        <f aca="false">H25-H27-H28</f>
        <v>2.44573879970497</v>
      </c>
      <c r="I29" s="27" t="n">
        <f aca="false">I25-I27-I28</f>
        <v>2.55769812931601</v>
      </c>
      <c r="J29" s="27" t="n">
        <f aca="false">J25-J27-J28</f>
        <v>2.64608040614631</v>
      </c>
      <c r="K29" s="27" t="n">
        <f aca="false">K25-K27-K28</f>
        <v>2.70785027601781</v>
      </c>
      <c r="L29" s="27" t="n">
        <f aca="false">L25-L27-L28</f>
        <v>2.81616428705852</v>
      </c>
    </row>
    <row r="30" customFormat="false" ht="15" hidden="false" customHeight="true" outlineLevel="0" collapsed="false">
      <c r="A30" s="3" t="s">
        <v>116</v>
      </c>
      <c r="B30" s="28" t="n">
        <f aca="false">1/(1+$B$9)^B$17</f>
        <v>0.949157995752499</v>
      </c>
      <c r="C30" s="28" t="n">
        <f aca="false">1/(1+$B$9)^C$17</f>
        <v>0.85509729347072</v>
      </c>
      <c r="D30" s="28" t="n">
        <f aca="false">1/(1+$B$9)^D$17</f>
        <v>0.770357922045693</v>
      </c>
      <c r="E30" s="28" t="n">
        <f aca="false">1/(1+$B$9)^E$17</f>
        <v>0.694016145987111</v>
      </c>
      <c r="F30" s="28" t="n">
        <f aca="false">1/(1+$B$9)^F$17</f>
        <v>0.62523977115956</v>
      </c>
      <c r="G30" s="28" t="n">
        <f aca="false">1/(1+$B$9)^G$17</f>
        <v>0.56327907311672</v>
      </c>
      <c r="H30" s="28" t="n">
        <f aca="false">1/(1+$B$9)^H$17</f>
        <v>0.507458624429478</v>
      </c>
      <c r="I30" s="28" t="n">
        <f aca="false">1/(1+$B$9)^I$17</f>
        <v>0.457169931918448</v>
      </c>
      <c r="J30" s="28" t="n">
        <f aca="false">1/(1+$B$9)^J$17</f>
        <v>0.411864803530134</v>
      </c>
      <c r="K30" s="28" t="n">
        <f aca="false">1/(1+$B$9)^K$17</f>
        <v>0.37104937254967</v>
      </c>
      <c r="L30" s="3"/>
    </row>
    <row r="31" customFormat="false" ht="15" hidden="false" customHeight="true" outlineLevel="0" collapsed="false">
      <c r="A31" s="3" t="s">
        <v>117</v>
      </c>
      <c r="B31" s="27" t="n">
        <f aca="false">B29*B30</f>
        <v>2.22786364763027</v>
      </c>
      <c r="C31" s="27" t="n">
        <f aca="false">C29*C30</f>
        <v>1.76701580209257</v>
      </c>
      <c r="D31" s="27" t="n">
        <f aca="false">D29*D30</f>
        <v>1.36414980835851</v>
      </c>
      <c r="E31" s="27" t="n">
        <f aca="false">E29*E30</f>
        <v>1.35957762998875</v>
      </c>
      <c r="F31" s="27" t="n">
        <f aca="false">F29*F30</f>
        <v>1.35426934433161</v>
      </c>
      <c r="G31" s="27" t="n">
        <f aca="false">G29*G30</f>
        <v>1.30333178953078</v>
      </c>
      <c r="H31" s="27" t="n">
        <f aca="false">H29*H30</f>
        <v>1.24111124701209</v>
      </c>
      <c r="I31" s="27" t="n">
        <f aca="false">I29*I30</f>
        <v>1.16930267964734</v>
      </c>
      <c r="J31" s="27" t="n">
        <f aca="false">J29*J30</f>
        <v>1.08982738660238</v>
      </c>
      <c r="K31" s="27" t="n">
        <f aca="false">K29*K30</f>
        <v>1.00474614587486</v>
      </c>
      <c r="L31" s="27"/>
    </row>
    <row r="32" customFormat="false" ht="15" hidden="false" customHeight="true" outlineLevel="0" collapsed="false">
      <c r="A32" s="3" t="s">
        <v>118</v>
      </c>
      <c r="B32" s="27" t="n">
        <f aca="false">L29/($B$9-$B$10)</f>
        <v>40.2309183865503</v>
      </c>
      <c r="C32" s="3"/>
      <c r="D32" s="3"/>
      <c r="E32" s="3"/>
      <c r="F32" s="3"/>
      <c r="G32" s="3"/>
      <c r="H32" s="3"/>
      <c r="I32" s="3"/>
      <c r="J32" s="3"/>
      <c r="K32" s="3"/>
      <c r="L32" s="3"/>
    </row>
    <row r="33" customFormat="false" ht="15" hidden="false" customHeight="true" outlineLevel="0" collapsed="false">
      <c r="A33" s="3" t="s">
        <v>119</v>
      </c>
      <c r="B33" s="27" t="n">
        <f aca="false">B32/(1+$B$9)^$K$17</f>
        <v>14.9276570244265</v>
      </c>
      <c r="C33" s="3"/>
      <c r="D33" s="3"/>
      <c r="E33" s="3"/>
      <c r="F33" s="3"/>
      <c r="G33" s="3"/>
      <c r="H33" s="3"/>
      <c r="I33" s="3"/>
      <c r="J33" s="3"/>
      <c r="K33" s="3"/>
      <c r="L33" s="3"/>
    </row>
    <row r="34" customFormat="false" ht="15" hidden="false" customHeight="true" outlineLevel="0" collapsed="false">
      <c r="A34" s="3" t="s">
        <v>120</v>
      </c>
      <c r="B34" s="27" t="n">
        <f aca="false">SUM(B31:K31)+B33+$B$7</f>
        <v>28.5788525054956</v>
      </c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5" hidden="false" customHeight="true" outlineLevel="0" collapsed="false">
      <c r="A35" s="3" t="s">
        <v>121</v>
      </c>
      <c r="B35" s="29" t="n">
        <f aca="false">B34/$B$6*$B$13</f>
        <v>74.2327138509978</v>
      </c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true" outlineLevel="0" collapsed="false">
      <c r="A36" s="3" t="s">
        <v>122</v>
      </c>
      <c r="B36" s="8" t="n">
        <f aca="false">B35/$B$4-1</f>
        <v>-0.649084268455149</v>
      </c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" hidden="false" customHeight="true" outlineLevel="0" collapsed="false">
      <c r="A38" s="13" t="s">
        <v>168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</row>
    <row r="39" customFormat="false" ht="15" hidden="false" customHeight="true" outlineLevel="0" collapsed="false">
      <c r="A39" s="3" t="s">
        <v>107</v>
      </c>
      <c r="B39" s="23" t="n">
        <v>17.5</v>
      </c>
      <c r="C39" s="23" t="n">
        <v>20.5</v>
      </c>
      <c r="D39" s="23" t="n">
        <v>21.5</v>
      </c>
      <c r="E39" s="23" t="n">
        <v>23.5</v>
      </c>
      <c r="F39" s="23" t="n">
        <v>25.5</v>
      </c>
      <c r="G39" s="27" t="n">
        <f aca="false">F39*(1+$F40+($B$10-$F40)*G$18/5)</f>
        <v>27.440170212766</v>
      </c>
      <c r="H39" s="27" t="n">
        <f aca="false">G39*(1+$F40+($B$10-$F40)*H$18/5)</f>
        <v>29.2804131172476</v>
      </c>
      <c r="I39" s="27" t="n">
        <f aca="false">H39*(1+$F40+($B$10-$F40)*I$18/5)</f>
        <v>30.9799230530743</v>
      </c>
      <c r="J39" s="27" t="n">
        <f aca="false">I39*(1+$F40+($B$10-$F40)*J$18/5)</f>
        <v>32.4985984299739</v>
      </c>
      <c r="K39" s="27" t="n">
        <f aca="false">J39*(1+$F40+($B$10-$F40)*K$18/5)</f>
        <v>33.7985423671728</v>
      </c>
      <c r="L39" s="27" t="n">
        <f aca="false">K39*(1+$B$10)</f>
        <v>35.1504840618598</v>
      </c>
    </row>
    <row r="40" customFormat="false" ht="15" hidden="false" customHeight="true" outlineLevel="0" collapsed="false">
      <c r="A40" s="3" t="s">
        <v>108</v>
      </c>
      <c r="B40" s="8" t="n">
        <f aca="false">B39/$B$12-1</f>
        <v>0.25</v>
      </c>
      <c r="C40" s="8" t="n">
        <f aca="false">C39/B39-1</f>
        <v>0.171428571428571</v>
      </c>
      <c r="D40" s="8" t="n">
        <f aca="false">D39/C39-1</f>
        <v>0.0487804878048781</v>
      </c>
      <c r="E40" s="8" t="n">
        <f aca="false">E39/D39-1</f>
        <v>0.0930232558139534</v>
      </c>
      <c r="F40" s="8" t="n">
        <f aca="false">F39/E39-1</f>
        <v>0.0851063829787233</v>
      </c>
      <c r="G40" s="8" t="n">
        <f aca="false">G39/F39-1</f>
        <v>0.0760851063829786</v>
      </c>
      <c r="H40" s="8" t="n">
        <f aca="false">H39/G39-1</f>
        <v>0.0670638297872339</v>
      </c>
      <c r="I40" s="8" t="n">
        <f aca="false">I39/H39-1</f>
        <v>0.0580425531914894</v>
      </c>
      <c r="J40" s="8" t="n">
        <f aca="false">J39/I39-1</f>
        <v>0.0490212765957447</v>
      </c>
      <c r="K40" s="8" t="n">
        <f aca="false">K39/J39-1</f>
        <v>0.04</v>
      </c>
      <c r="L40" s="8" t="n">
        <f aca="false">L39/K39-1</f>
        <v>0.04</v>
      </c>
    </row>
    <row r="41" customFormat="false" ht="15" hidden="false" customHeight="true" outlineLevel="0" collapsed="false">
      <c r="A41" s="3" t="s">
        <v>109</v>
      </c>
      <c r="B41" s="12" t="n">
        <v>0.25</v>
      </c>
      <c r="C41" s="12" t="n">
        <v>0.26</v>
      </c>
      <c r="D41" s="12" t="n">
        <v>0.25</v>
      </c>
      <c r="E41" s="12" t="n">
        <v>0.25</v>
      </c>
      <c r="F41" s="12" t="n">
        <v>0.25</v>
      </c>
      <c r="G41" s="8" t="n">
        <f aca="false">$F41+($L41-$F41)*G$18/5</f>
        <v>0.248</v>
      </c>
      <c r="H41" s="8" t="n">
        <f aca="false">$F41+($L41-$F41)*H$18/5</f>
        <v>0.246</v>
      </c>
      <c r="I41" s="8" t="n">
        <f aca="false">$F41+($L41-$F41)*I$18/5</f>
        <v>0.244</v>
      </c>
      <c r="J41" s="8" t="n">
        <f aca="false">$F41+($L41-$F41)*J$18/5</f>
        <v>0.242</v>
      </c>
      <c r="K41" s="8" t="n">
        <f aca="false">$F41+($L41-$F41)*K$18/5</f>
        <v>0.24</v>
      </c>
      <c r="L41" s="18" t="n">
        <v>0.24</v>
      </c>
    </row>
    <row r="42" customFormat="false" ht="15" hidden="false" customHeight="true" outlineLevel="0" collapsed="false">
      <c r="A42" s="3" t="s">
        <v>110</v>
      </c>
      <c r="B42" s="27" t="n">
        <f aca="false">B39*B41</f>
        <v>4.375</v>
      </c>
      <c r="C42" s="27" t="n">
        <f aca="false">C39*C41</f>
        <v>5.33</v>
      </c>
      <c r="D42" s="27" t="n">
        <f aca="false">D39*D41</f>
        <v>5.375</v>
      </c>
      <c r="E42" s="27" t="n">
        <f aca="false">E39*E41</f>
        <v>5.875</v>
      </c>
      <c r="F42" s="27" t="n">
        <f aca="false">F39*F41</f>
        <v>6.375</v>
      </c>
      <c r="G42" s="27" t="n">
        <f aca="false">G39*G41</f>
        <v>6.80516221276596</v>
      </c>
      <c r="H42" s="27" t="n">
        <f aca="false">H39*H41</f>
        <v>7.20298162684291</v>
      </c>
      <c r="I42" s="27" t="n">
        <f aca="false">I39*I41</f>
        <v>7.55910122495012</v>
      </c>
      <c r="J42" s="27" t="n">
        <f aca="false">J39*J41</f>
        <v>7.86466082005368</v>
      </c>
      <c r="K42" s="27" t="n">
        <f aca="false">K39*K41</f>
        <v>8.11165016812148</v>
      </c>
      <c r="L42" s="27" t="n">
        <f aca="false">L39*L41</f>
        <v>8.43611617484634</v>
      </c>
    </row>
    <row r="43" customFormat="false" ht="15" hidden="false" customHeight="true" outlineLevel="0" collapsed="false">
      <c r="A43" s="3" t="s">
        <v>111</v>
      </c>
      <c r="B43" s="27" t="n">
        <f aca="false">B42*(1-$B$8)</f>
        <v>3.45625</v>
      </c>
      <c r="C43" s="27" t="n">
        <f aca="false">C42*(1-$B$8)</f>
        <v>4.2107</v>
      </c>
      <c r="D43" s="27" t="n">
        <f aca="false">D42*(1-$B$8)</f>
        <v>4.24625</v>
      </c>
      <c r="E43" s="27" t="n">
        <f aca="false">E42*(1-$B$8)</f>
        <v>4.64125</v>
      </c>
      <c r="F43" s="27" t="n">
        <f aca="false">F42*(1-$B$8)</f>
        <v>5.03625</v>
      </c>
      <c r="G43" s="27" t="n">
        <f aca="false">G42*(1-$B$8)</f>
        <v>5.37607814808511</v>
      </c>
      <c r="H43" s="27" t="n">
        <f aca="false">H42*(1-$B$8)</f>
        <v>5.6903554852059</v>
      </c>
      <c r="I43" s="27" t="n">
        <f aca="false">I42*(1-$B$8)</f>
        <v>5.97168996771059</v>
      </c>
      <c r="J43" s="27" t="n">
        <f aca="false">J42*(1-$B$8)</f>
        <v>6.21308204784241</v>
      </c>
      <c r="K43" s="27" t="n">
        <f aca="false">K42*(1-$B$8)</f>
        <v>6.40820363281597</v>
      </c>
      <c r="L43" s="27" t="n">
        <f aca="false">L42*(1-$B$8)</f>
        <v>6.66453177812861</v>
      </c>
    </row>
    <row r="44" customFormat="false" ht="15" hidden="false" customHeight="true" outlineLevel="0" collapsed="false">
      <c r="A44" s="3" t="s">
        <v>112</v>
      </c>
      <c r="B44" s="12" t="n">
        <v>0.02</v>
      </c>
      <c r="C44" s="12" t="n">
        <v>0.02</v>
      </c>
      <c r="D44" s="12" t="n">
        <v>0.02</v>
      </c>
      <c r="E44" s="12" t="n">
        <v>0.02</v>
      </c>
      <c r="F44" s="12" t="n">
        <v>0.02</v>
      </c>
      <c r="G44" s="8" t="n">
        <f aca="false">$F44+($L44-$F44)*G$18/5</f>
        <v>0.02</v>
      </c>
      <c r="H44" s="8" t="n">
        <f aca="false">$F44+($L44-$F44)*H$18/5</f>
        <v>0.02</v>
      </c>
      <c r="I44" s="8" t="n">
        <f aca="false">$F44+($L44-$F44)*I$18/5</f>
        <v>0.02</v>
      </c>
      <c r="J44" s="8" t="n">
        <f aca="false">$F44+($L44-$F44)*J$18/5</f>
        <v>0.02</v>
      </c>
      <c r="K44" s="8" t="n">
        <f aca="false">$F44+($L44-$F44)*K$18/5</f>
        <v>0.02</v>
      </c>
      <c r="L44" s="12" t="n">
        <v>0.02</v>
      </c>
    </row>
    <row r="45" customFormat="false" ht="15" hidden="false" customHeight="true" outlineLevel="0" collapsed="false">
      <c r="A45" s="3" t="s">
        <v>113</v>
      </c>
      <c r="B45" s="27" t="n">
        <f aca="false">B39*B44</f>
        <v>0.35</v>
      </c>
      <c r="C45" s="27" t="n">
        <f aca="false">C39*C44</f>
        <v>0.41</v>
      </c>
      <c r="D45" s="27" t="n">
        <f aca="false">D39*D44</f>
        <v>0.43</v>
      </c>
      <c r="E45" s="27" t="n">
        <f aca="false">E39*E44</f>
        <v>0.47</v>
      </c>
      <c r="F45" s="27" t="n">
        <f aca="false">F39*F44</f>
        <v>0.51</v>
      </c>
      <c r="G45" s="27" t="n">
        <f aca="false">G39*G44</f>
        <v>0.548803404255319</v>
      </c>
      <c r="H45" s="27" t="n">
        <f aca="false">H39*H44</f>
        <v>0.585608262344952</v>
      </c>
      <c r="I45" s="27" t="n">
        <f aca="false">I39*I44</f>
        <v>0.619598461061485</v>
      </c>
      <c r="J45" s="27" t="n">
        <f aca="false">J39*J44</f>
        <v>0.649971968599478</v>
      </c>
      <c r="K45" s="27" t="n">
        <f aca="false">K39*K44</f>
        <v>0.675970847343457</v>
      </c>
      <c r="L45" s="27" t="n">
        <f aca="false">L39*L44</f>
        <v>0.703009681237195</v>
      </c>
    </row>
    <row r="46" customFormat="false" ht="15" hidden="false" customHeight="true" outlineLevel="0" collapsed="false">
      <c r="A46" s="3" t="s">
        <v>114</v>
      </c>
      <c r="B46" s="27" t="n">
        <f aca="false">$B$11*(B39-$B$12)</f>
        <v>0.42</v>
      </c>
      <c r="C46" s="27" t="n">
        <f aca="false">$B$11*(C39-B39)</f>
        <v>0.36</v>
      </c>
      <c r="D46" s="27" t="n">
        <f aca="false">$B$11*(D39-C39)</f>
        <v>0.12</v>
      </c>
      <c r="E46" s="27" t="n">
        <f aca="false">$B$11*(E39-D39)</f>
        <v>0.24</v>
      </c>
      <c r="F46" s="27" t="n">
        <f aca="false">$B$11*(F39-E39)</f>
        <v>0.24</v>
      </c>
      <c r="G46" s="27" t="n">
        <f aca="false">$B$11*(G39-F39)</f>
        <v>0.232820425531915</v>
      </c>
      <c r="H46" s="27" t="n">
        <f aca="false">$B$11*(H39-G39)</f>
        <v>0.2208291485378</v>
      </c>
      <c r="I46" s="27" t="n">
        <f aca="false">$B$11*(I39-H39)</f>
        <v>0.203941192299196</v>
      </c>
      <c r="J46" s="27" t="n">
        <f aca="false">$B$11*(J39-I39)</f>
        <v>0.182241045227957</v>
      </c>
      <c r="K46" s="27" t="n">
        <f aca="false">$B$11*(K39-J39)</f>
        <v>0.155993272463874</v>
      </c>
      <c r="L46" s="27" t="n">
        <f aca="false">$B$11*(L39-K39)</f>
        <v>0.16223300336243</v>
      </c>
    </row>
    <row r="47" customFormat="false" ht="15" hidden="false" customHeight="true" outlineLevel="0" collapsed="false">
      <c r="A47" s="3" t="s">
        <v>115</v>
      </c>
      <c r="B47" s="27" t="n">
        <f aca="false">B43-B45-B46</f>
        <v>2.68625</v>
      </c>
      <c r="C47" s="27" t="n">
        <f aca="false">C43-C45-C46</f>
        <v>3.4407</v>
      </c>
      <c r="D47" s="27" t="n">
        <f aca="false">D43-D45-D46</f>
        <v>3.69625</v>
      </c>
      <c r="E47" s="27" t="n">
        <f aca="false">E43-E45-E46</f>
        <v>3.93125</v>
      </c>
      <c r="F47" s="27" t="n">
        <f aca="false">F43-F45-F46</f>
        <v>4.28625</v>
      </c>
      <c r="G47" s="27" t="n">
        <f aca="false">G43-G45-G46</f>
        <v>4.59445431829787</v>
      </c>
      <c r="H47" s="27" t="n">
        <f aca="false">H43-H45-H46</f>
        <v>4.88391807432315</v>
      </c>
      <c r="I47" s="27" t="n">
        <f aca="false">I43-I45-I46</f>
        <v>5.14815031434991</v>
      </c>
      <c r="J47" s="27" t="n">
        <f aca="false">J43-J45-J46</f>
        <v>5.38086903401497</v>
      </c>
      <c r="K47" s="27" t="n">
        <f aca="false">K43-K45-K46</f>
        <v>5.57623951300864</v>
      </c>
      <c r="L47" s="27" t="n">
        <f aca="false">L43-L45-L46</f>
        <v>5.79928909352899</v>
      </c>
    </row>
    <row r="48" customFormat="false" ht="15" hidden="false" customHeight="true" outlineLevel="0" collapsed="false">
      <c r="A48" s="3" t="s">
        <v>116</v>
      </c>
      <c r="B48" s="28" t="n">
        <f aca="false">1/(1+$B$9)^B$17</f>
        <v>0.949157995752499</v>
      </c>
      <c r="C48" s="28" t="n">
        <f aca="false">1/(1+$B$9)^C$17</f>
        <v>0.85509729347072</v>
      </c>
      <c r="D48" s="28" t="n">
        <f aca="false">1/(1+$B$9)^D$17</f>
        <v>0.770357922045693</v>
      </c>
      <c r="E48" s="28" t="n">
        <f aca="false">1/(1+$B$9)^E$17</f>
        <v>0.694016145987111</v>
      </c>
      <c r="F48" s="28" t="n">
        <f aca="false">1/(1+$B$9)^F$17</f>
        <v>0.62523977115956</v>
      </c>
      <c r="G48" s="28" t="n">
        <f aca="false">1/(1+$B$9)^G$17</f>
        <v>0.56327907311672</v>
      </c>
      <c r="H48" s="28" t="n">
        <f aca="false">1/(1+$B$9)^H$17</f>
        <v>0.507458624429478</v>
      </c>
      <c r="I48" s="28" t="n">
        <f aca="false">1/(1+$B$9)^I$17</f>
        <v>0.457169931918448</v>
      </c>
      <c r="J48" s="28" t="n">
        <f aca="false">1/(1+$B$9)^J$17</f>
        <v>0.411864803530134</v>
      </c>
      <c r="K48" s="28" t="n">
        <f aca="false">1/(1+$B$9)^K$17</f>
        <v>0.37104937254967</v>
      </c>
      <c r="L48" s="3"/>
    </row>
    <row r="49" customFormat="false" ht="15" hidden="false" customHeight="true" outlineLevel="0" collapsed="false">
      <c r="A49" s="3" t="s">
        <v>117</v>
      </c>
      <c r="B49" s="27" t="n">
        <f aca="false">B47*B48</f>
        <v>2.54967566609015</v>
      </c>
      <c r="C49" s="27" t="n">
        <f aca="false">C47*C48</f>
        <v>2.94213325764471</v>
      </c>
      <c r="D49" s="27" t="n">
        <f aca="false">D47*D48</f>
        <v>2.84743546936139</v>
      </c>
      <c r="E49" s="27" t="n">
        <f aca="false">E47*E48</f>
        <v>2.72835097391183</v>
      </c>
      <c r="F49" s="27" t="n">
        <f aca="false">F47*F48</f>
        <v>2.67993396913266</v>
      </c>
      <c r="G49" s="27" t="n">
        <f aca="false">G47*G48</f>
        <v>2.58795996988794</v>
      </c>
      <c r="H49" s="27" t="n">
        <f aca="false">H47*H48</f>
        <v>2.47838634782229</v>
      </c>
      <c r="I49" s="27" t="n">
        <f aca="false">I47*I48</f>
        <v>2.35357952871729</v>
      </c>
      <c r="J49" s="27" t="n">
        <f aca="false">J47*J48</f>
        <v>2.21619056751596</v>
      </c>
      <c r="K49" s="27" t="n">
        <f aca="false">K47*K48</f>
        <v>2.06906017248853</v>
      </c>
      <c r="L49" s="27"/>
    </row>
    <row r="50" customFormat="false" ht="15" hidden="false" customHeight="true" outlineLevel="0" collapsed="false">
      <c r="A50" s="3" t="s">
        <v>118</v>
      </c>
      <c r="B50" s="27" t="n">
        <f aca="false">L47/($B$9-$B$10)</f>
        <v>82.8469870504141</v>
      </c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Format="false" ht="15" hidden="false" customHeight="true" outlineLevel="0" collapsed="false">
      <c r="A51" s="3" t="s">
        <v>119</v>
      </c>
      <c r="B51" s="27" t="n">
        <f aca="false">B50/(1+$B$9)^$K$17</f>
        <v>30.7403225626868</v>
      </c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Format="false" ht="15" hidden="false" customHeight="true" outlineLevel="0" collapsed="false">
      <c r="A52" s="3" t="s">
        <v>120</v>
      </c>
      <c r="B52" s="27" t="n">
        <f aca="false">SUM(B49:K49)+B51+$B$7</f>
        <v>55.9630284852595</v>
      </c>
      <c r="C52" s="3"/>
      <c r="D52" s="3"/>
      <c r="E52" s="3"/>
      <c r="F52" s="3"/>
      <c r="G52" s="3"/>
      <c r="H52" s="3"/>
      <c r="I52" s="3"/>
      <c r="J52" s="3"/>
      <c r="K52" s="3"/>
      <c r="L52" s="3"/>
    </row>
    <row r="53" customFormat="false" ht="15" hidden="false" customHeight="true" outlineLevel="0" collapsed="false">
      <c r="A53" s="3" t="s">
        <v>121</v>
      </c>
      <c r="B53" s="29" t="n">
        <f aca="false">B52/$B$6*$B$13</f>
        <v>145.362291190056</v>
      </c>
      <c r="C53" s="3"/>
      <c r="D53" s="3"/>
      <c r="E53" s="3"/>
      <c r="F53" s="3"/>
      <c r="G53" s="3"/>
      <c r="H53" s="3"/>
      <c r="I53" s="3"/>
      <c r="J53" s="3"/>
      <c r="K53" s="3"/>
      <c r="L53" s="3"/>
    </row>
    <row r="54" customFormat="false" ht="15" hidden="false" customHeight="true" outlineLevel="0" collapsed="false">
      <c r="A54" s="3" t="s">
        <v>122</v>
      </c>
      <c r="B54" s="8" t="n">
        <f aca="false">B53/$B$4-1</f>
        <v>-0.312837802826626</v>
      </c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customFormat="false" ht="15" hidden="false" customHeight="true" outlineLevel="0" collapsed="false">
      <c r="A56" s="13" t="s">
        <v>169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 customFormat="false" ht="15" hidden="false" customHeight="true" outlineLevel="0" collapsed="false">
      <c r="A57" s="3" t="s">
        <v>107</v>
      </c>
      <c r="B57" s="23" t="n">
        <v>18.5</v>
      </c>
      <c r="C57" s="23" t="n">
        <v>23</v>
      </c>
      <c r="D57" s="23" t="n">
        <v>27</v>
      </c>
      <c r="E57" s="23" t="n">
        <v>31</v>
      </c>
      <c r="F57" s="23" t="n">
        <v>34</v>
      </c>
      <c r="G57" s="27" t="n">
        <f aca="false">F57*(1+$F58+($B$10-$F58)*G$18/5)</f>
        <v>36.9042580645161</v>
      </c>
      <c r="H57" s="27" t="n">
        <f aca="false">G57*(1+$F58+($B$10-$F58)*H$18/5)</f>
        <v>39.6375540811655</v>
      </c>
      <c r="I57" s="27" t="n">
        <f aca="false">H57*(1+$F58+($B$10-$F58)*I$18/5)</f>
        <v>42.1232123112876</v>
      </c>
      <c r="J57" s="27" t="n">
        <f aca="false">I57*(1+$F58+($B$10-$F58)*J$18/5)</f>
        <v>44.2864430854672</v>
      </c>
      <c r="K57" s="27" t="n">
        <f aca="false">J57*(1+$F58+($B$10-$F58)*K$18/5)</f>
        <v>46.0579008088859</v>
      </c>
      <c r="L57" s="27" t="n">
        <f aca="false">K57*(1+$B$10)</f>
        <v>47.9002168412414</v>
      </c>
    </row>
    <row r="58" customFormat="false" ht="15" hidden="false" customHeight="true" outlineLevel="0" collapsed="false">
      <c r="A58" s="3" t="s">
        <v>108</v>
      </c>
      <c r="B58" s="8" t="n">
        <f aca="false">B57/$B$12-1</f>
        <v>0.321428571428571</v>
      </c>
      <c r="C58" s="8" t="n">
        <f aca="false">C57/B57-1</f>
        <v>0.243243243243243</v>
      </c>
      <c r="D58" s="8" t="n">
        <f aca="false">D57/C57-1</f>
        <v>0.173913043478261</v>
      </c>
      <c r="E58" s="8" t="n">
        <f aca="false">E57/D57-1</f>
        <v>0.148148148148148</v>
      </c>
      <c r="F58" s="8" t="n">
        <f aca="false">F57/E57-1</f>
        <v>0.096774193548387</v>
      </c>
      <c r="G58" s="8" t="n">
        <f aca="false">G57/F57-1</f>
        <v>0.0854193548387097</v>
      </c>
      <c r="H58" s="8" t="n">
        <f aca="false">H57/G57-1</f>
        <v>0.0740645161290323</v>
      </c>
      <c r="I58" s="8" t="n">
        <f aca="false">I57/H57-1</f>
        <v>0.0627096774193547</v>
      </c>
      <c r="J58" s="8" t="n">
        <f aca="false">J57/I57-1</f>
        <v>0.0513548387096774</v>
      </c>
      <c r="K58" s="8" t="n">
        <f aca="false">K57/J57-1</f>
        <v>0.04</v>
      </c>
      <c r="L58" s="8" t="n">
        <f aca="false">L57/K57-1</f>
        <v>0.04</v>
      </c>
    </row>
    <row r="59" customFormat="false" ht="15" hidden="false" customHeight="true" outlineLevel="0" collapsed="false">
      <c r="A59" s="3" t="s">
        <v>109</v>
      </c>
      <c r="B59" s="12" t="n">
        <v>0.26</v>
      </c>
      <c r="C59" s="12" t="n">
        <v>0.28</v>
      </c>
      <c r="D59" s="12" t="n">
        <v>0.28</v>
      </c>
      <c r="E59" s="12" t="n">
        <v>0.28</v>
      </c>
      <c r="F59" s="12" t="n">
        <v>0.27</v>
      </c>
      <c r="G59" s="8" t="n">
        <f aca="false">$F59+($L59-$F59)*G$18/5</f>
        <v>0.266</v>
      </c>
      <c r="H59" s="8" t="n">
        <f aca="false">$F59+($L59-$F59)*H$18/5</f>
        <v>0.262</v>
      </c>
      <c r="I59" s="8" t="n">
        <f aca="false">$F59+($L59-$F59)*I$18/5</f>
        <v>0.258</v>
      </c>
      <c r="J59" s="8" t="n">
        <f aca="false">$F59+($L59-$F59)*J$18/5</f>
        <v>0.254</v>
      </c>
      <c r="K59" s="8" t="n">
        <f aca="false">$F59+($L59-$F59)*K$18/5</f>
        <v>0.25</v>
      </c>
      <c r="L59" s="18" t="n">
        <v>0.25</v>
      </c>
    </row>
    <row r="60" customFormat="false" ht="15" hidden="false" customHeight="true" outlineLevel="0" collapsed="false">
      <c r="A60" s="3" t="s">
        <v>110</v>
      </c>
      <c r="B60" s="27" t="n">
        <f aca="false">B57*B59</f>
        <v>4.81</v>
      </c>
      <c r="C60" s="27" t="n">
        <f aca="false">C57*C59</f>
        <v>6.44</v>
      </c>
      <c r="D60" s="27" t="n">
        <f aca="false">D57*D59</f>
        <v>7.56</v>
      </c>
      <c r="E60" s="27" t="n">
        <f aca="false">E57*E59</f>
        <v>8.68</v>
      </c>
      <c r="F60" s="27" t="n">
        <f aca="false">F57*F59</f>
        <v>9.18</v>
      </c>
      <c r="G60" s="27" t="n">
        <f aca="false">G57*G59</f>
        <v>9.81653264516129</v>
      </c>
      <c r="H60" s="27" t="n">
        <f aca="false">H57*H59</f>
        <v>10.3850391692654</v>
      </c>
      <c r="I60" s="27" t="n">
        <f aca="false">I57*I59</f>
        <v>10.8677887763122</v>
      </c>
      <c r="J60" s="27" t="n">
        <f aca="false">J57*J59</f>
        <v>11.2487565437087</v>
      </c>
      <c r="K60" s="27" t="n">
        <f aca="false">K57*K59</f>
        <v>11.5144752022215</v>
      </c>
      <c r="L60" s="27" t="n">
        <f aca="false">L57*L59</f>
        <v>11.9750542103103</v>
      </c>
    </row>
    <row r="61" customFormat="false" ht="15" hidden="false" customHeight="true" outlineLevel="0" collapsed="false">
      <c r="A61" s="3" t="s">
        <v>111</v>
      </c>
      <c r="B61" s="27" t="n">
        <f aca="false">B60*(1-$B$8)</f>
        <v>3.7999</v>
      </c>
      <c r="C61" s="27" t="n">
        <f aca="false">C60*(1-$B$8)</f>
        <v>5.0876</v>
      </c>
      <c r="D61" s="27" t="n">
        <f aca="false">D60*(1-$B$8)</f>
        <v>5.9724</v>
      </c>
      <c r="E61" s="27" t="n">
        <f aca="false">E60*(1-$B$8)</f>
        <v>6.8572</v>
      </c>
      <c r="F61" s="27" t="n">
        <f aca="false">F60*(1-$B$8)</f>
        <v>7.2522</v>
      </c>
      <c r="G61" s="27" t="n">
        <f aca="false">G60*(1-$B$8)</f>
        <v>7.75506078967742</v>
      </c>
      <c r="H61" s="27" t="n">
        <f aca="false">H60*(1-$B$8)</f>
        <v>8.20418094371963</v>
      </c>
      <c r="I61" s="27" t="n">
        <f aca="false">I60*(1-$B$8)</f>
        <v>8.58555313328663</v>
      </c>
      <c r="J61" s="27" t="n">
        <f aca="false">J60*(1-$B$8)</f>
        <v>8.88651766952986</v>
      </c>
      <c r="K61" s="27" t="n">
        <f aca="false">K60*(1-$B$8)</f>
        <v>9.09643540975497</v>
      </c>
      <c r="L61" s="27" t="n">
        <f aca="false">L60*(1-$B$8)</f>
        <v>9.46029282614517</v>
      </c>
    </row>
    <row r="62" customFormat="false" ht="15" hidden="false" customHeight="true" outlineLevel="0" collapsed="false">
      <c r="A62" s="3" t="s">
        <v>112</v>
      </c>
      <c r="B62" s="12" t="n">
        <v>0.02</v>
      </c>
      <c r="C62" s="12" t="n">
        <v>0.02</v>
      </c>
      <c r="D62" s="12" t="n">
        <v>0.02</v>
      </c>
      <c r="E62" s="12" t="n">
        <v>0.02</v>
      </c>
      <c r="F62" s="12" t="n">
        <v>0.02</v>
      </c>
      <c r="G62" s="8" t="n">
        <f aca="false">$F62+($L62-$F62)*G$18/5</f>
        <v>0.02</v>
      </c>
      <c r="H62" s="8" t="n">
        <f aca="false">$F62+($L62-$F62)*H$18/5</f>
        <v>0.02</v>
      </c>
      <c r="I62" s="8" t="n">
        <f aca="false">$F62+($L62-$F62)*I$18/5</f>
        <v>0.02</v>
      </c>
      <c r="J62" s="8" t="n">
        <f aca="false">$F62+($L62-$F62)*J$18/5</f>
        <v>0.02</v>
      </c>
      <c r="K62" s="8" t="n">
        <f aca="false">$F62+($L62-$F62)*K$18/5</f>
        <v>0.02</v>
      </c>
      <c r="L62" s="12" t="n">
        <v>0.02</v>
      </c>
    </row>
    <row r="63" customFormat="false" ht="15" hidden="false" customHeight="true" outlineLevel="0" collapsed="false">
      <c r="A63" s="3" t="s">
        <v>113</v>
      </c>
      <c r="B63" s="27" t="n">
        <f aca="false">B57*B62</f>
        <v>0.37</v>
      </c>
      <c r="C63" s="27" t="n">
        <f aca="false">C57*C62</f>
        <v>0.46</v>
      </c>
      <c r="D63" s="27" t="n">
        <f aca="false">D57*D62</f>
        <v>0.54</v>
      </c>
      <c r="E63" s="27" t="n">
        <f aca="false">E57*E62</f>
        <v>0.62</v>
      </c>
      <c r="F63" s="27" t="n">
        <f aca="false">F57*F62</f>
        <v>0.68</v>
      </c>
      <c r="G63" s="27" t="n">
        <f aca="false">G57*G62</f>
        <v>0.738085161290323</v>
      </c>
      <c r="H63" s="27" t="n">
        <f aca="false">H57*H62</f>
        <v>0.792751081623309</v>
      </c>
      <c r="I63" s="27" t="n">
        <f aca="false">I57*I62</f>
        <v>0.842464246225751</v>
      </c>
      <c r="J63" s="27" t="n">
        <f aca="false">J57*J62</f>
        <v>0.885728861709345</v>
      </c>
      <c r="K63" s="27" t="n">
        <f aca="false">K57*K62</f>
        <v>0.921158016177719</v>
      </c>
      <c r="L63" s="27" t="n">
        <f aca="false">L57*L62</f>
        <v>0.958004336824827</v>
      </c>
    </row>
    <row r="64" customFormat="false" ht="15" hidden="false" customHeight="true" outlineLevel="0" collapsed="false">
      <c r="A64" s="3" t="s">
        <v>114</v>
      </c>
      <c r="B64" s="27" t="n">
        <f aca="false">$B$11*(B57-$B$12)</f>
        <v>0.54</v>
      </c>
      <c r="C64" s="27" t="n">
        <f aca="false">$B$11*(C57-B57)</f>
        <v>0.54</v>
      </c>
      <c r="D64" s="27" t="n">
        <f aca="false">$B$11*(D57-C57)</f>
        <v>0.48</v>
      </c>
      <c r="E64" s="27" t="n">
        <f aca="false">$B$11*(E57-D57)</f>
        <v>0.48</v>
      </c>
      <c r="F64" s="27" t="n">
        <f aca="false">$B$11*(F57-E57)</f>
        <v>0.36</v>
      </c>
      <c r="G64" s="27" t="n">
        <f aca="false">$B$11*(G57-F57)</f>
        <v>0.348510967741935</v>
      </c>
      <c r="H64" s="27" t="n">
        <f aca="false">$B$11*(H57-G57)</f>
        <v>0.327995521997919</v>
      </c>
      <c r="I64" s="27" t="n">
        <f aca="false">$B$11*(I57-H57)</f>
        <v>0.298278987614654</v>
      </c>
      <c r="J64" s="27" t="n">
        <f aca="false">$B$11*(J57-I57)</f>
        <v>0.25958769290156</v>
      </c>
      <c r="K64" s="27" t="n">
        <f aca="false">$B$11*(K57-J57)</f>
        <v>0.212574926810243</v>
      </c>
      <c r="L64" s="27" t="n">
        <f aca="false">$B$11*(L57-K57)</f>
        <v>0.221077923882653</v>
      </c>
    </row>
    <row r="65" customFormat="false" ht="15" hidden="false" customHeight="true" outlineLevel="0" collapsed="false">
      <c r="A65" s="3" t="s">
        <v>115</v>
      </c>
      <c r="B65" s="27" t="n">
        <f aca="false">B61-B63-B64</f>
        <v>2.8899</v>
      </c>
      <c r="C65" s="27" t="n">
        <f aca="false">C61-C63-C64</f>
        <v>4.0876</v>
      </c>
      <c r="D65" s="27" t="n">
        <f aca="false">D61-D63-D64</f>
        <v>4.9524</v>
      </c>
      <c r="E65" s="27" t="n">
        <f aca="false">E61-E63-E64</f>
        <v>5.7572</v>
      </c>
      <c r="F65" s="27" t="n">
        <f aca="false">F61-F63-F64</f>
        <v>6.2122</v>
      </c>
      <c r="G65" s="27" t="n">
        <f aca="false">G61-G63-G64</f>
        <v>6.66846466064516</v>
      </c>
      <c r="H65" s="27" t="n">
        <f aca="false">H61-H63-H64</f>
        <v>7.0834343400984</v>
      </c>
      <c r="I65" s="27" t="n">
        <f aca="false">I61-I63-I64</f>
        <v>7.44480989944623</v>
      </c>
      <c r="J65" s="27" t="n">
        <f aca="false">J61-J63-J64</f>
        <v>7.74120111491895</v>
      </c>
      <c r="K65" s="27" t="n">
        <f aca="false">K61-K63-K64</f>
        <v>7.96270246676701</v>
      </c>
      <c r="L65" s="27" t="n">
        <f aca="false">L61-L63-L64</f>
        <v>8.28121056543769</v>
      </c>
    </row>
    <row r="66" customFormat="false" ht="15" hidden="false" customHeight="true" outlineLevel="0" collapsed="false">
      <c r="A66" s="3" t="s">
        <v>116</v>
      </c>
      <c r="B66" s="28" t="n">
        <f aca="false">1/(1+$B$9)^B$17</f>
        <v>0.949157995752499</v>
      </c>
      <c r="C66" s="28" t="n">
        <f aca="false">1/(1+$B$9)^C$17</f>
        <v>0.85509729347072</v>
      </c>
      <c r="D66" s="28" t="n">
        <f aca="false">1/(1+$B$9)^D$17</f>
        <v>0.770357922045693</v>
      </c>
      <c r="E66" s="28" t="n">
        <f aca="false">1/(1+$B$9)^E$17</f>
        <v>0.694016145987111</v>
      </c>
      <c r="F66" s="28" t="n">
        <f aca="false">1/(1+$B$9)^F$17</f>
        <v>0.62523977115956</v>
      </c>
      <c r="G66" s="28" t="n">
        <f aca="false">1/(1+$B$9)^G$17</f>
        <v>0.56327907311672</v>
      </c>
      <c r="H66" s="28" t="n">
        <f aca="false">1/(1+$B$9)^H$17</f>
        <v>0.507458624429478</v>
      </c>
      <c r="I66" s="28" t="n">
        <f aca="false">1/(1+$B$9)^I$17</f>
        <v>0.457169931918448</v>
      </c>
      <c r="J66" s="28" t="n">
        <f aca="false">1/(1+$B$9)^J$17</f>
        <v>0.411864803530134</v>
      </c>
      <c r="K66" s="28" t="n">
        <f aca="false">1/(1+$B$9)^K$17</f>
        <v>0.37104937254967</v>
      </c>
      <c r="L66" s="3"/>
    </row>
    <row r="67" customFormat="false" ht="15" hidden="false" customHeight="true" outlineLevel="0" collapsed="false">
      <c r="A67" s="3" t="s">
        <v>117</v>
      </c>
      <c r="B67" s="27" t="n">
        <f aca="false">B65*B66</f>
        <v>2.74297169192515</v>
      </c>
      <c r="C67" s="27" t="n">
        <f aca="false">C65*C66</f>
        <v>3.49529569679091</v>
      </c>
      <c r="D67" s="27" t="n">
        <f aca="false">D65*D66</f>
        <v>3.81512057313909</v>
      </c>
      <c r="E67" s="27" t="n">
        <f aca="false">E65*E66</f>
        <v>3.995589755677</v>
      </c>
      <c r="F67" s="27" t="n">
        <f aca="false">F65*F66</f>
        <v>3.88411450639742</v>
      </c>
      <c r="G67" s="27" t="n">
        <f aca="false">G65*G66</f>
        <v>3.75620659315981</v>
      </c>
      <c r="H67" s="27" t="n">
        <f aca="false">H65*H66</f>
        <v>3.59454984646286</v>
      </c>
      <c r="I67" s="27" t="n">
        <f aca="false">I65*I66</f>
        <v>3.40354323487562</v>
      </c>
      <c r="J67" s="27" t="n">
        <f aca="false">J65*J66</f>
        <v>3.18832827628335</v>
      </c>
      <c r="K67" s="27" t="n">
        <f aca="false">K65*K66</f>
        <v>2.95455575409361</v>
      </c>
      <c r="L67" s="27"/>
    </row>
    <row r="68" customFormat="false" ht="15" hidden="false" customHeight="true" outlineLevel="0" collapsed="false">
      <c r="A68" s="3" t="s">
        <v>118</v>
      </c>
      <c r="B68" s="27" t="n">
        <f aca="false">L65/($B$9-$B$10)</f>
        <v>118.303008077681</v>
      </c>
      <c r="C68" s="3"/>
      <c r="D68" s="3"/>
      <c r="E68" s="3"/>
      <c r="F68" s="3"/>
      <c r="G68" s="3"/>
      <c r="H68" s="3"/>
      <c r="I68" s="3"/>
      <c r="J68" s="3"/>
      <c r="K68" s="3"/>
      <c r="L68" s="3"/>
    </row>
    <row r="69" customFormat="false" ht="15" hidden="false" customHeight="true" outlineLevel="0" collapsed="false">
      <c r="A69" s="3" t="s">
        <v>119</v>
      </c>
      <c r="B69" s="27" t="n">
        <f aca="false">B68/(1+$B$9)^$K$17</f>
        <v>43.8962569179622</v>
      </c>
      <c r="C69" s="3"/>
      <c r="D69" s="3"/>
      <c r="E69" s="3"/>
      <c r="F69" s="3"/>
      <c r="G69" s="3"/>
      <c r="H69" s="3"/>
      <c r="I69" s="3"/>
      <c r="J69" s="3"/>
      <c r="K69" s="3"/>
      <c r="L69" s="3"/>
    </row>
    <row r="70" customFormat="false" ht="15" hidden="false" customHeight="true" outlineLevel="0" collapsed="false">
      <c r="A70" s="3" t="s">
        <v>120</v>
      </c>
      <c r="B70" s="27" t="n">
        <f aca="false">SUM(B67:K67)+B69+$B$7</f>
        <v>78.496532846767</v>
      </c>
      <c r="C70" s="3"/>
      <c r="D70" s="3"/>
      <c r="E70" s="3"/>
      <c r="F70" s="3"/>
      <c r="G70" s="3"/>
      <c r="H70" s="3"/>
      <c r="I70" s="3"/>
      <c r="J70" s="3"/>
      <c r="K70" s="3"/>
      <c r="L70" s="3"/>
    </row>
    <row r="71" customFormat="false" ht="15" hidden="false" customHeight="true" outlineLevel="0" collapsed="false">
      <c r="A71" s="3" t="s">
        <v>121</v>
      </c>
      <c r="B71" s="29" t="n">
        <f aca="false">B70/$B$6*$B$13</f>
        <v>203.892394209634</v>
      </c>
      <c r="C71" s="3"/>
      <c r="D71" s="3"/>
      <c r="E71" s="3"/>
      <c r="F71" s="3"/>
      <c r="G71" s="3"/>
      <c r="H71" s="3"/>
      <c r="I71" s="3"/>
      <c r="J71" s="3"/>
      <c r="K71" s="3"/>
      <c r="L71" s="3"/>
    </row>
    <row r="72" customFormat="false" ht="15" hidden="false" customHeight="true" outlineLevel="0" collapsed="false">
      <c r="A72" s="3" t="s">
        <v>122</v>
      </c>
      <c r="B72" s="8" t="n">
        <f aca="false">B71/$B$4-1</f>
        <v>-0.0361520553576915</v>
      </c>
      <c r="C72" s="3"/>
      <c r="D72" s="3"/>
      <c r="E72" s="3"/>
      <c r="F72" s="3"/>
      <c r="G72" s="3"/>
      <c r="H72" s="3"/>
      <c r="I72" s="3"/>
      <c r="J72" s="3"/>
      <c r="K72" s="3"/>
      <c r="L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customFormat="false" ht="15" hidden="false" customHeight="true" outlineLevel="0" collapsed="false">
      <c r="A76" s="13" t="s">
        <v>125</v>
      </c>
      <c r="B76" s="26"/>
      <c r="C76" s="13" t="s">
        <v>126</v>
      </c>
      <c r="D76" s="26"/>
      <c r="E76" s="26"/>
      <c r="F76" s="26"/>
      <c r="G76" s="26"/>
      <c r="H76" s="26"/>
      <c r="I76" s="26"/>
      <c r="J76" s="26"/>
      <c r="K76" s="26"/>
      <c r="L76" s="26"/>
    </row>
    <row r="77" customFormat="false" ht="15" hidden="false" customHeight="true" outlineLevel="0" collapsed="false">
      <c r="A77" s="3" t="s">
        <v>127</v>
      </c>
      <c r="B77" s="30" t="n">
        <f aca="false">B35</f>
        <v>74.2327138509978</v>
      </c>
      <c r="C77" s="8" t="n">
        <f aca="false">B77/$B$4-1</f>
        <v>-0.649084268455149</v>
      </c>
      <c r="D77" s="3"/>
      <c r="E77" s="3"/>
      <c r="F77" s="3"/>
      <c r="G77" s="3"/>
      <c r="H77" s="3"/>
      <c r="I77" s="3"/>
      <c r="J77" s="3"/>
      <c r="K77" s="3"/>
      <c r="L77" s="3"/>
    </row>
    <row r="78" customFormat="false" ht="15" hidden="false" customHeight="true" outlineLevel="0" collapsed="false">
      <c r="A78" s="3" t="s">
        <v>128</v>
      </c>
      <c r="B78" s="30" t="n">
        <f aca="false">B53</f>
        <v>145.362291190056</v>
      </c>
      <c r="C78" s="8" t="n">
        <f aca="false">B78/$B$4-1</f>
        <v>-0.312837802826626</v>
      </c>
      <c r="D78" s="3"/>
      <c r="E78" s="3"/>
      <c r="F78" s="3"/>
      <c r="G78" s="3"/>
      <c r="H78" s="3"/>
      <c r="I78" s="3"/>
      <c r="J78" s="3"/>
      <c r="K78" s="3"/>
      <c r="L78" s="3"/>
    </row>
    <row r="79" customFormat="false" ht="15" hidden="false" customHeight="true" outlineLevel="0" collapsed="false">
      <c r="A79" s="3" t="s">
        <v>129</v>
      </c>
      <c r="B79" s="30" t="n">
        <f aca="false">B71</f>
        <v>203.892394209634</v>
      </c>
      <c r="C79" s="8" t="n">
        <f aca="false">B79/$B$4-1</f>
        <v>-0.0361520553576915</v>
      </c>
      <c r="D79" s="3"/>
      <c r="E79" s="3"/>
      <c r="F79" s="3"/>
      <c r="G79" s="3"/>
      <c r="H79" s="3"/>
      <c r="I79" s="3"/>
      <c r="J79" s="3"/>
      <c r="K79" s="3"/>
      <c r="L79" s="3"/>
    </row>
    <row r="80" customFormat="false" ht="15" hidden="false" customHeight="true" outlineLevel="0" collapsed="false">
      <c r="A80" s="3" t="s">
        <v>130</v>
      </c>
      <c r="B80" s="30" t="n">
        <f aca="false">INDEX(B35:B71,1+($B$14-1)*18)</f>
        <v>145.362291190056</v>
      </c>
      <c r="C80" s="8" t="n">
        <f aca="false">B80/$B$4-1</f>
        <v>-0.312837802826626</v>
      </c>
      <c r="D80" s="3"/>
      <c r="E80" s="3"/>
      <c r="F80" s="3"/>
      <c r="G80" s="3"/>
      <c r="H80" s="3"/>
      <c r="I80" s="3"/>
      <c r="J80" s="3"/>
      <c r="K80" s="3"/>
      <c r="L80" s="3"/>
    </row>
    <row r="81" customFormat="false" ht="15" hidden="false" customHeight="true" outlineLevel="0" collapsed="false">
      <c r="A81" s="3" t="s">
        <v>131</v>
      </c>
      <c r="B81" s="30" t="n">
        <f aca="false">B78</f>
        <v>145.362291190056</v>
      </c>
      <c r="C81" s="3"/>
      <c r="D81" s="3"/>
      <c r="E81" s="3"/>
      <c r="F81" s="3"/>
      <c r="G81" s="3"/>
      <c r="H81" s="3"/>
      <c r="I81" s="3"/>
      <c r="J81" s="3"/>
      <c r="K81" s="3"/>
      <c r="L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customFormat="false" ht="15" hidden="false" customHeight="true" outlineLevel="0" collapsed="false">
      <c r="A83" s="10" t="s">
        <v>132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customFormat="false" ht="15" hidden="false" customHeight="true" outlineLevel="0" collapsed="false">
      <c r="A84" s="3" t="s">
        <v>133</v>
      </c>
      <c r="B84" s="12" t="n">
        <v>0.08</v>
      </c>
      <c r="C84" s="12" t="n">
        <v>0.09</v>
      </c>
      <c r="D84" s="12" t="n">
        <v>0.1</v>
      </c>
      <c r="E84" s="12" t="n">
        <v>0.11</v>
      </c>
      <c r="F84" s="12" t="n">
        <v>0.12</v>
      </c>
      <c r="G84" s="12" t="n">
        <v>0.13</v>
      </c>
      <c r="H84" s="3"/>
      <c r="I84" s="3"/>
      <c r="J84" s="3"/>
      <c r="K84" s="3"/>
      <c r="L84" s="3"/>
    </row>
    <row r="85" customFormat="false" ht="15" hidden="false" customHeight="true" outlineLevel="0" collapsed="false">
      <c r="A85" s="3" t="s">
        <v>128</v>
      </c>
      <c r="B85" s="30" t="n">
        <f aca="false">(SUMPRODUCT(B47:K47/(1+B84)^$B$17:$K$17)+L47/(B84-$B$10)/(1+B84)^$K$17+$B$7)/$B$6*$B$13</f>
        <v>256.204233992345</v>
      </c>
      <c r="C85" s="30" t="n">
        <f aca="false">(SUMPRODUCT(B47:K47/(1+C84)^$B$17:$K$17)+L47/(C84-$B$10)/(1+C84)^$K$17+$B$7)/$B$6*$B$13</f>
        <v>204.436153571748</v>
      </c>
      <c r="D85" s="30" t="n">
        <f aca="false">(SUMPRODUCT(B47:K47/(1+D84)^$B$17:$K$17)+L47/(D84-$B$10)/(1+D84)^$K$17+$B$7)/$B$6*$B$13</f>
        <v>169.959679017035</v>
      </c>
      <c r="E85" s="30" t="n">
        <f aca="false">(SUMPRODUCT(B47:K47/(1+E84)^$B$17:$K$17)+L47/(E84-$B$10)/(1+E84)^$K$17+$B$7)/$B$6*$B$13</f>
        <v>145.362291190056</v>
      </c>
      <c r="F85" s="30" t="n">
        <f aca="false">(SUMPRODUCT(B47:K47/(1+F84)^$B$17:$K$17)+L47/(F84-$B$10)/(1+F84)^$K$17+$B$7)/$B$6*$B$13</f>
        <v>126.937840487993</v>
      </c>
      <c r="G85" s="30" t="n">
        <f aca="false">(SUMPRODUCT(B47:K47/(1+G84)^$B$17:$K$17)+L47/(G84-$B$10)/(1+G84)^$K$17+$B$7)/$B$6*$B$13</f>
        <v>112.627445073895</v>
      </c>
      <c r="H85" s="3"/>
      <c r="I85" s="3"/>
      <c r="J85" s="3"/>
      <c r="K85" s="3"/>
      <c r="L85" s="3"/>
    </row>
    <row r="86" customFormat="false" ht="15" hidden="false" customHeight="true" outlineLevel="0" collapsed="false">
      <c r="A86" s="3" t="s">
        <v>134</v>
      </c>
      <c r="B86" s="8" t="n">
        <f aca="false">B85/$B$4-1</f>
        <v>0.211138479683958</v>
      </c>
      <c r="C86" s="8" t="n">
        <f aca="false">C85/$B$4-1</f>
        <v>-0.0335815752493702</v>
      </c>
      <c r="D86" s="8" t="n">
        <f aca="false">D85/$B$4-1</f>
        <v>-0.196560087846107</v>
      </c>
      <c r="E86" s="8" t="n">
        <f aca="false">E85/$B$4-1</f>
        <v>-0.312837802826626</v>
      </c>
      <c r="F86" s="8" t="n">
        <f aca="false">F85/$B$4-1</f>
        <v>-0.399934572714413</v>
      </c>
      <c r="G86" s="8" t="n">
        <f aca="false">G85/$B$4-1</f>
        <v>-0.467583222681785</v>
      </c>
      <c r="H86" s="3"/>
      <c r="I86" s="3"/>
      <c r="J86" s="3"/>
      <c r="K86" s="3"/>
      <c r="L8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12" min="2" style="1" width="11"/>
  </cols>
  <sheetData>
    <row r="1" customFormat="false" ht="15.75" hidden="false" customHeight="true" outlineLevel="0" collapsed="false">
      <c r="A1" s="2" t="s">
        <v>170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" hidden="false" customHeight="true" outlineLevel="0" collapsed="false">
      <c r="A2" s="4" t="s">
        <v>171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true" outlineLevel="0" collapsed="false">
      <c r="A4" s="3" t="s">
        <v>3</v>
      </c>
      <c r="B4" s="31" t="n">
        <v>133</v>
      </c>
      <c r="C4" s="4" t="s">
        <v>172</v>
      </c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true" outlineLevel="0" collapsed="false">
      <c r="A5" s="3" t="s">
        <v>75</v>
      </c>
      <c r="B5" s="21" t="s">
        <v>173</v>
      </c>
      <c r="C5" s="4" t="s">
        <v>77</v>
      </c>
      <c r="D5" s="3"/>
      <c r="E5" s="3"/>
      <c r="F5" s="3"/>
      <c r="G5" s="3"/>
      <c r="H5" s="3"/>
      <c r="I5" s="3"/>
      <c r="J5" s="3"/>
      <c r="K5" s="3"/>
      <c r="L5" s="3"/>
    </row>
    <row r="6" customFormat="false" ht="15" hidden="false" customHeight="true" outlineLevel="0" collapsed="false">
      <c r="A6" s="3" t="s">
        <v>78</v>
      </c>
      <c r="B6" s="22" t="n">
        <v>0.85534</v>
      </c>
      <c r="C6" s="4" t="s">
        <v>138</v>
      </c>
      <c r="D6" s="3"/>
      <c r="E6" s="3"/>
      <c r="F6" s="3"/>
      <c r="G6" s="3"/>
      <c r="H6" s="3"/>
      <c r="I6" s="3"/>
      <c r="J6" s="3"/>
      <c r="K6" s="3"/>
      <c r="L6" s="3"/>
    </row>
    <row r="7" customFormat="false" ht="15" hidden="false" customHeight="true" outlineLevel="0" collapsed="false">
      <c r="A7" s="3" t="s">
        <v>174</v>
      </c>
      <c r="B7" s="23" t="n">
        <v>8.13</v>
      </c>
      <c r="C7" s="4" t="s">
        <v>175</v>
      </c>
      <c r="D7" s="3"/>
      <c r="E7" s="3"/>
      <c r="F7" s="3"/>
      <c r="G7" s="3"/>
      <c r="H7" s="3"/>
      <c r="I7" s="3"/>
      <c r="J7" s="3"/>
      <c r="K7" s="3"/>
      <c r="L7" s="3"/>
    </row>
    <row r="8" customFormat="false" ht="15" hidden="false" customHeight="true" outlineLevel="0" collapsed="false">
      <c r="A8" s="3" t="s">
        <v>56</v>
      </c>
      <c r="B8" s="12" t="n">
        <v>0.28</v>
      </c>
      <c r="C8" s="4" t="s">
        <v>33</v>
      </c>
      <c r="D8" s="3"/>
      <c r="E8" s="3"/>
      <c r="F8" s="3"/>
      <c r="G8" s="3"/>
      <c r="H8" s="3"/>
      <c r="I8" s="3"/>
      <c r="J8" s="3"/>
      <c r="K8" s="3"/>
      <c r="L8" s="3"/>
    </row>
    <row r="9" customFormat="false" ht="15" hidden="false" customHeight="true" outlineLevel="0" collapsed="false">
      <c r="A9" s="3" t="s">
        <v>82</v>
      </c>
      <c r="B9" s="7" t="n">
        <f aca="false">WACC!F26</f>
        <v>0.11</v>
      </c>
      <c r="C9" s="4" t="s">
        <v>83</v>
      </c>
      <c r="D9" s="3"/>
      <c r="E9" s="3"/>
      <c r="F9" s="3"/>
      <c r="G9" s="3"/>
      <c r="H9" s="3"/>
      <c r="I9" s="3"/>
      <c r="J9" s="3"/>
      <c r="K9" s="3"/>
      <c r="L9" s="3"/>
    </row>
    <row r="10" customFormat="false" ht="15" hidden="false" customHeight="true" outlineLevel="0" collapsed="false">
      <c r="A10" s="3" t="s">
        <v>84</v>
      </c>
      <c r="B10" s="18" t="n">
        <v>0.035</v>
      </c>
      <c r="C10" s="4" t="s">
        <v>33</v>
      </c>
      <c r="D10" s="3"/>
      <c r="E10" s="3"/>
      <c r="F10" s="3"/>
      <c r="G10" s="3"/>
      <c r="H10" s="3"/>
      <c r="I10" s="3"/>
      <c r="J10" s="3"/>
      <c r="K10" s="3"/>
      <c r="L10" s="3"/>
    </row>
    <row r="11" customFormat="false" ht="15" hidden="false" customHeight="true" outlineLevel="0" collapsed="false">
      <c r="A11" s="3" t="s">
        <v>85</v>
      </c>
      <c r="B11" s="12" t="n">
        <v>0</v>
      </c>
      <c r="C11" s="4" t="s">
        <v>33</v>
      </c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5" hidden="false" customHeight="true" outlineLevel="0" collapsed="false">
      <c r="A12" s="3" t="s">
        <v>176</v>
      </c>
      <c r="B12" s="23" t="n">
        <v>44</v>
      </c>
      <c r="C12" s="4" t="s">
        <v>177</v>
      </c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true" outlineLevel="0" collapsed="false">
      <c r="A13" s="3" t="s">
        <v>88</v>
      </c>
      <c r="B13" s="24" t="n">
        <v>1</v>
      </c>
      <c r="C13" s="4" t="s">
        <v>89</v>
      </c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5" hidden="false" customHeight="true" outlineLevel="0" collapsed="false">
      <c r="A14" s="3" t="s">
        <v>90</v>
      </c>
      <c r="B14" s="11" t="n">
        <v>2</v>
      </c>
      <c r="C14" s="4" t="s">
        <v>91</v>
      </c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5" hidden="false" customHeight="true" outlineLevel="0" collapsed="false">
      <c r="A16" s="10" t="s">
        <v>92</v>
      </c>
      <c r="B16" s="25" t="s">
        <v>149</v>
      </c>
      <c r="C16" s="25" t="s">
        <v>150</v>
      </c>
      <c r="D16" s="25" t="s">
        <v>151</v>
      </c>
      <c r="E16" s="25" t="s">
        <v>152</v>
      </c>
      <c r="F16" s="25" t="s">
        <v>153</v>
      </c>
      <c r="G16" s="25" t="s">
        <v>154</v>
      </c>
      <c r="H16" s="25" t="s">
        <v>155</v>
      </c>
      <c r="I16" s="25" t="s">
        <v>156</v>
      </c>
      <c r="J16" s="25" t="s">
        <v>157</v>
      </c>
      <c r="K16" s="25" t="s">
        <v>158</v>
      </c>
      <c r="L16" s="10" t="s">
        <v>103</v>
      </c>
    </row>
    <row r="17" customFormat="false" ht="15" hidden="false" customHeight="true" outlineLevel="0" collapsed="false">
      <c r="A17" s="3" t="s">
        <v>104</v>
      </c>
      <c r="B17" s="21" t="n">
        <v>0.5</v>
      </c>
      <c r="C17" s="3" t="n">
        <f aca="false">B17+1</f>
        <v>1.5</v>
      </c>
      <c r="D17" s="3" t="n">
        <f aca="false">C17+1</f>
        <v>2.5</v>
      </c>
      <c r="E17" s="3" t="n">
        <f aca="false">D17+1</f>
        <v>3.5</v>
      </c>
      <c r="F17" s="3" t="n">
        <f aca="false">E17+1</f>
        <v>4.5</v>
      </c>
      <c r="G17" s="3" t="n">
        <f aca="false">F17+1</f>
        <v>5.5</v>
      </c>
      <c r="H17" s="3" t="n">
        <f aca="false">G17+1</f>
        <v>6.5</v>
      </c>
      <c r="I17" s="3" t="n">
        <f aca="false">H17+1</f>
        <v>7.5</v>
      </c>
      <c r="J17" s="3" t="n">
        <f aca="false">I17+1</f>
        <v>8.5</v>
      </c>
      <c r="K17" s="3" t="n">
        <f aca="false">J17+1</f>
        <v>9.5</v>
      </c>
      <c r="L17" s="3"/>
    </row>
    <row r="18" customFormat="false" ht="15" hidden="false" customHeight="true" outlineLevel="0" collapsed="false">
      <c r="A18" s="3" t="s">
        <v>105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2</v>
      </c>
      <c r="I18" s="3" t="n">
        <v>3</v>
      </c>
      <c r="J18" s="3" t="n">
        <v>4</v>
      </c>
      <c r="K18" s="3" t="n">
        <v>5</v>
      </c>
      <c r="L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5" hidden="false" customHeight="true" outlineLevel="0" collapsed="false">
      <c r="A20" s="13" t="s">
        <v>178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customFormat="false" ht="15" hidden="false" customHeight="true" outlineLevel="0" collapsed="false">
      <c r="A21" s="3" t="s">
        <v>107</v>
      </c>
      <c r="B21" s="23" t="n">
        <v>46</v>
      </c>
      <c r="C21" s="23" t="n">
        <v>46</v>
      </c>
      <c r="D21" s="23" t="n">
        <v>47</v>
      </c>
      <c r="E21" s="23" t="n">
        <v>49</v>
      </c>
      <c r="F21" s="23" t="n">
        <v>51</v>
      </c>
      <c r="G21" s="27" t="n">
        <f aca="false">F21*(1+$F22+($B$10-$F22)*G$18/5)</f>
        <v>53.022306122449</v>
      </c>
      <c r="H21" s="27" t="n">
        <f aca="false">G21*(1+$F22+($B$10-$F22)*H$18/5)</f>
        <v>55.0631238642232</v>
      </c>
      <c r="I21" s="27" t="n">
        <f aca="false">H21*(1+$F22+($B$10-$F22)*I$18/5)</f>
        <v>57.118439242747</v>
      </c>
      <c r="J21" s="27" t="n">
        <f aca="false">I21*(1+$F22+($B$10-$F22)*J$18/5)</f>
        <v>59.1840285149541</v>
      </c>
      <c r="K21" s="27" t="n">
        <f aca="false">J21*(1+$F22+($B$10-$F22)*K$18/5)</f>
        <v>61.2554695129775</v>
      </c>
      <c r="L21" s="27" t="n">
        <f aca="false">K21*(1+$B$10)</f>
        <v>63.3994109459317</v>
      </c>
    </row>
    <row r="22" customFormat="false" ht="15" hidden="false" customHeight="true" outlineLevel="0" collapsed="false">
      <c r="A22" s="3" t="s">
        <v>108</v>
      </c>
      <c r="B22" s="8" t="n">
        <f aca="false">B21/$B$12-1</f>
        <v>0.0454545454545454</v>
      </c>
      <c r="C22" s="8" t="n">
        <f aca="false">C21/B21-1</f>
        <v>0</v>
      </c>
      <c r="D22" s="8" t="n">
        <f aca="false">D21/C21-1</f>
        <v>0.0217391304347827</v>
      </c>
      <c r="E22" s="8" t="n">
        <f aca="false">E21/D21-1</f>
        <v>0.0425531914893618</v>
      </c>
      <c r="F22" s="8" t="n">
        <f aca="false">F21/E21-1</f>
        <v>0.0408163265306123</v>
      </c>
      <c r="G22" s="8" t="n">
        <f aca="false">G21/F21-1</f>
        <v>0.0396530612244899</v>
      </c>
      <c r="H22" s="8" t="n">
        <f aca="false">H21/G21-1</f>
        <v>0.0384897959183674</v>
      </c>
      <c r="I22" s="8" t="n">
        <f aca="false">I21/H21-1</f>
        <v>0.037326530612245</v>
      </c>
      <c r="J22" s="8" t="n">
        <f aca="false">J21/I21-1</f>
        <v>0.0361632653061226</v>
      </c>
      <c r="K22" s="8" t="n">
        <f aca="false">K21/J21-1</f>
        <v>0.0349999999999999</v>
      </c>
      <c r="L22" s="8" t="n">
        <f aca="false">L21/K21-1</f>
        <v>0.0349999999999999</v>
      </c>
    </row>
    <row r="23" customFormat="false" ht="15" hidden="false" customHeight="true" outlineLevel="0" collapsed="false">
      <c r="A23" s="3" t="s">
        <v>109</v>
      </c>
      <c r="B23" s="12" t="n">
        <v>0.1</v>
      </c>
      <c r="C23" s="12" t="n">
        <v>0.09</v>
      </c>
      <c r="D23" s="12" t="n">
        <v>0.09</v>
      </c>
      <c r="E23" s="12" t="n">
        <v>0.1</v>
      </c>
      <c r="F23" s="12" t="n">
        <v>0.1</v>
      </c>
      <c r="G23" s="8" t="n">
        <f aca="false">$F23+($L23-$F23)*G$18/5</f>
        <v>0.098</v>
      </c>
      <c r="H23" s="8" t="n">
        <f aca="false">$F23+($L23-$F23)*H$18/5</f>
        <v>0.096</v>
      </c>
      <c r="I23" s="8" t="n">
        <f aca="false">$F23+($L23-$F23)*I$18/5</f>
        <v>0.094</v>
      </c>
      <c r="J23" s="8" t="n">
        <f aca="false">$F23+($L23-$F23)*J$18/5</f>
        <v>0.092</v>
      </c>
      <c r="K23" s="8" t="n">
        <f aca="false">$F23+($L23-$F23)*K$18/5</f>
        <v>0.09</v>
      </c>
      <c r="L23" s="18" t="n">
        <v>0.09</v>
      </c>
    </row>
    <row r="24" customFormat="false" ht="15" hidden="false" customHeight="true" outlineLevel="0" collapsed="false">
      <c r="A24" s="3" t="s">
        <v>110</v>
      </c>
      <c r="B24" s="27" t="n">
        <f aca="false">B21*B23</f>
        <v>4.6</v>
      </c>
      <c r="C24" s="27" t="n">
        <f aca="false">C21*C23</f>
        <v>4.14</v>
      </c>
      <c r="D24" s="27" t="n">
        <f aca="false">D21*D23</f>
        <v>4.23</v>
      </c>
      <c r="E24" s="27" t="n">
        <f aca="false">E21*E23</f>
        <v>4.9</v>
      </c>
      <c r="F24" s="27" t="n">
        <f aca="false">F21*F23</f>
        <v>5.1</v>
      </c>
      <c r="G24" s="27" t="n">
        <f aca="false">G21*G23</f>
        <v>5.196186</v>
      </c>
      <c r="H24" s="27" t="n">
        <f aca="false">H21*H23</f>
        <v>5.28605989096543</v>
      </c>
      <c r="I24" s="27" t="n">
        <f aca="false">I21*I23</f>
        <v>5.36913328881822</v>
      </c>
      <c r="J24" s="27" t="n">
        <f aca="false">J21*J23</f>
        <v>5.44493062337578</v>
      </c>
      <c r="K24" s="27" t="n">
        <f aca="false">K21*K23</f>
        <v>5.51299225616798</v>
      </c>
      <c r="L24" s="27" t="n">
        <f aca="false">L21*L23</f>
        <v>5.70594698513385</v>
      </c>
    </row>
    <row r="25" customFormat="false" ht="15" hidden="false" customHeight="true" outlineLevel="0" collapsed="false">
      <c r="A25" s="3" t="s">
        <v>111</v>
      </c>
      <c r="B25" s="27" t="n">
        <f aca="false">B24*(1-$B$8)</f>
        <v>3.312</v>
      </c>
      <c r="C25" s="27" t="n">
        <f aca="false">C24*(1-$B$8)</f>
        <v>2.9808</v>
      </c>
      <c r="D25" s="27" t="n">
        <f aca="false">D24*(1-$B$8)</f>
        <v>3.0456</v>
      </c>
      <c r="E25" s="27" t="n">
        <f aca="false">E24*(1-$B$8)</f>
        <v>3.528</v>
      </c>
      <c r="F25" s="27" t="n">
        <f aca="false">F24*(1-$B$8)</f>
        <v>3.672</v>
      </c>
      <c r="G25" s="27" t="n">
        <f aca="false">G24*(1-$B$8)</f>
        <v>3.74125392</v>
      </c>
      <c r="H25" s="27" t="n">
        <f aca="false">H24*(1-$B$8)</f>
        <v>3.80596312149511</v>
      </c>
      <c r="I25" s="27" t="n">
        <f aca="false">I24*(1-$B$8)</f>
        <v>3.86577596794912</v>
      </c>
      <c r="J25" s="27" t="n">
        <f aca="false">J24*(1-$B$8)</f>
        <v>3.92035004883056</v>
      </c>
      <c r="K25" s="27" t="n">
        <f aca="false">K24*(1-$B$8)</f>
        <v>3.96935442444094</v>
      </c>
      <c r="L25" s="27" t="n">
        <f aca="false">L24*(1-$B$8)</f>
        <v>4.10828182929637</v>
      </c>
    </row>
    <row r="26" customFormat="false" ht="15" hidden="false" customHeight="true" outlineLevel="0" collapsed="false">
      <c r="A26" s="3" t="s">
        <v>112</v>
      </c>
      <c r="B26" s="12" t="n">
        <v>0.025</v>
      </c>
      <c r="C26" s="12" t="n">
        <v>0.025</v>
      </c>
      <c r="D26" s="12" t="n">
        <v>0.025</v>
      </c>
      <c r="E26" s="12" t="n">
        <v>0.025</v>
      </c>
      <c r="F26" s="12" t="n">
        <v>0.025</v>
      </c>
      <c r="G26" s="8" t="n">
        <f aca="false">$F26+($L26-$F26)*G$18/5</f>
        <v>0.025</v>
      </c>
      <c r="H26" s="8" t="n">
        <f aca="false">$F26+($L26-$F26)*H$18/5</f>
        <v>0.025</v>
      </c>
      <c r="I26" s="8" t="n">
        <f aca="false">$F26+($L26-$F26)*I$18/5</f>
        <v>0.025</v>
      </c>
      <c r="J26" s="8" t="n">
        <f aca="false">$F26+($L26-$F26)*J$18/5</f>
        <v>0.025</v>
      </c>
      <c r="K26" s="8" t="n">
        <f aca="false">$F26+($L26-$F26)*K$18/5</f>
        <v>0.025</v>
      </c>
      <c r="L26" s="12" t="n">
        <v>0.025</v>
      </c>
    </row>
    <row r="27" customFormat="false" ht="15" hidden="false" customHeight="true" outlineLevel="0" collapsed="false">
      <c r="A27" s="3" t="s">
        <v>113</v>
      </c>
      <c r="B27" s="27" t="n">
        <f aca="false">B21*B26</f>
        <v>1.15</v>
      </c>
      <c r="C27" s="27" t="n">
        <f aca="false">C21*C26</f>
        <v>1.15</v>
      </c>
      <c r="D27" s="27" t="n">
        <f aca="false">D21*D26</f>
        <v>1.175</v>
      </c>
      <c r="E27" s="27" t="n">
        <f aca="false">E21*E26</f>
        <v>1.225</v>
      </c>
      <c r="F27" s="27" t="n">
        <f aca="false">F21*F26</f>
        <v>1.275</v>
      </c>
      <c r="G27" s="27" t="n">
        <f aca="false">G21*G26</f>
        <v>1.32555765306122</v>
      </c>
      <c r="H27" s="27" t="n">
        <f aca="false">H21*H26</f>
        <v>1.37657809660558</v>
      </c>
      <c r="I27" s="27" t="n">
        <f aca="false">I21*I26</f>
        <v>1.42796098106868</v>
      </c>
      <c r="J27" s="27" t="n">
        <f aca="false">J21*J26</f>
        <v>1.47960071287385</v>
      </c>
      <c r="K27" s="27" t="n">
        <f aca="false">K21*K26</f>
        <v>1.53138673782444</v>
      </c>
      <c r="L27" s="27" t="n">
        <f aca="false">L21*L26</f>
        <v>1.58498527364829</v>
      </c>
    </row>
    <row r="28" customFormat="false" ht="15" hidden="false" customHeight="true" outlineLevel="0" collapsed="false">
      <c r="A28" s="3" t="s">
        <v>114</v>
      </c>
      <c r="B28" s="27" t="n">
        <f aca="false">$B$11*(B21-$B$12)</f>
        <v>0</v>
      </c>
      <c r="C28" s="27" t="n">
        <f aca="false">$B$11*(C21-B21)</f>
        <v>0</v>
      </c>
      <c r="D28" s="27" t="n">
        <f aca="false">$B$11*(D21-C21)</f>
        <v>0</v>
      </c>
      <c r="E28" s="27" t="n">
        <f aca="false">$B$11*(E21-D21)</f>
        <v>0</v>
      </c>
      <c r="F28" s="27" t="n">
        <f aca="false">$B$11*(F21-E21)</f>
        <v>0</v>
      </c>
      <c r="G28" s="27" t="n">
        <f aca="false">$B$11*(G21-F21)</f>
        <v>0</v>
      </c>
      <c r="H28" s="27" t="n">
        <f aca="false">$B$11*(H21-G21)</f>
        <v>0</v>
      </c>
      <c r="I28" s="27" t="n">
        <f aca="false">$B$11*(I21-H21)</f>
        <v>0</v>
      </c>
      <c r="J28" s="27" t="n">
        <f aca="false">$B$11*(J21-I21)</f>
        <v>0</v>
      </c>
      <c r="K28" s="27" t="n">
        <f aca="false">$B$11*(K21-J21)</f>
        <v>0</v>
      </c>
      <c r="L28" s="27" t="n">
        <f aca="false">$B$11*(L21-K21)</f>
        <v>0</v>
      </c>
    </row>
    <row r="29" customFormat="false" ht="15" hidden="false" customHeight="true" outlineLevel="0" collapsed="false">
      <c r="A29" s="3" t="s">
        <v>115</v>
      </c>
      <c r="B29" s="27" t="n">
        <f aca="false">B25-B27-B28</f>
        <v>2.162</v>
      </c>
      <c r="C29" s="27" t="n">
        <f aca="false">C25-C27-C28</f>
        <v>1.8308</v>
      </c>
      <c r="D29" s="27" t="n">
        <f aca="false">D25-D27-D28</f>
        <v>1.8706</v>
      </c>
      <c r="E29" s="27" t="n">
        <f aca="false">E25-E27-E28</f>
        <v>2.303</v>
      </c>
      <c r="F29" s="27" t="n">
        <f aca="false">F25-F27-F28</f>
        <v>2.397</v>
      </c>
      <c r="G29" s="27" t="n">
        <f aca="false">G25-G27-G28</f>
        <v>2.41569626693878</v>
      </c>
      <c r="H29" s="27" t="n">
        <f aca="false">H25-H27-H28</f>
        <v>2.42938502488953</v>
      </c>
      <c r="I29" s="27" t="n">
        <f aca="false">I25-I27-I28</f>
        <v>2.43781498688044</v>
      </c>
      <c r="J29" s="27" t="n">
        <f aca="false">J25-J27-J28</f>
        <v>2.44074933595671</v>
      </c>
      <c r="K29" s="27" t="n">
        <f aca="false">K25-K27-K28</f>
        <v>2.4379676866165</v>
      </c>
      <c r="L29" s="27" t="n">
        <f aca="false">L25-L27-L28</f>
        <v>2.52329655564808</v>
      </c>
    </row>
    <row r="30" customFormat="false" ht="15" hidden="false" customHeight="true" outlineLevel="0" collapsed="false">
      <c r="A30" s="3" t="s">
        <v>116</v>
      </c>
      <c r="B30" s="28" t="n">
        <f aca="false">1/(1+$B$9)^B$17</f>
        <v>0.949157995752499</v>
      </c>
      <c r="C30" s="28" t="n">
        <f aca="false">1/(1+$B$9)^C$17</f>
        <v>0.85509729347072</v>
      </c>
      <c r="D30" s="28" t="n">
        <f aca="false">1/(1+$B$9)^D$17</f>
        <v>0.770357922045693</v>
      </c>
      <c r="E30" s="28" t="n">
        <f aca="false">1/(1+$B$9)^E$17</f>
        <v>0.694016145987111</v>
      </c>
      <c r="F30" s="28" t="n">
        <f aca="false">1/(1+$B$9)^F$17</f>
        <v>0.62523977115956</v>
      </c>
      <c r="G30" s="28" t="n">
        <f aca="false">1/(1+$B$9)^G$17</f>
        <v>0.56327907311672</v>
      </c>
      <c r="H30" s="28" t="n">
        <f aca="false">1/(1+$B$9)^H$17</f>
        <v>0.507458624429478</v>
      </c>
      <c r="I30" s="28" t="n">
        <f aca="false">1/(1+$B$9)^I$17</f>
        <v>0.457169931918448</v>
      </c>
      <c r="J30" s="28" t="n">
        <f aca="false">1/(1+$B$9)^J$17</f>
        <v>0.411864803530134</v>
      </c>
      <c r="K30" s="28" t="n">
        <f aca="false">1/(1+$B$9)^K$17</f>
        <v>0.37104937254967</v>
      </c>
      <c r="L30" s="3"/>
    </row>
    <row r="31" customFormat="false" ht="15" hidden="false" customHeight="true" outlineLevel="0" collapsed="false">
      <c r="A31" s="3" t="s">
        <v>117</v>
      </c>
      <c r="B31" s="27" t="n">
        <f aca="false">B29*B30</f>
        <v>2.0520795868169</v>
      </c>
      <c r="C31" s="27" t="n">
        <f aca="false">C29*C30</f>
        <v>1.56551212488619</v>
      </c>
      <c r="D31" s="27" t="n">
        <f aca="false">D29*D30</f>
        <v>1.44103152897867</v>
      </c>
      <c r="E31" s="27" t="n">
        <f aca="false">E29*E30</f>
        <v>1.59831918420832</v>
      </c>
      <c r="F31" s="27" t="n">
        <f aca="false">F29*F30</f>
        <v>1.49869973146946</v>
      </c>
      <c r="G31" s="27" t="n">
        <f aca="false">G29*G30</f>
        <v>1.36071115417279</v>
      </c>
      <c r="H31" s="27" t="n">
        <f aca="false">H29*H30</f>
        <v>1.23281238294001</v>
      </c>
      <c r="I31" s="27" t="n">
        <f aca="false">I29*I30</f>
        <v>1.1144957115819</v>
      </c>
      <c r="J31" s="27" t="n">
        <f aca="false">J29*J30</f>
        <v>1.00525874572011</v>
      </c>
      <c r="K31" s="27" t="n">
        <f aca="false">K29*K30</f>
        <v>0.904606380415424</v>
      </c>
      <c r="L31" s="27"/>
    </row>
    <row r="32" customFormat="false" ht="15" hidden="false" customHeight="true" outlineLevel="0" collapsed="false">
      <c r="A32" s="3" t="s">
        <v>118</v>
      </c>
      <c r="B32" s="27" t="n">
        <f aca="false">L29/($B$9-$B$10)</f>
        <v>33.6439540753078</v>
      </c>
      <c r="C32" s="3"/>
      <c r="D32" s="3"/>
      <c r="E32" s="3"/>
      <c r="F32" s="3"/>
      <c r="G32" s="3"/>
      <c r="H32" s="3"/>
      <c r="I32" s="3"/>
      <c r="J32" s="3"/>
      <c r="K32" s="3"/>
      <c r="L32" s="3"/>
    </row>
    <row r="33" customFormat="false" ht="15" hidden="false" customHeight="true" outlineLevel="0" collapsed="false">
      <c r="A33" s="3" t="s">
        <v>119</v>
      </c>
      <c r="B33" s="27" t="n">
        <f aca="false">B32/(1+$B$9)^$K$17</f>
        <v>12.4835680497328</v>
      </c>
      <c r="C33" s="3"/>
      <c r="D33" s="3"/>
      <c r="E33" s="3"/>
      <c r="F33" s="3"/>
      <c r="G33" s="3"/>
      <c r="H33" s="3"/>
      <c r="I33" s="3"/>
      <c r="J33" s="3"/>
      <c r="K33" s="3"/>
      <c r="L33" s="3"/>
    </row>
    <row r="34" customFormat="false" ht="15" hidden="false" customHeight="true" outlineLevel="0" collapsed="false">
      <c r="A34" s="3" t="s">
        <v>120</v>
      </c>
      <c r="B34" s="27" t="n">
        <f aca="false">SUM(B31:K31)+B33+$B$7</f>
        <v>34.3870945809227</v>
      </c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5" hidden="false" customHeight="true" outlineLevel="0" collapsed="false">
      <c r="A35" s="3" t="s">
        <v>121</v>
      </c>
      <c r="B35" s="32" t="n">
        <f aca="false">B34/$B$6*$B$13</f>
        <v>40.2028369781872</v>
      </c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true" outlineLevel="0" collapsed="false">
      <c r="A36" s="3" t="s">
        <v>122</v>
      </c>
      <c r="B36" s="8" t="n">
        <f aca="false">B35/$B$4-1</f>
        <v>-0.697723030239194</v>
      </c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" hidden="false" customHeight="true" outlineLevel="0" collapsed="false">
      <c r="A38" s="13" t="s">
        <v>179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</row>
    <row r="39" customFormat="false" ht="15" hidden="false" customHeight="true" outlineLevel="0" collapsed="false">
      <c r="A39" s="3" t="s">
        <v>107</v>
      </c>
      <c r="B39" s="23" t="n">
        <v>49</v>
      </c>
      <c r="C39" s="23" t="n">
        <v>54</v>
      </c>
      <c r="D39" s="23" t="n">
        <v>57</v>
      </c>
      <c r="E39" s="23" t="n">
        <v>60</v>
      </c>
      <c r="F39" s="23" t="n">
        <v>63</v>
      </c>
      <c r="G39" s="27" t="n">
        <f aca="false">F39*(1+$F40+($B$10-$F40)*G$18/5)</f>
        <v>65.961</v>
      </c>
      <c r="H39" s="27" t="n">
        <f aca="false">G39*(1+$F40+($B$10-$F40)*H$18/5)</f>
        <v>68.863284</v>
      </c>
      <c r="I39" s="27" t="n">
        <f aca="false">H39*(1+$F40+($B$10-$F40)*I$18/5)</f>
        <v>71.686678644</v>
      </c>
      <c r="J39" s="27" t="n">
        <f aca="false">I39*(1+$F40+($B$10-$F40)*J$18/5)</f>
        <v>74.410772432472</v>
      </c>
      <c r="K39" s="27" t="n">
        <f aca="false">J39*(1+$F40+($B$10-$F40)*K$18/5)</f>
        <v>77.0151494676085</v>
      </c>
      <c r="L39" s="27" t="n">
        <f aca="false">K39*(1+$B$10)</f>
        <v>79.7106796989748</v>
      </c>
    </row>
    <row r="40" customFormat="false" ht="15" hidden="false" customHeight="true" outlineLevel="0" collapsed="false">
      <c r="A40" s="3" t="s">
        <v>108</v>
      </c>
      <c r="B40" s="8" t="n">
        <f aca="false">B39/$B$12-1</f>
        <v>0.113636363636364</v>
      </c>
      <c r="C40" s="8" t="n">
        <f aca="false">C39/B39-1</f>
        <v>0.102040816326531</v>
      </c>
      <c r="D40" s="8" t="n">
        <f aca="false">D39/C39-1</f>
        <v>0.0555555555555556</v>
      </c>
      <c r="E40" s="8" t="n">
        <f aca="false">E39/D39-1</f>
        <v>0.0526315789473684</v>
      </c>
      <c r="F40" s="8" t="n">
        <f aca="false">F39/E39-1</f>
        <v>0.05</v>
      </c>
      <c r="G40" s="8" t="n">
        <f aca="false">G39/F39-1</f>
        <v>0.0469999999999999</v>
      </c>
      <c r="H40" s="8" t="n">
        <f aca="false">H39/G39-1</f>
        <v>0.044</v>
      </c>
      <c r="I40" s="8" t="n">
        <f aca="false">I39/H39-1</f>
        <v>0.0409999999999999</v>
      </c>
      <c r="J40" s="8" t="n">
        <f aca="false">J39/I39-1</f>
        <v>0.038</v>
      </c>
      <c r="K40" s="8" t="n">
        <f aca="false">K39/J39-1</f>
        <v>0.0349999999999999</v>
      </c>
      <c r="L40" s="8" t="n">
        <f aca="false">L39/K39-1</f>
        <v>0.0349999999999999</v>
      </c>
    </row>
    <row r="41" customFormat="false" ht="15" hidden="false" customHeight="true" outlineLevel="0" collapsed="false">
      <c r="A41" s="3" t="s">
        <v>109</v>
      </c>
      <c r="B41" s="12" t="n">
        <v>0.13</v>
      </c>
      <c r="C41" s="12" t="n">
        <v>0.15</v>
      </c>
      <c r="D41" s="12" t="n">
        <v>0.15</v>
      </c>
      <c r="E41" s="12" t="n">
        <v>0.15</v>
      </c>
      <c r="F41" s="12" t="n">
        <v>0.15</v>
      </c>
      <c r="G41" s="8" t="n">
        <f aca="false">$F41+($L41-$F41)*G$18/5</f>
        <v>0.148</v>
      </c>
      <c r="H41" s="8" t="n">
        <f aca="false">$F41+($L41-$F41)*H$18/5</f>
        <v>0.146</v>
      </c>
      <c r="I41" s="8" t="n">
        <f aca="false">$F41+($L41-$F41)*I$18/5</f>
        <v>0.144</v>
      </c>
      <c r="J41" s="8" t="n">
        <f aca="false">$F41+($L41-$F41)*J$18/5</f>
        <v>0.142</v>
      </c>
      <c r="K41" s="8" t="n">
        <f aca="false">$F41+($L41-$F41)*K$18/5</f>
        <v>0.14</v>
      </c>
      <c r="L41" s="18" t="n">
        <v>0.14</v>
      </c>
    </row>
    <row r="42" customFormat="false" ht="15" hidden="false" customHeight="true" outlineLevel="0" collapsed="false">
      <c r="A42" s="3" t="s">
        <v>110</v>
      </c>
      <c r="B42" s="27" t="n">
        <f aca="false">B39*B41</f>
        <v>6.37</v>
      </c>
      <c r="C42" s="27" t="n">
        <f aca="false">C39*C41</f>
        <v>8.1</v>
      </c>
      <c r="D42" s="27" t="n">
        <f aca="false">D39*D41</f>
        <v>8.55</v>
      </c>
      <c r="E42" s="27" t="n">
        <f aca="false">E39*E41</f>
        <v>9</v>
      </c>
      <c r="F42" s="27" t="n">
        <f aca="false">F39*F41</f>
        <v>9.45</v>
      </c>
      <c r="G42" s="27" t="n">
        <f aca="false">G39*G41</f>
        <v>9.762228</v>
      </c>
      <c r="H42" s="27" t="n">
        <f aca="false">H39*H41</f>
        <v>10.054039464</v>
      </c>
      <c r="I42" s="27" t="n">
        <f aca="false">I39*I41</f>
        <v>10.322881724736</v>
      </c>
      <c r="J42" s="27" t="n">
        <f aca="false">J39*J41</f>
        <v>10.566329685411</v>
      </c>
      <c r="K42" s="27" t="n">
        <f aca="false">K39*K41</f>
        <v>10.7821209254652</v>
      </c>
      <c r="L42" s="27" t="n">
        <f aca="false">L39*L41</f>
        <v>11.1594951578565</v>
      </c>
    </row>
    <row r="43" customFormat="false" ht="15" hidden="false" customHeight="true" outlineLevel="0" collapsed="false">
      <c r="A43" s="3" t="s">
        <v>111</v>
      </c>
      <c r="B43" s="27" t="n">
        <f aca="false">B42*(1-$B$8)</f>
        <v>4.5864</v>
      </c>
      <c r="C43" s="27" t="n">
        <f aca="false">C42*(1-$B$8)</f>
        <v>5.832</v>
      </c>
      <c r="D43" s="27" t="n">
        <f aca="false">D42*(1-$B$8)</f>
        <v>6.156</v>
      </c>
      <c r="E43" s="27" t="n">
        <f aca="false">E42*(1-$B$8)</f>
        <v>6.48</v>
      </c>
      <c r="F43" s="27" t="n">
        <f aca="false">F42*(1-$B$8)</f>
        <v>6.804</v>
      </c>
      <c r="G43" s="27" t="n">
        <f aca="false">G42*(1-$B$8)</f>
        <v>7.02880416</v>
      </c>
      <c r="H43" s="27" t="n">
        <f aca="false">H42*(1-$B$8)</f>
        <v>7.23890841408</v>
      </c>
      <c r="I43" s="27" t="n">
        <f aca="false">I42*(1-$B$8)</f>
        <v>7.43247484180992</v>
      </c>
      <c r="J43" s="27" t="n">
        <f aca="false">J42*(1-$B$8)</f>
        <v>7.60775737349594</v>
      </c>
      <c r="K43" s="27" t="n">
        <f aca="false">K42*(1-$B$8)</f>
        <v>7.76312706633494</v>
      </c>
      <c r="L43" s="27" t="n">
        <f aca="false">L42*(1-$B$8)</f>
        <v>8.03483651365666</v>
      </c>
    </row>
    <row r="44" customFormat="false" ht="15" hidden="false" customHeight="true" outlineLevel="0" collapsed="false">
      <c r="A44" s="3" t="s">
        <v>112</v>
      </c>
      <c r="B44" s="12" t="n">
        <v>0.025</v>
      </c>
      <c r="C44" s="12" t="n">
        <v>0.025</v>
      </c>
      <c r="D44" s="12" t="n">
        <v>0.025</v>
      </c>
      <c r="E44" s="12" t="n">
        <v>0.025</v>
      </c>
      <c r="F44" s="12" t="n">
        <v>0.025</v>
      </c>
      <c r="G44" s="8" t="n">
        <f aca="false">$F44+($L44-$F44)*G$18/5</f>
        <v>0.025</v>
      </c>
      <c r="H44" s="8" t="n">
        <f aca="false">$F44+($L44-$F44)*H$18/5</f>
        <v>0.025</v>
      </c>
      <c r="I44" s="8" t="n">
        <f aca="false">$F44+($L44-$F44)*I$18/5</f>
        <v>0.025</v>
      </c>
      <c r="J44" s="8" t="n">
        <f aca="false">$F44+($L44-$F44)*J$18/5</f>
        <v>0.025</v>
      </c>
      <c r="K44" s="8" t="n">
        <f aca="false">$F44+($L44-$F44)*K$18/5</f>
        <v>0.025</v>
      </c>
      <c r="L44" s="12" t="n">
        <v>0.025</v>
      </c>
    </row>
    <row r="45" customFormat="false" ht="15" hidden="false" customHeight="true" outlineLevel="0" collapsed="false">
      <c r="A45" s="3" t="s">
        <v>113</v>
      </c>
      <c r="B45" s="27" t="n">
        <f aca="false">B39*B44</f>
        <v>1.225</v>
      </c>
      <c r="C45" s="27" t="n">
        <f aca="false">C39*C44</f>
        <v>1.35</v>
      </c>
      <c r="D45" s="27" t="n">
        <f aca="false">D39*D44</f>
        <v>1.425</v>
      </c>
      <c r="E45" s="27" t="n">
        <f aca="false">E39*E44</f>
        <v>1.5</v>
      </c>
      <c r="F45" s="27" t="n">
        <f aca="false">F39*F44</f>
        <v>1.575</v>
      </c>
      <c r="G45" s="27" t="n">
        <f aca="false">G39*G44</f>
        <v>1.649025</v>
      </c>
      <c r="H45" s="27" t="n">
        <f aca="false">H39*H44</f>
        <v>1.7215821</v>
      </c>
      <c r="I45" s="27" t="n">
        <f aca="false">I39*I44</f>
        <v>1.7921669661</v>
      </c>
      <c r="J45" s="27" t="n">
        <f aca="false">J39*J44</f>
        <v>1.8602693108118</v>
      </c>
      <c r="K45" s="27" t="n">
        <f aca="false">K39*K44</f>
        <v>1.92537873669021</v>
      </c>
      <c r="L45" s="27" t="n">
        <f aca="false">L39*L44</f>
        <v>1.99276699247437</v>
      </c>
    </row>
    <row r="46" customFormat="false" ht="15" hidden="false" customHeight="true" outlineLevel="0" collapsed="false">
      <c r="A46" s="3" t="s">
        <v>114</v>
      </c>
      <c r="B46" s="27" t="n">
        <f aca="false">$B$11*(B39-$B$12)</f>
        <v>0</v>
      </c>
      <c r="C46" s="27" t="n">
        <f aca="false">$B$11*(C39-B39)</f>
        <v>0</v>
      </c>
      <c r="D46" s="27" t="n">
        <f aca="false">$B$11*(D39-C39)</f>
        <v>0</v>
      </c>
      <c r="E46" s="27" t="n">
        <f aca="false">$B$11*(E39-D39)</f>
        <v>0</v>
      </c>
      <c r="F46" s="27" t="n">
        <f aca="false">$B$11*(F39-E39)</f>
        <v>0</v>
      </c>
      <c r="G46" s="27" t="n">
        <f aca="false">$B$11*(G39-F39)</f>
        <v>0</v>
      </c>
      <c r="H46" s="27" t="n">
        <f aca="false">$B$11*(H39-G39)</f>
        <v>0</v>
      </c>
      <c r="I46" s="27" t="n">
        <f aca="false">$B$11*(I39-H39)</f>
        <v>0</v>
      </c>
      <c r="J46" s="27" t="n">
        <f aca="false">$B$11*(J39-I39)</f>
        <v>0</v>
      </c>
      <c r="K46" s="27" t="n">
        <f aca="false">$B$11*(K39-J39)</f>
        <v>0</v>
      </c>
      <c r="L46" s="27" t="n">
        <f aca="false">$B$11*(L39-K39)</f>
        <v>0</v>
      </c>
    </row>
    <row r="47" customFormat="false" ht="15" hidden="false" customHeight="true" outlineLevel="0" collapsed="false">
      <c r="A47" s="3" t="s">
        <v>115</v>
      </c>
      <c r="B47" s="27" t="n">
        <f aca="false">B43-B45-B46</f>
        <v>3.3614</v>
      </c>
      <c r="C47" s="27" t="n">
        <f aca="false">C43-C45-C46</f>
        <v>4.482</v>
      </c>
      <c r="D47" s="27" t="n">
        <f aca="false">D43-D45-D46</f>
        <v>4.731</v>
      </c>
      <c r="E47" s="27" t="n">
        <f aca="false">E43-E45-E46</f>
        <v>4.98</v>
      </c>
      <c r="F47" s="27" t="n">
        <f aca="false">F43-F45-F46</f>
        <v>5.229</v>
      </c>
      <c r="G47" s="27" t="n">
        <f aca="false">G43-G45-G46</f>
        <v>5.37977916</v>
      </c>
      <c r="H47" s="27" t="n">
        <f aca="false">H43-H45-H46</f>
        <v>5.51732631408</v>
      </c>
      <c r="I47" s="27" t="n">
        <f aca="false">I43-I45-I46</f>
        <v>5.64030787570992</v>
      </c>
      <c r="J47" s="27" t="n">
        <f aca="false">J43-J45-J46</f>
        <v>5.74748806268414</v>
      </c>
      <c r="K47" s="27" t="n">
        <f aca="false">K43-K45-K46</f>
        <v>5.83774832964472</v>
      </c>
      <c r="L47" s="27" t="n">
        <f aca="false">L43-L45-L46</f>
        <v>6.04206952118229</v>
      </c>
    </row>
    <row r="48" customFormat="false" ht="15" hidden="false" customHeight="true" outlineLevel="0" collapsed="false">
      <c r="A48" s="3" t="s">
        <v>116</v>
      </c>
      <c r="B48" s="28" t="n">
        <f aca="false">1/(1+$B$9)^B$17</f>
        <v>0.949157995752499</v>
      </c>
      <c r="C48" s="28" t="n">
        <f aca="false">1/(1+$B$9)^C$17</f>
        <v>0.85509729347072</v>
      </c>
      <c r="D48" s="28" t="n">
        <f aca="false">1/(1+$B$9)^D$17</f>
        <v>0.770357922045693</v>
      </c>
      <c r="E48" s="28" t="n">
        <f aca="false">1/(1+$B$9)^E$17</f>
        <v>0.694016145987111</v>
      </c>
      <c r="F48" s="28" t="n">
        <f aca="false">1/(1+$B$9)^F$17</f>
        <v>0.62523977115956</v>
      </c>
      <c r="G48" s="28" t="n">
        <f aca="false">1/(1+$B$9)^G$17</f>
        <v>0.56327907311672</v>
      </c>
      <c r="H48" s="28" t="n">
        <f aca="false">1/(1+$B$9)^H$17</f>
        <v>0.507458624429478</v>
      </c>
      <c r="I48" s="28" t="n">
        <f aca="false">1/(1+$B$9)^I$17</f>
        <v>0.457169931918448</v>
      </c>
      <c r="J48" s="28" t="n">
        <f aca="false">1/(1+$B$9)^J$17</f>
        <v>0.411864803530134</v>
      </c>
      <c r="K48" s="28" t="n">
        <f aca="false">1/(1+$B$9)^K$17</f>
        <v>0.37104937254967</v>
      </c>
      <c r="L48" s="3"/>
    </row>
    <row r="49" customFormat="false" ht="15" hidden="false" customHeight="true" outlineLevel="0" collapsed="false">
      <c r="A49" s="3" t="s">
        <v>117</v>
      </c>
      <c r="B49" s="27" t="n">
        <f aca="false">B47*B48</f>
        <v>3.19049968692245</v>
      </c>
      <c r="C49" s="27" t="n">
        <f aca="false">C47*C48</f>
        <v>3.83254606933577</v>
      </c>
      <c r="D49" s="27" t="n">
        <f aca="false">D47*D48</f>
        <v>3.64456332919817</v>
      </c>
      <c r="E49" s="27" t="n">
        <f aca="false">E47*E48</f>
        <v>3.45620040701581</v>
      </c>
      <c r="F49" s="27" t="n">
        <f aca="false">F47*F48</f>
        <v>3.26937876339334</v>
      </c>
      <c r="G49" s="27" t="n">
        <f aca="false">G47*G48</f>
        <v>3.03031701881745</v>
      </c>
      <c r="H49" s="27" t="n">
        <f aca="false">H47*H48</f>
        <v>2.7998148218716</v>
      </c>
      <c r="I49" s="27" t="n">
        <f aca="false">I47*I48</f>
        <v>2.57857916753739</v>
      </c>
      <c r="J49" s="27" t="n">
        <f aca="false">J47*J48</f>
        <v>2.36718804172919</v>
      </c>
      <c r="K49" s="27" t="n">
        <f aca="false">K47*K48</f>
        <v>2.16609285481756</v>
      </c>
      <c r="L49" s="27"/>
    </row>
    <row r="50" customFormat="false" ht="15" hidden="false" customHeight="true" outlineLevel="0" collapsed="false">
      <c r="A50" s="3" t="s">
        <v>118</v>
      </c>
      <c r="B50" s="27" t="n">
        <f aca="false">L47/($B$9-$B$10)</f>
        <v>80.5609269490972</v>
      </c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Format="false" ht="15" hidden="false" customHeight="true" outlineLevel="0" collapsed="false">
      <c r="A51" s="3" t="s">
        <v>119</v>
      </c>
      <c r="B51" s="27" t="n">
        <f aca="false">B50/(1+$B$9)^$K$17</f>
        <v>29.8920813964823</v>
      </c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Format="false" ht="15" hidden="false" customHeight="true" outlineLevel="0" collapsed="false">
      <c r="A52" s="3" t="s">
        <v>120</v>
      </c>
      <c r="B52" s="27" t="n">
        <f aca="false">SUM(B49:K49)+B51+$B$7</f>
        <v>68.357261557121</v>
      </c>
      <c r="C52" s="3"/>
      <c r="D52" s="3"/>
      <c r="E52" s="3"/>
      <c r="F52" s="3"/>
      <c r="G52" s="3"/>
      <c r="H52" s="3"/>
      <c r="I52" s="3"/>
      <c r="J52" s="3"/>
      <c r="K52" s="3"/>
      <c r="L52" s="3"/>
    </row>
    <row r="53" customFormat="false" ht="15" hidden="false" customHeight="true" outlineLevel="0" collapsed="false">
      <c r="A53" s="3" t="s">
        <v>121</v>
      </c>
      <c r="B53" s="32" t="n">
        <f aca="false">B52/$B$6*$B$13</f>
        <v>79.9182331670693</v>
      </c>
      <c r="C53" s="3"/>
      <c r="D53" s="3"/>
      <c r="E53" s="3"/>
      <c r="F53" s="3"/>
      <c r="G53" s="3"/>
      <c r="H53" s="3"/>
      <c r="I53" s="3"/>
      <c r="J53" s="3"/>
      <c r="K53" s="3"/>
      <c r="L53" s="3"/>
    </row>
    <row r="54" customFormat="false" ht="15" hidden="false" customHeight="true" outlineLevel="0" collapsed="false">
      <c r="A54" s="3" t="s">
        <v>122</v>
      </c>
      <c r="B54" s="8" t="n">
        <f aca="false">B53/$B$4-1</f>
        <v>-0.399111028819028</v>
      </c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customFormat="false" ht="15" hidden="false" customHeight="true" outlineLevel="0" collapsed="false">
      <c r="A56" s="13" t="s">
        <v>180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 customFormat="false" ht="15" hidden="false" customHeight="true" outlineLevel="0" collapsed="false">
      <c r="A57" s="3" t="s">
        <v>107</v>
      </c>
      <c r="B57" s="23" t="n">
        <v>51</v>
      </c>
      <c r="C57" s="23" t="n">
        <v>58</v>
      </c>
      <c r="D57" s="23" t="n">
        <v>65</v>
      </c>
      <c r="E57" s="23" t="n">
        <v>71</v>
      </c>
      <c r="F57" s="23" t="n">
        <v>76</v>
      </c>
      <c r="G57" s="27" t="n">
        <f aca="false">F57*(1+$F58+($B$10-$F58)*G$18/5)</f>
        <v>80.8136901408451</v>
      </c>
      <c r="H57" s="27" t="n">
        <f aca="false">G57*(1+$F58+($B$10-$F58)*H$18/5)</f>
        <v>85.3597447665146</v>
      </c>
      <c r="I57" s="27" t="n">
        <f aca="false">H57*(1+$F58+($B$10-$F58)*I$18/5)</f>
        <v>89.5567992591892</v>
      </c>
      <c r="J57" s="27" t="n">
        <f aca="false">I57*(1+$F58+($B$10-$F58)*J$18/5)</f>
        <v>93.3257530082943</v>
      </c>
      <c r="K57" s="27" t="n">
        <f aca="false">J57*(1+$F58+($B$10-$F58)*K$18/5)</f>
        <v>96.5921543635846</v>
      </c>
      <c r="L57" s="27" t="n">
        <f aca="false">K57*(1+$B$10)</f>
        <v>99.97287976631</v>
      </c>
    </row>
    <row r="58" customFormat="false" ht="15" hidden="false" customHeight="true" outlineLevel="0" collapsed="false">
      <c r="A58" s="3" t="s">
        <v>108</v>
      </c>
      <c r="B58" s="8" t="n">
        <f aca="false">B57/$B$12-1</f>
        <v>0.159090909090909</v>
      </c>
      <c r="C58" s="8" t="n">
        <f aca="false">C57/B57-1</f>
        <v>0.137254901960784</v>
      </c>
      <c r="D58" s="8" t="n">
        <f aca="false">D57/C57-1</f>
        <v>0.120689655172414</v>
      </c>
      <c r="E58" s="8" t="n">
        <f aca="false">E57/D57-1</f>
        <v>0.0923076923076922</v>
      </c>
      <c r="F58" s="8" t="n">
        <f aca="false">F57/E57-1</f>
        <v>0.0704225352112675</v>
      </c>
      <c r="G58" s="8" t="n">
        <f aca="false">G57/F57-1</f>
        <v>0.0633380281690139</v>
      </c>
      <c r="H58" s="8" t="n">
        <f aca="false">H57/G57-1</f>
        <v>0.0562535211267605</v>
      </c>
      <c r="I58" s="8" t="n">
        <f aca="false">I57/H57-1</f>
        <v>0.0491690140845069</v>
      </c>
      <c r="J58" s="8" t="n">
        <f aca="false">J57/I57-1</f>
        <v>0.0420845070422535</v>
      </c>
      <c r="K58" s="8" t="n">
        <f aca="false">K57/J57-1</f>
        <v>0.0349999999999999</v>
      </c>
      <c r="L58" s="8" t="n">
        <f aca="false">L57/K57-1</f>
        <v>0.0349999999999999</v>
      </c>
    </row>
    <row r="59" customFormat="false" ht="15" hidden="false" customHeight="true" outlineLevel="0" collapsed="false">
      <c r="A59" s="3" t="s">
        <v>109</v>
      </c>
      <c r="B59" s="12" t="n">
        <v>0.14</v>
      </c>
      <c r="C59" s="12" t="n">
        <v>0.17</v>
      </c>
      <c r="D59" s="12" t="n">
        <v>0.17</v>
      </c>
      <c r="E59" s="12" t="n">
        <v>0.17</v>
      </c>
      <c r="F59" s="12" t="n">
        <v>0.17</v>
      </c>
      <c r="G59" s="8" t="n">
        <f aca="false">$F59+($L59-$F59)*G$18/5</f>
        <v>0.168</v>
      </c>
      <c r="H59" s="8" t="n">
        <f aca="false">$F59+($L59-$F59)*H$18/5</f>
        <v>0.166</v>
      </c>
      <c r="I59" s="8" t="n">
        <f aca="false">$F59+($L59-$F59)*I$18/5</f>
        <v>0.164</v>
      </c>
      <c r="J59" s="8" t="n">
        <f aca="false">$F59+($L59-$F59)*J$18/5</f>
        <v>0.162</v>
      </c>
      <c r="K59" s="8" t="n">
        <f aca="false">$F59+($L59-$F59)*K$18/5</f>
        <v>0.16</v>
      </c>
      <c r="L59" s="18" t="n">
        <v>0.16</v>
      </c>
    </row>
    <row r="60" customFormat="false" ht="15" hidden="false" customHeight="true" outlineLevel="0" collapsed="false">
      <c r="A60" s="3" t="s">
        <v>110</v>
      </c>
      <c r="B60" s="27" t="n">
        <f aca="false">B57*B59</f>
        <v>7.14</v>
      </c>
      <c r="C60" s="27" t="n">
        <f aca="false">C57*C59</f>
        <v>9.86</v>
      </c>
      <c r="D60" s="27" t="n">
        <f aca="false">D57*D59</f>
        <v>11.05</v>
      </c>
      <c r="E60" s="27" t="n">
        <f aca="false">E57*E59</f>
        <v>12.07</v>
      </c>
      <c r="F60" s="27" t="n">
        <f aca="false">F57*F59</f>
        <v>12.92</v>
      </c>
      <c r="G60" s="27" t="n">
        <f aca="false">G57*G59</f>
        <v>13.576699943662</v>
      </c>
      <c r="H60" s="27" t="n">
        <f aca="false">H57*H59</f>
        <v>14.1697176312414</v>
      </c>
      <c r="I60" s="27" t="n">
        <f aca="false">I57*I59</f>
        <v>14.687315078507</v>
      </c>
      <c r="J60" s="27" t="n">
        <f aca="false">J57*J59</f>
        <v>15.1187719873437</v>
      </c>
      <c r="K60" s="27" t="n">
        <f aca="false">K57*K59</f>
        <v>15.4547446981735</v>
      </c>
      <c r="L60" s="27" t="n">
        <f aca="false">L57*L59</f>
        <v>15.9956607626096</v>
      </c>
    </row>
    <row r="61" customFormat="false" ht="15" hidden="false" customHeight="true" outlineLevel="0" collapsed="false">
      <c r="A61" s="3" t="s">
        <v>111</v>
      </c>
      <c r="B61" s="27" t="n">
        <f aca="false">B60*(1-$B$8)</f>
        <v>5.1408</v>
      </c>
      <c r="C61" s="27" t="n">
        <f aca="false">C60*(1-$B$8)</f>
        <v>7.0992</v>
      </c>
      <c r="D61" s="27" t="n">
        <f aca="false">D60*(1-$B$8)</f>
        <v>7.956</v>
      </c>
      <c r="E61" s="27" t="n">
        <f aca="false">E60*(1-$B$8)</f>
        <v>8.6904</v>
      </c>
      <c r="F61" s="27" t="n">
        <f aca="false">F60*(1-$B$8)</f>
        <v>9.3024</v>
      </c>
      <c r="G61" s="27" t="n">
        <f aca="false">G60*(1-$B$8)</f>
        <v>9.77522395943662</v>
      </c>
      <c r="H61" s="27" t="n">
        <f aca="false">H60*(1-$B$8)</f>
        <v>10.2021966944938</v>
      </c>
      <c r="I61" s="27" t="n">
        <f aca="false">I60*(1-$B$8)</f>
        <v>10.5748668565251</v>
      </c>
      <c r="J61" s="27" t="n">
        <f aca="false">J60*(1-$B$8)</f>
        <v>10.8855158308874</v>
      </c>
      <c r="K61" s="27" t="n">
        <f aca="false">K60*(1-$B$8)</f>
        <v>11.1274161826849</v>
      </c>
      <c r="L61" s="27" t="n">
        <f aca="false">L60*(1-$B$8)</f>
        <v>11.5168757490789</v>
      </c>
    </row>
    <row r="62" customFormat="false" ht="15" hidden="false" customHeight="true" outlineLevel="0" collapsed="false">
      <c r="A62" s="3" t="s">
        <v>112</v>
      </c>
      <c r="B62" s="12" t="n">
        <v>0.025</v>
      </c>
      <c r="C62" s="12" t="n">
        <v>0.025</v>
      </c>
      <c r="D62" s="12" t="n">
        <v>0.025</v>
      </c>
      <c r="E62" s="12" t="n">
        <v>0.025</v>
      </c>
      <c r="F62" s="12" t="n">
        <v>0.025</v>
      </c>
      <c r="G62" s="8" t="n">
        <f aca="false">$F62+($L62-$F62)*G$18/5</f>
        <v>0.025</v>
      </c>
      <c r="H62" s="8" t="n">
        <f aca="false">$F62+($L62-$F62)*H$18/5</f>
        <v>0.025</v>
      </c>
      <c r="I62" s="8" t="n">
        <f aca="false">$F62+($L62-$F62)*I$18/5</f>
        <v>0.025</v>
      </c>
      <c r="J62" s="8" t="n">
        <f aca="false">$F62+($L62-$F62)*J$18/5</f>
        <v>0.025</v>
      </c>
      <c r="K62" s="8" t="n">
        <f aca="false">$F62+($L62-$F62)*K$18/5</f>
        <v>0.025</v>
      </c>
      <c r="L62" s="12" t="n">
        <v>0.025</v>
      </c>
    </row>
    <row r="63" customFormat="false" ht="15" hidden="false" customHeight="true" outlineLevel="0" collapsed="false">
      <c r="A63" s="3" t="s">
        <v>113</v>
      </c>
      <c r="B63" s="27" t="n">
        <f aca="false">B57*B62</f>
        <v>1.275</v>
      </c>
      <c r="C63" s="27" t="n">
        <f aca="false">C57*C62</f>
        <v>1.45</v>
      </c>
      <c r="D63" s="27" t="n">
        <f aca="false">D57*D62</f>
        <v>1.625</v>
      </c>
      <c r="E63" s="27" t="n">
        <f aca="false">E57*E62</f>
        <v>1.775</v>
      </c>
      <c r="F63" s="27" t="n">
        <f aca="false">F57*F62</f>
        <v>1.9</v>
      </c>
      <c r="G63" s="27" t="n">
        <f aca="false">G57*G62</f>
        <v>2.02034225352113</v>
      </c>
      <c r="H63" s="27" t="n">
        <f aca="false">H57*H62</f>
        <v>2.13399361916286</v>
      </c>
      <c r="I63" s="27" t="n">
        <f aca="false">I57*I62</f>
        <v>2.23891998147973</v>
      </c>
      <c r="J63" s="27" t="n">
        <f aca="false">J57*J62</f>
        <v>2.33314382520736</v>
      </c>
      <c r="K63" s="27" t="n">
        <f aca="false">K57*K62</f>
        <v>2.41480385908961</v>
      </c>
      <c r="L63" s="27" t="n">
        <f aca="false">L57*L62</f>
        <v>2.49932199415775</v>
      </c>
    </row>
    <row r="64" customFormat="false" ht="15" hidden="false" customHeight="true" outlineLevel="0" collapsed="false">
      <c r="A64" s="3" t="s">
        <v>114</v>
      </c>
      <c r="B64" s="27" t="n">
        <f aca="false">$B$11*(B57-$B$12)</f>
        <v>0</v>
      </c>
      <c r="C64" s="27" t="n">
        <f aca="false">$B$11*(C57-B57)</f>
        <v>0</v>
      </c>
      <c r="D64" s="27" t="n">
        <f aca="false">$B$11*(D57-C57)</f>
        <v>0</v>
      </c>
      <c r="E64" s="27" t="n">
        <f aca="false">$B$11*(E57-D57)</f>
        <v>0</v>
      </c>
      <c r="F64" s="27" t="n">
        <f aca="false">$B$11*(F57-E57)</f>
        <v>0</v>
      </c>
      <c r="G64" s="27" t="n">
        <f aca="false">$B$11*(G57-F57)</f>
        <v>0</v>
      </c>
      <c r="H64" s="27" t="n">
        <f aca="false">$B$11*(H57-G57)</f>
        <v>0</v>
      </c>
      <c r="I64" s="27" t="n">
        <f aca="false">$B$11*(I57-H57)</f>
        <v>0</v>
      </c>
      <c r="J64" s="27" t="n">
        <f aca="false">$B$11*(J57-I57)</f>
        <v>0</v>
      </c>
      <c r="K64" s="27" t="n">
        <f aca="false">$B$11*(K57-J57)</f>
        <v>0</v>
      </c>
      <c r="L64" s="27" t="n">
        <f aca="false">$B$11*(L57-K57)</f>
        <v>0</v>
      </c>
    </row>
    <row r="65" customFormat="false" ht="15" hidden="false" customHeight="true" outlineLevel="0" collapsed="false">
      <c r="A65" s="3" t="s">
        <v>115</v>
      </c>
      <c r="B65" s="27" t="n">
        <f aca="false">B61-B63-B64</f>
        <v>3.8658</v>
      </c>
      <c r="C65" s="27" t="n">
        <f aca="false">C61-C63-C64</f>
        <v>5.6492</v>
      </c>
      <c r="D65" s="27" t="n">
        <f aca="false">D61-D63-D64</f>
        <v>6.331</v>
      </c>
      <c r="E65" s="27" t="n">
        <f aca="false">E61-E63-E64</f>
        <v>6.9154</v>
      </c>
      <c r="F65" s="27" t="n">
        <f aca="false">F61-F63-F64</f>
        <v>7.4024</v>
      </c>
      <c r="G65" s="27" t="n">
        <f aca="false">G61-G63-G64</f>
        <v>7.75488170591549</v>
      </c>
      <c r="H65" s="27" t="n">
        <f aca="false">H61-H63-H64</f>
        <v>8.06820307533096</v>
      </c>
      <c r="I65" s="27" t="n">
        <f aca="false">I61-I63-I64</f>
        <v>8.33594687504533</v>
      </c>
      <c r="J65" s="27" t="n">
        <f aca="false">J61-J63-J64</f>
        <v>8.55237200568009</v>
      </c>
      <c r="K65" s="27" t="n">
        <f aca="false">K61-K63-K64</f>
        <v>8.71261232359533</v>
      </c>
      <c r="L65" s="27" t="n">
        <f aca="false">L61-L63-L64</f>
        <v>9.01755375492116</v>
      </c>
    </row>
    <row r="66" customFormat="false" ht="15" hidden="false" customHeight="true" outlineLevel="0" collapsed="false">
      <c r="A66" s="3" t="s">
        <v>116</v>
      </c>
      <c r="B66" s="28" t="n">
        <f aca="false">1/(1+$B$9)^B$17</f>
        <v>0.949157995752499</v>
      </c>
      <c r="C66" s="28" t="n">
        <f aca="false">1/(1+$B$9)^C$17</f>
        <v>0.85509729347072</v>
      </c>
      <c r="D66" s="28" t="n">
        <f aca="false">1/(1+$B$9)^D$17</f>
        <v>0.770357922045693</v>
      </c>
      <c r="E66" s="28" t="n">
        <f aca="false">1/(1+$B$9)^E$17</f>
        <v>0.694016145987111</v>
      </c>
      <c r="F66" s="28" t="n">
        <f aca="false">1/(1+$B$9)^F$17</f>
        <v>0.62523977115956</v>
      </c>
      <c r="G66" s="28" t="n">
        <f aca="false">1/(1+$B$9)^G$17</f>
        <v>0.56327907311672</v>
      </c>
      <c r="H66" s="28" t="n">
        <f aca="false">1/(1+$B$9)^H$17</f>
        <v>0.507458624429478</v>
      </c>
      <c r="I66" s="28" t="n">
        <f aca="false">1/(1+$B$9)^I$17</f>
        <v>0.457169931918448</v>
      </c>
      <c r="J66" s="28" t="n">
        <f aca="false">1/(1+$B$9)^J$17</f>
        <v>0.411864803530134</v>
      </c>
      <c r="K66" s="28" t="n">
        <f aca="false">1/(1+$B$9)^K$17</f>
        <v>0.37104937254967</v>
      </c>
      <c r="L66" s="3"/>
    </row>
    <row r="67" customFormat="false" ht="15" hidden="false" customHeight="true" outlineLevel="0" collapsed="false">
      <c r="A67" s="3" t="s">
        <v>117</v>
      </c>
      <c r="B67" s="27" t="n">
        <f aca="false">B65*B66</f>
        <v>3.66925497998001</v>
      </c>
      <c r="C67" s="27" t="n">
        <f aca="false">C65*C66</f>
        <v>4.83061563027479</v>
      </c>
      <c r="D67" s="27" t="n">
        <f aca="false">D65*D66</f>
        <v>4.87713600447129</v>
      </c>
      <c r="E67" s="27" t="n">
        <f aca="false">E65*E66</f>
        <v>4.79939925595927</v>
      </c>
      <c r="F67" s="27" t="n">
        <f aca="false">F65*F66</f>
        <v>4.62827488203152</v>
      </c>
      <c r="G67" s="27" t="n">
        <f aca="false">G65*G66</f>
        <v>4.36816257943789</v>
      </c>
      <c r="H67" s="27" t="n">
        <f aca="false">H65*H66</f>
        <v>4.09427923422513</v>
      </c>
      <c r="I67" s="27" t="n">
        <f aca="false">I65*I66</f>
        <v>3.81094426534028</v>
      </c>
      <c r="J67" s="27" t="n">
        <f aca="false">J65*J66</f>
        <v>3.52242101583604</v>
      </c>
      <c r="K67" s="27" t="n">
        <f aca="false">K65*K66</f>
        <v>3.23280933593857</v>
      </c>
      <c r="L67" s="27"/>
    </row>
    <row r="68" customFormat="false" ht="15" hidden="false" customHeight="true" outlineLevel="0" collapsed="false">
      <c r="A68" s="3" t="s">
        <v>118</v>
      </c>
      <c r="B68" s="27" t="n">
        <f aca="false">L65/($B$9-$B$10)</f>
        <v>120.234050065616</v>
      </c>
      <c r="C68" s="3"/>
      <c r="D68" s="3"/>
      <c r="E68" s="3"/>
      <c r="F68" s="3"/>
      <c r="G68" s="3"/>
      <c r="H68" s="3"/>
      <c r="I68" s="3"/>
      <c r="J68" s="3"/>
      <c r="K68" s="3"/>
      <c r="L68" s="3"/>
    </row>
    <row r="69" customFormat="false" ht="15" hidden="false" customHeight="true" outlineLevel="0" collapsed="false">
      <c r="A69" s="3" t="s">
        <v>119</v>
      </c>
      <c r="B69" s="27" t="n">
        <f aca="false">B68/(1+$B$9)^$K$17</f>
        <v>44.6127688359522</v>
      </c>
      <c r="C69" s="3"/>
      <c r="D69" s="3"/>
      <c r="E69" s="3"/>
      <c r="F69" s="3"/>
      <c r="G69" s="3"/>
      <c r="H69" s="3"/>
      <c r="I69" s="3"/>
      <c r="J69" s="3"/>
      <c r="K69" s="3"/>
      <c r="L69" s="3"/>
    </row>
    <row r="70" customFormat="false" ht="15" hidden="false" customHeight="true" outlineLevel="0" collapsed="false">
      <c r="A70" s="3" t="s">
        <v>120</v>
      </c>
      <c r="B70" s="27" t="n">
        <f aca="false">SUM(B67:K67)+B69+$B$7</f>
        <v>94.576066019447</v>
      </c>
      <c r="C70" s="3"/>
      <c r="D70" s="3"/>
      <c r="E70" s="3"/>
      <c r="F70" s="3"/>
      <c r="G70" s="3"/>
      <c r="H70" s="3"/>
      <c r="I70" s="3"/>
      <c r="J70" s="3"/>
      <c r="K70" s="3"/>
      <c r="L70" s="3"/>
    </row>
    <row r="71" customFormat="false" ht="15" hidden="false" customHeight="true" outlineLevel="0" collapsed="false">
      <c r="A71" s="3" t="s">
        <v>121</v>
      </c>
      <c r="B71" s="32" t="n">
        <f aca="false">B70/$B$6*$B$13</f>
        <v>110.571312015628</v>
      </c>
      <c r="C71" s="3"/>
      <c r="D71" s="3"/>
      <c r="E71" s="3"/>
      <c r="F71" s="3"/>
      <c r="G71" s="3"/>
      <c r="H71" s="3"/>
      <c r="I71" s="3"/>
      <c r="J71" s="3"/>
      <c r="K71" s="3"/>
      <c r="L71" s="3"/>
    </row>
    <row r="72" customFormat="false" ht="15" hidden="false" customHeight="true" outlineLevel="0" collapsed="false">
      <c r="A72" s="3" t="s">
        <v>122</v>
      </c>
      <c r="B72" s="8" t="n">
        <f aca="false">B71/$B$4-1</f>
        <v>-0.168636751762198</v>
      </c>
      <c r="C72" s="3"/>
      <c r="D72" s="3"/>
      <c r="E72" s="3"/>
      <c r="F72" s="3"/>
      <c r="G72" s="3"/>
      <c r="H72" s="3"/>
      <c r="I72" s="3"/>
      <c r="J72" s="3"/>
      <c r="K72" s="3"/>
      <c r="L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customFormat="false" ht="15" hidden="false" customHeight="true" outlineLevel="0" collapsed="false">
      <c r="A76" s="13" t="s">
        <v>125</v>
      </c>
      <c r="B76" s="26"/>
      <c r="C76" s="13" t="s">
        <v>126</v>
      </c>
      <c r="D76" s="26"/>
      <c r="E76" s="26"/>
      <c r="F76" s="26"/>
      <c r="G76" s="26"/>
      <c r="H76" s="26"/>
      <c r="I76" s="26"/>
      <c r="J76" s="26"/>
      <c r="K76" s="26"/>
      <c r="L76" s="26"/>
    </row>
    <row r="77" customFormat="false" ht="15" hidden="false" customHeight="true" outlineLevel="0" collapsed="false">
      <c r="A77" s="3" t="s">
        <v>127</v>
      </c>
      <c r="B77" s="33" t="n">
        <f aca="false">B35</f>
        <v>40.2028369781872</v>
      </c>
      <c r="C77" s="8" t="n">
        <f aca="false">B77/$B$4-1</f>
        <v>-0.697723030239194</v>
      </c>
      <c r="D77" s="3"/>
      <c r="E77" s="3"/>
      <c r="F77" s="3"/>
      <c r="G77" s="3"/>
      <c r="H77" s="3"/>
      <c r="I77" s="3"/>
      <c r="J77" s="3"/>
      <c r="K77" s="3"/>
      <c r="L77" s="3"/>
    </row>
    <row r="78" customFormat="false" ht="15" hidden="false" customHeight="true" outlineLevel="0" collapsed="false">
      <c r="A78" s="3" t="s">
        <v>128</v>
      </c>
      <c r="B78" s="33" t="n">
        <f aca="false">B53</f>
        <v>79.9182331670693</v>
      </c>
      <c r="C78" s="8" t="n">
        <f aca="false">B78/$B$4-1</f>
        <v>-0.399111028819028</v>
      </c>
      <c r="D78" s="3"/>
      <c r="E78" s="3"/>
      <c r="F78" s="3"/>
      <c r="G78" s="3"/>
      <c r="H78" s="3"/>
      <c r="I78" s="3"/>
      <c r="J78" s="3"/>
      <c r="K78" s="3"/>
      <c r="L78" s="3"/>
    </row>
    <row r="79" customFormat="false" ht="15" hidden="false" customHeight="true" outlineLevel="0" collapsed="false">
      <c r="A79" s="3" t="s">
        <v>129</v>
      </c>
      <c r="B79" s="33" t="n">
        <f aca="false">B71</f>
        <v>110.571312015628</v>
      </c>
      <c r="C79" s="8" t="n">
        <f aca="false">B79/$B$4-1</f>
        <v>-0.168636751762198</v>
      </c>
      <c r="D79" s="3"/>
      <c r="E79" s="3"/>
      <c r="F79" s="3"/>
      <c r="G79" s="3"/>
      <c r="H79" s="3"/>
      <c r="I79" s="3"/>
      <c r="J79" s="3"/>
      <c r="K79" s="3"/>
      <c r="L79" s="3"/>
    </row>
    <row r="80" customFormat="false" ht="15" hidden="false" customHeight="true" outlineLevel="0" collapsed="false">
      <c r="A80" s="3" t="s">
        <v>130</v>
      </c>
      <c r="B80" s="33" t="n">
        <f aca="false">INDEX(B35:B71,1+($B$14-1)*18)</f>
        <v>79.9182331670693</v>
      </c>
      <c r="C80" s="8" t="n">
        <f aca="false">B80/$B$4-1</f>
        <v>-0.399111028819028</v>
      </c>
      <c r="D80" s="3"/>
      <c r="E80" s="3"/>
      <c r="F80" s="3"/>
      <c r="G80" s="3"/>
      <c r="H80" s="3"/>
      <c r="I80" s="3"/>
      <c r="J80" s="3"/>
      <c r="K80" s="3"/>
      <c r="L80" s="3"/>
    </row>
    <row r="81" customFormat="false" ht="15" hidden="false" customHeight="true" outlineLevel="0" collapsed="false">
      <c r="A81" s="3" t="s">
        <v>131</v>
      </c>
      <c r="B81" s="33" t="n">
        <f aca="false">B78</f>
        <v>79.9182331670693</v>
      </c>
      <c r="C81" s="3"/>
      <c r="D81" s="3"/>
      <c r="E81" s="3"/>
      <c r="F81" s="3"/>
      <c r="G81" s="3"/>
      <c r="H81" s="3"/>
      <c r="I81" s="3"/>
      <c r="J81" s="3"/>
      <c r="K81" s="3"/>
      <c r="L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customFormat="false" ht="15" hidden="false" customHeight="true" outlineLevel="0" collapsed="false">
      <c r="A83" s="10" t="s">
        <v>132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customFormat="false" ht="15" hidden="false" customHeight="true" outlineLevel="0" collapsed="false">
      <c r="A84" s="3" t="s">
        <v>133</v>
      </c>
      <c r="B84" s="12" t="n">
        <v>0.08</v>
      </c>
      <c r="C84" s="12" t="n">
        <v>0.09</v>
      </c>
      <c r="D84" s="12" t="n">
        <v>0.1</v>
      </c>
      <c r="E84" s="12" t="n">
        <v>0.11</v>
      </c>
      <c r="F84" s="12" t="n">
        <v>0.12</v>
      </c>
      <c r="G84" s="12" t="n">
        <v>0.13</v>
      </c>
      <c r="H84" s="3"/>
      <c r="I84" s="3"/>
      <c r="J84" s="3"/>
      <c r="K84" s="3"/>
      <c r="L84" s="3"/>
    </row>
    <row r="85" customFormat="false" ht="15" hidden="false" customHeight="true" outlineLevel="0" collapsed="false">
      <c r="A85" s="3" t="s">
        <v>128</v>
      </c>
      <c r="B85" s="33" t="n">
        <f aca="false">(SUMPRODUCT(B47:K47/(1+B84)^$B$17:$K$17)+L47/(B84-$B$10)/(1+B84)^$K$17+$B$7)/$B$6*$B$13</f>
        <v>125.364046278543</v>
      </c>
      <c r="C85" s="33" t="n">
        <f aca="false">(SUMPRODUCT(B47:K47/(1+C84)^$B$17:$K$17)+L47/(C84-$B$10)/(1+C84)^$K$17+$B$7)/$B$6*$B$13</f>
        <v>104.723088945918</v>
      </c>
      <c r="D85" s="33" t="n">
        <f aca="false">(SUMPRODUCT(B47:K47/(1+D84)^$B$17:$K$17)+L47/(D84-$B$10)/(1+D84)^$K$17+$B$7)/$B$6*$B$13</f>
        <v>90.4190499661091</v>
      </c>
      <c r="E85" s="33" t="n">
        <f aca="false">(SUMPRODUCT(B47:K47/(1+E84)^$B$17:$K$17)+L47/(E84-$B$10)/(1+E84)^$K$17+$B$7)/$B$6*$B$13</f>
        <v>79.9182331670693</v>
      </c>
      <c r="F85" s="33" t="n">
        <f aca="false">(SUMPRODUCT(B47:K47/(1+F84)^$B$17:$K$17)+L47/(F84-$B$10)/(1+F84)^$K$17+$B$7)/$B$6*$B$13</f>
        <v>71.879180359713</v>
      </c>
      <c r="G85" s="33" t="n">
        <f aca="false">(SUMPRODUCT(B47:K47/(1+G84)^$B$17:$K$17)+L47/(G84-$B$10)/(1+G84)^$K$17+$B$7)/$B$6*$B$13</f>
        <v>65.525185836897</v>
      </c>
      <c r="H85" s="3"/>
      <c r="I85" s="3"/>
      <c r="J85" s="3"/>
      <c r="K85" s="3"/>
      <c r="L85" s="3"/>
    </row>
    <row r="86" customFormat="false" ht="15" hidden="false" customHeight="true" outlineLevel="0" collapsed="false">
      <c r="A86" s="3" t="s">
        <v>134</v>
      </c>
      <c r="B86" s="8" t="n">
        <f aca="false">B85/$B$4-1</f>
        <v>-0.0574131858756143</v>
      </c>
      <c r="C86" s="8" t="n">
        <f aca="false">C85/$B$4-1</f>
        <v>-0.21260835379009</v>
      </c>
      <c r="D86" s="8" t="n">
        <f aca="false">D85/$B$4-1</f>
        <v>-0.320157519051811</v>
      </c>
      <c r="E86" s="8" t="n">
        <f aca="false">E85/$B$4-1</f>
        <v>-0.399111028819028</v>
      </c>
      <c r="F86" s="8" t="n">
        <f aca="false">F85/$B$4-1</f>
        <v>-0.459555034889376</v>
      </c>
      <c r="G86" s="8" t="n">
        <f aca="false">G85/$B$4-1</f>
        <v>-0.507329429797767</v>
      </c>
      <c r="H86" s="3"/>
      <c r="I86" s="3"/>
      <c r="J86" s="3"/>
      <c r="K86" s="3"/>
      <c r="L8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12" min="2" style="1" width="11"/>
  </cols>
  <sheetData>
    <row r="1" customFormat="false" ht="15.75" hidden="false" customHeight="true" outlineLevel="0" collapsed="false">
      <c r="A1" s="2" t="s">
        <v>181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" hidden="false" customHeight="true" outlineLevel="0" collapsed="false">
      <c r="A2" s="4" t="s">
        <v>73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true" outlineLevel="0" collapsed="false">
      <c r="A4" s="3" t="s">
        <v>3</v>
      </c>
      <c r="B4" s="20" t="n">
        <v>139.78</v>
      </c>
      <c r="C4" s="4" t="s">
        <v>182</v>
      </c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true" outlineLevel="0" collapsed="false">
      <c r="A5" s="3" t="s">
        <v>75</v>
      </c>
      <c r="B5" s="21" t="s">
        <v>183</v>
      </c>
      <c r="C5" s="4" t="s">
        <v>77</v>
      </c>
      <c r="D5" s="3"/>
      <c r="E5" s="3"/>
      <c r="F5" s="3"/>
      <c r="G5" s="3"/>
      <c r="H5" s="3"/>
      <c r="I5" s="3"/>
      <c r="J5" s="3"/>
      <c r="K5" s="3"/>
      <c r="L5" s="3"/>
    </row>
    <row r="6" customFormat="false" ht="15" hidden="false" customHeight="true" outlineLevel="0" collapsed="false">
      <c r="A6" s="3" t="s">
        <v>78</v>
      </c>
      <c r="B6" s="22" t="n">
        <v>0.16186</v>
      </c>
      <c r="C6" s="4" t="s">
        <v>138</v>
      </c>
      <c r="D6" s="3"/>
      <c r="E6" s="3"/>
      <c r="F6" s="3"/>
      <c r="G6" s="3"/>
      <c r="H6" s="3"/>
      <c r="I6" s="3"/>
      <c r="J6" s="3"/>
      <c r="K6" s="3"/>
      <c r="L6" s="3"/>
    </row>
    <row r="7" customFormat="false" ht="15" hidden="false" customHeight="true" outlineLevel="0" collapsed="false">
      <c r="A7" s="3" t="s">
        <v>80</v>
      </c>
      <c r="B7" s="23" t="n">
        <v>-1.37</v>
      </c>
      <c r="C7" s="4" t="s">
        <v>184</v>
      </c>
      <c r="D7" s="3"/>
      <c r="E7" s="3"/>
      <c r="F7" s="3"/>
      <c r="G7" s="3"/>
      <c r="H7" s="3"/>
      <c r="I7" s="3"/>
      <c r="J7" s="3"/>
      <c r="K7" s="3"/>
      <c r="L7" s="3"/>
    </row>
    <row r="8" customFormat="false" ht="15" hidden="false" customHeight="true" outlineLevel="0" collapsed="false">
      <c r="A8" s="3" t="s">
        <v>56</v>
      </c>
      <c r="B8" s="12" t="n">
        <v>0.21</v>
      </c>
      <c r="C8" s="4" t="s">
        <v>33</v>
      </c>
      <c r="D8" s="3"/>
      <c r="E8" s="3"/>
      <c r="F8" s="3"/>
      <c r="G8" s="3"/>
      <c r="H8" s="3"/>
      <c r="I8" s="3"/>
      <c r="J8" s="3"/>
      <c r="K8" s="3"/>
      <c r="L8" s="3"/>
    </row>
    <row r="9" customFormat="false" ht="15" hidden="false" customHeight="true" outlineLevel="0" collapsed="false">
      <c r="A9" s="3" t="s">
        <v>82</v>
      </c>
      <c r="B9" s="7" t="n">
        <f aca="false">WACC!G26</f>
        <v>0.1</v>
      </c>
      <c r="C9" s="4" t="s">
        <v>83</v>
      </c>
      <c r="D9" s="3"/>
      <c r="E9" s="3"/>
      <c r="F9" s="3"/>
      <c r="G9" s="3"/>
      <c r="H9" s="3"/>
      <c r="I9" s="3"/>
      <c r="J9" s="3"/>
      <c r="K9" s="3"/>
      <c r="L9" s="3"/>
    </row>
    <row r="10" customFormat="false" ht="15" hidden="false" customHeight="true" outlineLevel="0" collapsed="false">
      <c r="A10" s="3" t="s">
        <v>84</v>
      </c>
      <c r="B10" s="18" t="n">
        <v>0.04</v>
      </c>
      <c r="C10" s="4" t="s">
        <v>33</v>
      </c>
      <c r="D10" s="3"/>
      <c r="E10" s="3"/>
      <c r="F10" s="3"/>
      <c r="G10" s="3"/>
      <c r="H10" s="3"/>
      <c r="I10" s="3"/>
      <c r="J10" s="3"/>
      <c r="K10" s="3"/>
      <c r="L10" s="3"/>
    </row>
    <row r="11" customFormat="false" ht="15" hidden="false" customHeight="true" outlineLevel="0" collapsed="false">
      <c r="A11" s="3" t="s">
        <v>85</v>
      </c>
      <c r="B11" s="12" t="n">
        <v>0.12</v>
      </c>
      <c r="C11" s="4" t="s">
        <v>33</v>
      </c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5" hidden="false" customHeight="true" outlineLevel="0" collapsed="false">
      <c r="A12" s="3" t="s">
        <v>86</v>
      </c>
      <c r="B12" s="23" t="n">
        <v>5.35</v>
      </c>
      <c r="C12" s="4" t="s">
        <v>185</v>
      </c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true" outlineLevel="0" collapsed="false">
      <c r="A13" s="3" t="s">
        <v>88</v>
      </c>
      <c r="B13" s="24" t="n">
        <v>1</v>
      </c>
      <c r="C13" s="4" t="s">
        <v>89</v>
      </c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5" hidden="false" customHeight="true" outlineLevel="0" collapsed="false">
      <c r="A14" s="3" t="s">
        <v>90</v>
      </c>
      <c r="B14" s="11" t="n">
        <v>2</v>
      </c>
      <c r="C14" s="4" t="s">
        <v>91</v>
      </c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5" hidden="false" customHeight="true" outlineLevel="0" collapsed="false">
      <c r="A16" s="10" t="s">
        <v>92</v>
      </c>
      <c r="B16" s="25" t="s">
        <v>93</v>
      </c>
      <c r="C16" s="25" t="s">
        <v>94</v>
      </c>
      <c r="D16" s="25" t="s">
        <v>95</v>
      </c>
      <c r="E16" s="25" t="s">
        <v>96</v>
      </c>
      <c r="F16" s="25" t="s">
        <v>97</v>
      </c>
      <c r="G16" s="25" t="s">
        <v>98</v>
      </c>
      <c r="H16" s="25" t="s">
        <v>99</v>
      </c>
      <c r="I16" s="25" t="s">
        <v>100</v>
      </c>
      <c r="J16" s="25" t="s">
        <v>101</v>
      </c>
      <c r="K16" s="25" t="s">
        <v>102</v>
      </c>
      <c r="L16" s="10" t="s">
        <v>103</v>
      </c>
    </row>
    <row r="17" customFormat="false" ht="15" hidden="false" customHeight="true" outlineLevel="0" collapsed="false">
      <c r="A17" s="3" t="s">
        <v>104</v>
      </c>
      <c r="B17" s="21" t="n">
        <v>0.5</v>
      </c>
      <c r="C17" s="3" t="n">
        <f aca="false">B17+1</f>
        <v>1.5</v>
      </c>
      <c r="D17" s="3" t="n">
        <f aca="false">C17+1</f>
        <v>2.5</v>
      </c>
      <c r="E17" s="3" t="n">
        <f aca="false">D17+1</f>
        <v>3.5</v>
      </c>
      <c r="F17" s="3" t="n">
        <f aca="false">E17+1</f>
        <v>4.5</v>
      </c>
      <c r="G17" s="3" t="n">
        <f aca="false">F17+1</f>
        <v>5.5</v>
      </c>
      <c r="H17" s="3" t="n">
        <f aca="false">G17+1</f>
        <v>6.5</v>
      </c>
      <c r="I17" s="3" t="n">
        <f aca="false">H17+1</f>
        <v>7.5</v>
      </c>
      <c r="J17" s="3" t="n">
        <f aca="false">I17+1</f>
        <v>8.5</v>
      </c>
      <c r="K17" s="3" t="n">
        <f aca="false">J17+1</f>
        <v>9.5</v>
      </c>
      <c r="L17" s="3"/>
    </row>
    <row r="18" customFormat="false" ht="15" hidden="false" customHeight="true" outlineLevel="0" collapsed="false">
      <c r="A18" s="3" t="s">
        <v>105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2</v>
      </c>
      <c r="I18" s="3" t="n">
        <v>3</v>
      </c>
      <c r="J18" s="3" t="n">
        <v>4</v>
      </c>
      <c r="K18" s="3" t="n">
        <v>5</v>
      </c>
      <c r="L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5" hidden="false" customHeight="true" outlineLevel="0" collapsed="false">
      <c r="A20" s="13" t="s">
        <v>167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customFormat="false" ht="15" hidden="false" customHeight="true" outlineLevel="0" collapsed="false">
      <c r="A21" s="3" t="s">
        <v>107</v>
      </c>
      <c r="B21" s="23" t="n">
        <v>5.7</v>
      </c>
      <c r="C21" s="23" t="n">
        <v>5.3</v>
      </c>
      <c r="D21" s="23" t="n">
        <v>5.4</v>
      </c>
      <c r="E21" s="23" t="n">
        <v>5.8</v>
      </c>
      <c r="F21" s="23" t="n">
        <v>6.2</v>
      </c>
      <c r="G21" s="27" t="n">
        <f aca="false">F21*(1+$F22+($B$10-$F22)*G$18/5)</f>
        <v>6.59166896551724</v>
      </c>
      <c r="H21" s="27" t="n">
        <f aca="false">G21*(1+$F22+($B$10-$F22)*H$18/5)</f>
        <v>6.96989438478003</v>
      </c>
      <c r="I21" s="27" t="n">
        <f aca="false">H21*(1+$F22+($B$10-$F22)*I$18/5)</f>
        <v>7.3294447985604</v>
      </c>
      <c r="J21" s="27" t="n">
        <f aca="false">I21*(1+$F22+($B$10-$F22)*J$18/5)</f>
        <v>7.66508282243931</v>
      </c>
      <c r="K21" s="27" t="n">
        <f aca="false">J21*(1+$F22+($B$10-$F22)*K$18/5)</f>
        <v>7.97168613533688</v>
      </c>
      <c r="L21" s="27" t="n">
        <f aca="false">K21*(1+$B$10)</f>
        <v>8.29055358075036</v>
      </c>
    </row>
    <row r="22" customFormat="false" ht="15" hidden="false" customHeight="true" outlineLevel="0" collapsed="false">
      <c r="A22" s="3" t="s">
        <v>108</v>
      </c>
      <c r="B22" s="8" t="n">
        <f aca="false">B21/$B$12-1</f>
        <v>0.0654205607476637</v>
      </c>
      <c r="C22" s="8" t="n">
        <f aca="false">C21/B21-1</f>
        <v>-0.0701754385964913</v>
      </c>
      <c r="D22" s="8" t="n">
        <f aca="false">D21/C21-1</f>
        <v>0.0188679245283019</v>
      </c>
      <c r="E22" s="8" t="n">
        <f aca="false">E21/D21-1</f>
        <v>0.074074074074074</v>
      </c>
      <c r="F22" s="8" t="n">
        <f aca="false">F21/E21-1</f>
        <v>0.0689655172413795</v>
      </c>
      <c r="G22" s="8" t="n">
        <f aca="false">G21/F21-1</f>
        <v>0.0631724137931036</v>
      </c>
      <c r="H22" s="8" t="n">
        <f aca="false">H21/G21-1</f>
        <v>0.0573793103448277</v>
      </c>
      <c r="I22" s="8" t="n">
        <f aca="false">I21/H21-1</f>
        <v>0.0515862068965518</v>
      </c>
      <c r="J22" s="8" t="n">
        <f aca="false">J21/I21-1</f>
        <v>0.0457931034482759</v>
      </c>
      <c r="K22" s="8" t="n">
        <f aca="false">K21/J21-1</f>
        <v>0.04</v>
      </c>
      <c r="L22" s="8" t="n">
        <f aca="false">L21/K21-1</f>
        <v>0.04</v>
      </c>
    </row>
    <row r="23" customFormat="false" ht="15" hidden="false" customHeight="true" outlineLevel="0" collapsed="false">
      <c r="A23" s="3" t="s">
        <v>109</v>
      </c>
      <c r="B23" s="12" t="n">
        <v>0.2</v>
      </c>
      <c r="C23" s="12" t="n">
        <v>0.17</v>
      </c>
      <c r="D23" s="12" t="n">
        <v>0.17</v>
      </c>
      <c r="E23" s="12" t="n">
        <v>0.18</v>
      </c>
      <c r="F23" s="12" t="n">
        <v>0.18</v>
      </c>
      <c r="G23" s="8" t="n">
        <f aca="false">$F23+($L23-$F23)*G$18/5</f>
        <v>0.178</v>
      </c>
      <c r="H23" s="8" t="n">
        <f aca="false">$F23+($L23-$F23)*H$18/5</f>
        <v>0.176</v>
      </c>
      <c r="I23" s="8" t="n">
        <f aca="false">$F23+($L23-$F23)*I$18/5</f>
        <v>0.174</v>
      </c>
      <c r="J23" s="8" t="n">
        <f aca="false">$F23+($L23-$F23)*J$18/5</f>
        <v>0.172</v>
      </c>
      <c r="K23" s="8" t="n">
        <f aca="false">$F23+($L23-$F23)*K$18/5</f>
        <v>0.17</v>
      </c>
      <c r="L23" s="18" t="n">
        <v>0.17</v>
      </c>
    </row>
    <row r="24" customFormat="false" ht="15" hidden="false" customHeight="true" outlineLevel="0" collapsed="false">
      <c r="A24" s="3" t="s">
        <v>110</v>
      </c>
      <c r="B24" s="27" t="n">
        <f aca="false">B21*B23</f>
        <v>1.14</v>
      </c>
      <c r="C24" s="27" t="n">
        <f aca="false">C21*C23</f>
        <v>0.901</v>
      </c>
      <c r="D24" s="27" t="n">
        <f aca="false">D21*D23</f>
        <v>0.918</v>
      </c>
      <c r="E24" s="27" t="n">
        <f aca="false">E21*E23</f>
        <v>1.044</v>
      </c>
      <c r="F24" s="27" t="n">
        <f aca="false">F21*F23</f>
        <v>1.116</v>
      </c>
      <c r="G24" s="27" t="n">
        <f aca="false">G21*G23</f>
        <v>1.17331707586207</v>
      </c>
      <c r="H24" s="27" t="n">
        <f aca="false">H21*H23</f>
        <v>1.22670141172128</v>
      </c>
      <c r="I24" s="27" t="n">
        <f aca="false">I21*I23</f>
        <v>1.27532339494951</v>
      </c>
      <c r="J24" s="27" t="n">
        <f aca="false">J21*J23</f>
        <v>1.31839424545956</v>
      </c>
      <c r="K24" s="27" t="n">
        <f aca="false">K21*K23</f>
        <v>1.35518664300727</v>
      </c>
      <c r="L24" s="27" t="n">
        <f aca="false">L21*L23</f>
        <v>1.40939410872756</v>
      </c>
    </row>
    <row r="25" customFormat="false" ht="15" hidden="false" customHeight="true" outlineLevel="0" collapsed="false">
      <c r="A25" s="3" t="s">
        <v>111</v>
      </c>
      <c r="B25" s="27" t="n">
        <f aca="false">B24*(1-$B$8)</f>
        <v>0.9006</v>
      </c>
      <c r="C25" s="27" t="n">
        <f aca="false">C24*(1-$B$8)</f>
        <v>0.71179</v>
      </c>
      <c r="D25" s="27" t="n">
        <f aca="false">D24*(1-$B$8)</f>
        <v>0.72522</v>
      </c>
      <c r="E25" s="27" t="n">
        <f aca="false">E24*(1-$B$8)</f>
        <v>0.82476</v>
      </c>
      <c r="F25" s="27" t="n">
        <f aca="false">F24*(1-$B$8)</f>
        <v>0.88164</v>
      </c>
      <c r="G25" s="27" t="n">
        <f aca="false">G24*(1-$B$8)</f>
        <v>0.926920489931035</v>
      </c>
      <c r="H25" s="27" t="n">
        <f aca="false">H24*(1-$B$8)</f>
        <v>0.969094115259815</v>
      </c>
      <c r="I25" s="27" t="n">
        <f aca="false">I24*(1-$B$8)</f>
        <v>1.00750548201011</v>
      </c>
      <c r="J25" s="27" t="n">
        <f aca="false">J24*(1-$B$8)</f>
        <v>1.04153145391305</v>
      </c>
      <c r="K25" s="27" t="n">
        <f aca="false">K24*(1-$B$8)</f>
        <v>1.07059744797574</v>
      </c>
      <c r="L25" s="27" t="n">
        <f aca="false">L24*(1-$B$8)</f>
        <v>1.11342134589477</v>
      </c>
    </row>
    <row r="26" customFormat="false" ht="15" hidden="false" customHeight="true" outlineLevel="0" collapsed="false">
      <c r="A26" s="3" t="s">
        <v>112</v>
      </c>
      <c r="B26" s="12" t="n">
        <v>0.01</v>
      </c>
      <c r="C26" s="12" t="n">
        <v>0.01</v>
      </c>
      <c r="D26" s="12" t="n">
        <v>0.01</v>
      </c>
      <c r="E26" s="12" t="n">
        <v>0.01</v>
      </c>
      <c r="F26" s="12" t="n">
        <v>0.01</v>
      </c>
      <c r="G26" s="8" t="n">
        <f aca="false">$F26+($L26-$F26)*G$18/5</f>
        <v>0.01</v>
      </c>
      <c r="H26" s="8" t="n">
        <f aca="false">$F26+($L26-$F26)*H$18/5</f>
        <v>0.01</v>
      </c>
      <c r="I26" s="8" t="n">
        <f aca="false">$F26+($L26-$F26)*I$18/5</f>
        <v>0.01</v>
      </c>
      <c r="J26" s="8" t="n">
        <f aca="false">$F26+($L26-$F26)*J$18/5</f>
        <v>0.01</v>
      </c>
      <c r="K26" s="8" t="n">
        <f aca="false">$F26+($L26-$F26)*K$18/5</f>
        <v>0.01</v>
      </c>
      <c r="L26" s="12" t="n">
        <v>0.01</v>
      </c>
    </row>
    <row r="27" customFormat="false" ht="15" hidden="false" customHeight="true" outlineLevel="0" collapsed="false">
      <c r="A27" s="3" t="s">
        <v>113</v>
      </c>
      <c r="B27" s="27" t="n">
        <f aca="false">B21*B26</f>
        <v>0.057</v>
      </c>
      <c r="C27" s="27" t="n">
        <f aca="false">C21*C26</f>
        <v>0.053</v>
      </c>
      <c r="D27" s="27" t="n">
        <f aca="false">D21*D26</f>
        <v>0.054</v>
      </c>
      <c r="E27" s="27" t="n">
        <f aca="false">E21*E26</f>
        <v>0.058</v>
      </c>
      <c r="F27" s="27" t="n">
        <f aca="false">F21*F26</f>
        <v>0.062</v>
      </c>
      <c r="G27" s="27" t="n">
        <f aca="false">G21*G26</f>
        <v>0.0659166896551724</v>
      </c>
      <c r="H27" s="27" t="n">
        <f aca="false">H21*H26</f>
        <v>0.0696989438478003</v>
      </c>
      <c r="I27" s="27" t="n">
        <f aca="false">I21*I26</f>
        <v>0.073294447985604</v>
      </c>
      <c r="J27" s="27" t="n">
        <f aca="false">J21*J26</f>
        <v>0.0766508282243931</v>
      </c>
      <c r="K27" s="27" t="n">
        <f aca="false">K21*K26</f>
        <v>0.0797168613533688</v>
      </c>
      <c r="L27" s="27" t="n">
        <f aca="false">L21*L26</f>
        <v>0.0829055358075036</v>
      </c>
    </row>
    <row r="28" customFormat="false" ht="15" hidden="false" customHeight="true" outlineLevel="0" collapsed="false">
      <c r="A28" s="3" t="s">
        <v>114</v>
      </c>
      <c r="B28" s="27" t="n">
        <f aca="false">$B$11*(B21-$B$12)</f>
        <v>0.0420000000000001</v>
      </c>
      <c r="C28" s="27" t="n">
        <f aca="false">$B$11*(C21-B21)</f>
        <v>-0.048</v>
      </c>
      <c r="D28" s="27" t="n">
        <f aca="false">$B$11*(D21-C21)</f>
        <v>0.0120000000000001</v>
      </c>
      <c r="E28" s="27" t="n">
        <f aca="false">$B$11*(E21-D21)</f>
        <v>0.0479999999999999</v>
      </c>
      <c r="F28" s="27" t="n">
        <f aca="false">$B$11*(F21-E21)</f>
        <v>0.048</v>
      </c>
      <c r="G28" s="27" t="n">
        <f aca="false">$B$11*(G21-F21)</f>
        <v>0.0470002758620691</v>
      </c>
      <c r="H28" s="27" t="n">
        <f aca="false">$B$11*(H21-G21)</f>
        <v>0.045387050311534</v>
      </c>
      <c r="I28" s="27" t="n">
        <f aca="false">$B$11*(I21-H21)</f>
        <v>0.0431460496536452</v>
      </c>
      <c r="J28" s="27" t="n">
        <f aca="false">$B$11*(J21-I21)</f>
        <v>0.0402765628654685</v>
      </c>
      <c r="K28" s="27" t="n">
        <f aca="false">$B$11*(K21-J21)</f>
        <v>0.0367923975477087</v>
      </c>
      <c r="L28" s="27" t="n">
        <f aca="false">$B$11*(L21-K21)</f>
        <v>0.0382640934496171</v>
      </c>
    </row>
    <row r="29" customFormat="false" ht="15" hidden="false" customHeight="true" outlineLevel="0" collapsed="false">
      <c r="A29" s="3" t="s">
        <v>115</v>
      </c>
      <c r="B29" s="27" t="n">
        <f aca="false">B25-B27-B28</f>
        <v>0.8016</v>
      </c>
      <c r="C29" s="27" t="n">
        <f aca="false">C25-C27-C28</f>
        <v>0.70679</v>
      </c>
      <c r="D29" s="27" t="n">
        <f aca="false">D25-D27-D28</f>
        <v>0.65922</v>
      </c>
      <c r="E29" s="27" t="n">
        <f aca="false">E25-E27-E28</f>
        <v>0.71876</v>
      </c>
      <c r="F29" s="27" t="n">
        <f aca="false">F25-F27-F28</f>
        <v>0.77164</v>
      </c>
      <c r="G29" s="27" t="n">
        <f aca="false">G25-G27-G28</f>
        <v>0.814003524413793</v>
      </c>
      <c r="H29" s="27" t="n">
        <f aca="false">H25-H27-H28</f>
        <v>0.85400812110048</v>
      </c>
      <c r="I29" s="27" t="n">
        <f aca="false">I25-I27-I28</f>
        <v>0.891064984370864</v>
      </c>
      <c r="J29" s="27" t="n">
        <f aca="false">J25-J27-J28</f>
        <v>0.924604062823192</v>
      </c>
      <c r="K29" s="27" t="n">
        <f aca="false">K25-K27-K28</f>
        <v>0.954088189074666</v>
      </c>
      <c r="L29" s="27" t="n">
        <f aca="false">L25-L27-L28</f>
        <v>0.992251716637652</v>
      </c>
    </row>
    <row r="30" customFormat="false" ht="15" hidden="false" customHeight="true" outlineLevel="0" collapsed="false">
      <c r="A30" s="3" t="s">
        <v>116</v>
      </c>
      <c r="B30" s="28" t="n">
        <f aca="false">1/(1+$B$9)^B$17</f>
        <v>0.953462589245592</v>
      </c>
      <c r="C30" s="28" t="n">
        <f aca="false">1/(1+$B$9)^C$17</f>
        <v>0.866784172041447</v>
      </c>
      <c r="D30" s="28" t="n">
        <f aca="false">1/(1+$B$9)^D$17</f>
        <v>0.78798561094677</v>
      </c>
      <c r="E30" s="28" t="n">
        <f aca="false">1/(1+$B$9)^E$17</f>
        <v>0.716350555406155</v>
      </c>
      <c r="F30" s="28" t="n">
        <f aca="false">1/(1+$B$9)^F$17</f>
        <v>0.651227777641959</v>
      </c>
      <c r="G30" s="28" t="n">
        <f aca="false">1/(1+$B$9)^G$17</f>
        <v>0.592025252401781</v>
      </c>
      <c r="H30" s="28" t="n">
        <f aca="false">1/(1+$B$9)^H$17</f>
        <v>0.53820477491071</v>
      </c>
      <c r="I30" s="28" t="n">
        <f aca="false">1/(1+$B$9)^I$17</f>
        <v>0.489277068100645</v>
      </c>
      <c r="J30" s="28" t="n">
        <f aca="false">1/(1+$B$9)^J$17</f>
        <v>0.44479733463695</v>
      </c>
      <c r="K30" s="28" t="n">
        <f aca="false">1/(1+$B$9)^K$17</f>
        <v>0.404361213306318</v>
      </c>
      <c r="L30" s="3"/>
    </row>
    <row r="31" customFormat="false" ht="15" hidden="false" customHeight="true" outlineLevel="0" collapsed="false">
      <c r="A31" s="3" t="s">
        <v>117</v>
      </c>
      <c r="B31" s="27" t="n">
        <f aca="false">B29*B30</f>
        <v>0.764295611539267</v>
      </c>
      <c r="C31" s="27" t="n">
        <f aca="false">C29*C30</f>
        <v>0.612634384957175</v>
      </c>
      <c r="D31" s="27" t="n">
        <f aca="false">D29*D30</f>
        <v>0.51945587444833</v>
      </c>
      <c r="E31" s="27" t="n">
        <f aca="false">E29*E30</f>
        <v>0.514884125203728</v>
      </c>
      <c r="F31" s="27" t="n">
        <f aca="false">F29*F30</f>
        <v>0.502513402339641</v>
      </c>
      <c r="G31" s="27" t="n">
        <f aca="false">G29*G30</f>
        <v>0.481910641997015</v>
      </c>
      <c r="H31" s="27" t="n">
        <f aca="false">H29*H30</f>
        <v>0.459631248588802</v>
      </c>
      <c r="I31" s="27" t="n">
        <f aca="false">I29*I30</f>
        <v>0.435977663040123</v>
      </c>
      <c r="J31" s="27" t="n">
        <f aca="false">J29*J30</f>
        <v>0.411261422738251</v>
      </c>
      <c r="K31" s="27" t="n">
        <f aca="false">K29*K30</f>
        <v>0.38579625773546</v>
      </c>
      <c r="L31" s="27"/>
    </row>
    <row r="32" customFormat="false" ht="15" hidden="false" customHeight="true" outlineLevel="0" collapsed="false">
      <c r="A32" s="3" t="s">
        <v>118</v>
      </c>
      <c r="B32" s="27" t="n">
        <f aca="false">L29/($B$9-$B$10)</f>
        <v>16.5375286106275</v>
      </c>
      <c r="C32" s="3"/>
      <c r="D32" s="3"/>
      <c r="E32" s="3"/>
      <c r="F32" s="3"/>
      <c r="G32" s="3"/>
      <c r="H32" s="3"/>
      <c r="I32" s="3"/>
      <c r="J32" s="3"/>
      <c r="K32" s="3"/>
      <c r="L32" s="3"/>
    </row>
    <row r="33" customFormat="false" ht="15" hidden="false" customHeight="true" outlineLevel="0" collapsed="false">
      <c r="A33" s="3" t="s">
        <v>119</v>
      </c>
      <c r="B33" s="27" t="n">
        <f aca="false">B32/(1+$B$9)^$K$17</f>
        <v>6.6871351340813</v>
      </c>
      <c r="C33" s="3"/>
      <c r="D33" s="3"/>
      <c r="E33" s="3"/>
      <c r="F33" s="3"/>
      <c r="G33" s="3"/>
      <c r="H33" s="3"/>
      <c r="I33" s="3"/>
      <c r="J33" s="3"/>
      <c r="K33" s="3"/>
      <c r="L33" s="3"/>
    </row>
    <row r="34" customFormat="false" ht="15" hidden="false" customHeight="true" outlineLevel="0" collapsed="false">
      <c r="A34" s="3" t="s">
        <v>120</v>
      </c>
      <c r="B34" s="27" t="n">
        <f aca="false">SUM(B31:K31)+B33+$B$7</f>
        <v>10.4054957666691</v>
      </c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5" hidden="false" customHeight="true" outlineLevel="0" collapsed="false">
      <c r="A35" s="3" t="s">
        <v>121</v>
      </c>
      <c r="B35" s="29" t="n">
        <f aca="false">B34/$B$6*$B$13</f>
        <v>64.2870120268695</v>
      </c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true" outlineLevel="0" collapsed="false">
      <c r="A36" s="3" t="s">
        <v>122</v>
      </c>
      <c r="B36" s="8" t="n">
        <f aca="false">B35/$B$4-1</f>
        <v>-0.540084332330309</v>
      </c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" hidden="false" customHeight="true" outlineLevel="0" collapsed="false">
      <c r="A38" s="13" t="s">
        <v>186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</row>
    <row r="39" customFormat="false" ht="15" hidden="false" customHeight="true" outlineLevel="0" collapsed="false">
      <c r="A39" s="3" t="s">
        <v>107</v>
      </c>
      <c r="B39" s="23" t="n">
        <v>6.3</v>
      </c>
      <c r="C39" s="23" t="n">
        <v>7.1</v>
      </c>
      <c r="D39" s="23" t="n">
        <v>7.4</v>
      </c>
      <c r="E39" s="23" t="n">
        <v>8</v>
      </c>
      <c r="F39" s="23" t="n">
        <v>8.6</v>
      </c>
      <c r="G39" s="27" t="n">
        <f aca="false">F39*(1+$F40+($B$10-$F40)*G$18/5)</f>
        <v>9.1848</v>
      </c>
      <c r="H39" s="27" t="n">
        <f aca="false">G39*(1+$F40+($B$10-$F40)*H$18/5)</f>
        <v>9.7450728</v>
      </c>
      <c r="I39" s="27" t="n">
        <f aca="false">H39*(1+$F40+($B$10-$F40)*I$18/5)</f>
        <v>10.2713067312</v>
      </c>
      <c r="J39" s="27" t="n">
        <f aca="false">I39*(1+$F40+($B$10-$F40)*J$18/5)</f>
        <v>10.7540581475664</v>
      </c>
      <c r="K39" s="27" t="n">
        <f aca="false">J39*(1+$F40+($B$10-$F40)*K$18/5)</f>
        <v>11.1842204734691</v>
      </c>
      <c r="L39" s="27" t="n">
        <f aca="false">K39*(1+$B$10)</f>
        <v>11.6315892924078</v>
      </c>
    </row>
    <row r="40" customFormat="false" ht="15" hidden="false" customHeight="true" outlineLevel="0" collapsed="false">
      <c r="A40" s="3" t="s">
        <v>108</v>
      </c>
      <c r="B40" s="8" t="n">
        <f aca="false">B39/$B$12-1</f>
        <v>0.177570093457944</v>
      </c>
      <c r="C40" s="8" t="n">
        <f aca="false">C39/B39-1</f>
        <v>0.126984126984127</v>
      </c>
      <c r="D40" s="8" t="n">
        <f aca="false">D39/C39-1</f>
        <v>0.0422535211267607</v>
      </c>
      <c r="E40" s="8" t="n">
        <f aca="false">E39/D39-1</f>
        <v>0.0810810810810809</v>
      </c>
      <c r="F40" s="8" t="n">
        <f aca="false">F39/E39-1</f>
        <v>0.075</v>
      </c>
      <c r="G40" s="8" t="n">
        <f aca="false">G39/F39-1</f>
        <v>0.0680000000000001</v>
      </c>
      <c r="H40" s="8" t="n">
        <f aca="false">H39/G39-1</f>
        <v>0.0609999999999999</v>
      </c>
      <c r="I40" s="8" t="n">
        <f aca="false">I39/H39-1</f>
        <v>0.0540000000000001</v>
      </c>
      <c r="J40" s="8" t="n">
        <f aca="false">J39/I39-1</f>
        <v>0.0469999999999999</v>
      </c>
      <c r="K40" s="8" t="n">
        <f aca="false">K39/J39-1</f>
        <v>0.04</v>
      </c>
      <c r="L40" s="8" t="n">
        <f aca="false">L39/K39-1</f>
        <v>0.04</v>
      </c>
    </row>
    <row r="41" customFormat="false" ht="15" hidden="false" customHeight="true" outlineLevel="0" collapsed="false">
      <c r="A41" s="3" t="s">
        <v>109</v>
      </c>
      <c r="B41" s="12" t="n">
        <v>0.22</v>
      </c>
      <c r="C41" s="12" t="n">
        <v>0.22</v>
      </c>
      <c r="D41" s="12" t="n">
        <v>0.21</v>
      </c>
      <c r="E41" s="12" t="n">
        <v>0.22</v>
      </c>
      <c r="F41" s="12" t="n">
        <v>0.22</v>
      </c>
      <c r="G41" s="8" t="n">
        <f aca="false">$F41+($L41-$F41)*G$18/5</f>
        <v>0.216</v>
      </c>
      <c r="H41" s="8" t="n">
        <f aca="false">$F41+($L41-$F41)*H$18/5</f>
        <v>0.212</v>
      </c>
      <c r="I41" s="8" t="n">
        <f aca="false">$F41+($L41-$F41)*I$18/5</f>
        <v>0.208</v>
      </c>
      <c r="J41" s="8" t="n">
        <f aca="false">$F41+($L41-$F41)*J$18/5</f>
        <v>0.204</v>
      </c>
      <c r="K41" s="8" t="n">
        <f aca="false">$F41+($L41-$F41)*K$18/5</f>
        <v>0.2</v>
      </c>
      <c r="L41" s="18" t="n">
        <v>0.2</v>
      </c>
    </row>
    <row r="42" customFormat="false" ht="15" hidden="false" customHeight="true" outlineLevel="0" collapsed="false">
      <c r="A42" s="3" t="s">
        <v>110</v>
      </c>
      <c r="B42" s="27" t="n">
        <f aca="false">B39*B41</f>
        <v>1.386</v>
      </c>
      <c r="C42" s="27" t="n">
        <f aca="false">C39*C41</f>
        <v>1.562</v>
      </c>
      <c r="D42" s="27" t="n">
        <f aca="false">D39*D41</f>
        <v>1.554</v>
      </c>
      <c r="E42" s="27" t="n">
        <f aca="false">E39*E41</f>
        <v>1.76</v>
      </c>
      <c r="F42" s="27" t="n">
        <f aca="false">F39*F41</f>
        <v>1.892</v>
      </c>
      <c r="G42" s="27" t="n">
        <f aca="false">G39*G41</f>
        <v>1.9839168</v>
      </c>
      <c r="H42" s="27" t="n">
        <f aca="false">H39*H41</f>
        <v>2.0659554336</v>
      </c>
      <c r="I42" s="27" t="n">
        <f aca="false">I39*I41</f>
        <v>2.1364318000896</v>
      </c>
      <c r="J42" s="27" t="n">
        <f aca="false">J39*J41</f>
        <v>2.19382786210355</v>
      </c>
      <c r="K42" s="27" t="n">
        <f aca="false">K39*K41</f>
        <v>2.23684409469381</v>
      </c>
      <c r="L42" s="27" t="n">
        <f aca="false">L39*L41</f>
        <v>2.32631785848156</v>
      </c>
    </row>
    <row r="43" customFormat="false" ht="15" hidden="false" customHeight="true" outlineLevel="0" collapsed="false">
      <c r="A43" s="3" t="s">
        <v>111</v>
      </c>
      <c r="B43" s="27" t="n">
        <f aca="false">B42*(1-$B$8)</f>
        <v>1.09494</v>
      </c>
      <c r="C43" s="27" t="n">
        <f aca="false">C42*(1-$B$8)</f>
        <v>1.23398</v>
      </c>
      <c r="D43" s="27" t="n">
        <f aca="false">D42*(1-$B$8)</f>
        <v>1.22766</v>
      </c>
      <c r="E43" s="27" t="n">
        <f aca="false">E42*(1-$B$8)</f>
        <v>1.3904</v>
      </c>
      <c r="F43" s="27" t="n">
        <f aca="false">F42*(1-$B$8)</f>
        <v>1.49468</v>
      </c>
      <c r="G43" s="27" t="n">
        <f aca="false">G42*(1-$B$8)</f>
        <v>1.567294272</v>
      </c>
      <c r="H43" s="27" t="n">
        <f aca="false">H42*(1-$B$8)</f>
        <v>1.632104792544</v>
      </c>
      <c r="I43" s="27" t="n">
        <f aca="false">I42*(1-$B$8)</f>
        <v>1.68778112207078</v>
      </c>
      <c r="J43" s="27" t="n">
        <f aca="false">J42*(1-$B$8)</f>
        <v>1.7331240110618</v>
      </c>
      <c r="K43" s="27" t="n">
        <f aca="false">K42*(1-$B$8)</f>
        <v>1.76710683480811</v>
      </c>
      <c r="L43" s="27" t="n">
        <f aca="false">L42*(1-$B$8)</f>
        <v>1.83779110820044</v>
      </c>
    </row>
    <row r="44" customFormat="false" ht="15" hidden="false" customHeight="true" outlineLevel="0" collapsed="false">
      <c r="A44" s="3" t="s">
        <v>112</v>
      </c>
      <c r="B44" s="12" t="n">
        <v>0.01</v>
      </c>
      <c r="C44" s="12" t="n">
        <v>0.01</v>
      </c>
      <c r="D44" s="12" t="n">
        <v>0.01</v>
      </c>
      <c r="E44" s="12" t="n">
        <v>0.01</v>
      </c>
      <c r="F44" s="12" t="n">
        <v>0.01</v>
      </c>
      <c r="G44" s="8" t="n">
        <f aca="false">$F44+($L44-$F44)*G$18/5</f>
        <v>0.01</v>
      </c>
      <c r="H44" s="8" t="n">
        <f aca="false">$F44+($L44-$F44)*H$18/5</f>
        <v>0.01</v>
      </c>
      <c r="I44" s="8" t="n">
        <f aca="false">$F44+($L44-$F44)*I$18/5</f>
        <v>0.01</v>
      </c>
      <c r="J44" s="8" t="n">
        <f aca="false">$F44+($L44-$F44)*J$18/5</f>
        <v>0.01</v>
      </c>
      <c r="K44" s="8" t="n">
        <f aca="false">$F44+($L44-$F44)*K$18/5</f>
        <v>0.01</v>
      </c>
      <c r="L44" s="12" t="n">
        <v>0.01</v>
      </c>
    </row>
    <row r="45" customFormat="false" ht="15" hidden="false" customHeight="true" outlineLevel="0" collapsed="false">
      <c r="A45" s="3" t="s">
        <v>113</v>
      </c>
      <c r="B45" s="27" t="n">
        <f aca="false">B39*B44</f>
        <v>0.063</v>
      </c>
      <c r="C45" s="27" t="n">
        <f aca="false">C39*C44</f>
        <v>0.071</v>
      </c>
      <c r="D45" s="27" t="n">
        <f aca="false">D39*D44</f>
        <v>0.074</v>
      </c>
      <c r="E45" s="27" t="n">
        <f aca="false">E39*E44</f>
        <v>0.08</v>
      </c>
      <c r="F45" s="27" t="n">
        <f aca="false">F39*F44</f>
        <v>0.086</v>
      </c>
      <c r="G45" s="27" t="n">
        <f aca="false">G39*G44</f>
        <v>0.091848</v>
      </c>
      <c r="H45" s="27" t="n">
        <f aca="false">H39*H44</f>
        <v>0.097450728</v>
      </c>
      <c r="I45" s="27" t="n">
        <f aca="false">I39*I44</f>
        <v>0.102713067312</v>
      </c>
      <c r="J45" s="27" t="n">
        <f aca="false">J39*J44</f>
        <v>0.107540581475664</v>
      </c>
      <c r="K45" s="27" t="n">
        <f aca="false">K39*K44</f>
        <v>0.111842204734691</v>
      </c>
      <c r="L45" s="27" t="n">
        <f aca="false">L39*L44</f>
        <v>0.116315892924078</v>
      </c>
    </row>
    <row r="46" customFormat="false" ht="15" hidden="false" customHeight="true" outlineLevel="0" collapsed="false">
      <c r="A46" s="3" t="s">
        <v>114</v>
      </c>
      <c r="B46" s="27" t="n">
        <f aca="false">$B$11*(B39-$B$12)</f>
        <v>0.114</v>
      </c>
      <c r="C46" s="27" t="n">
        <f aca="false">$B$11*(C39-B39)</f>
        <v>0.096</v>
      </c>
      <c r="D46" s="27" t="n">
        <f aca="false">$B$11*(D39-C39)</f>
        <v>0.0360000000000001</v>
      </c>
      <c r="E46" s="27" t="n">
        <f aca="false">$B$11*(E39-D39)</f>
        <v>0.072</v>
      </c>
      <c r="F46" s="27" t="n">
        <f aca="false">$B$11*(F39-E39)</f>
        <v>0.072</v>
      </c>
      <c r="G46" s="27" t="n">
        <f aca="false">$B$11*(G39-F39)</f>
        <v>0.0701760000000002</v>
      </c>
      <c r="H46" s="27" t="n">
        <f aca="false">$B$11*(H39-G39)</f>
        <v>0.067232736</v>
      </c>
      <c r="I46" s="27" t="n">
        <f aca="false">$B$11*(I39-H39)</f>
        <v>0.063148071744</v>
      </c>
      <c r="J46" s="27" t="n">
        <f aca="false">$B$11*(J39-I39)</f>
        <v>0.0579301699639679</v>
      </c>
      <c r="K46" s="27" t="n">
        <f aca="false">$B$11*(K39-J39)</f>
        <v>0.0516194791083188</v>
      </c>
      <c r="L46" s="27" t="n">
        <f aca="false">$B$11*(L39-K39)</f>
        <v>0.0536842582726516</v>
      </c>
    </row>
    <row r="47" customFormat="false" ht="15" hidden="false" customHeight="true" outlineLevel="0" collapsed="false">
      <c r="A47" s="3" t="s">
        <v>115</v>
      </c>
      <c r="B47" s="27" t="n">
        <f aca="false">B43-B45-B46</f>
        <v>0.91794</v>
      </c>
      <c r="C47" s="27" t="n">
        <f aca="false">C43-C45-C46</f>
        <v>1.06698</v>
      </c>
      <c r="D47" s="27" t="n">
        <f aca="false">D43-D45-D46</f>
        <v>1.11766</v>
      </c>
      <c r="E47" s="27" t="n">
        <f aca="false">E43-E45-E46</f>
        <v>1.2384</v>
      </c>
      <c r="F47" s="27" t="n">
        <f aca="false">F43-F45-F46</f>
        <v>1.33668</v>
      </c>
      <c r="G47" s="27" t="n">
        <f aca="false">G43-G45-G46</f>
        <v>1.405270272</v>
      </c>
      <c r="H47" s="27" t="n">
        <f aca="false">H43-H45-H46</f>
        <v>1.467421328544</v>
      </c>
      <c r="I47" s="27" t="n">
        <f aca="false">I43-I45-I46</f>
        <v>1.52191998301478</v>
      </c>
      <c r="J47" s="27" t="n">
        <f aca="false">J43-J45-J46</f>
        <v>1.56765325962217</v>
      </c>
      <c r="K47" s="27" t="n">
        <f aca="false">K43-K45-K46</f>
        <v>1.6036451509651</v>
      </c>
      <c r="L47" s="27" t="n">
        <f aca="false">L43-L45-L46</f>
        <v>1.66779095700371</v>
      </c>
    </row>
    <row r="48" customFormat="false" ht="15" hidden="false" customHeight="true" outlineLevel="0" collapsed="false">
      <c r="A48" s="3" t="s">
        <v>116</v>
      </c>
      <c r="B48" s="28" t="n">
        <f aca="false">1/(1+$B$9)^B$17</f>
        <v>0.953462589245592</v>
      </c>
      <c r="C48" s="28" t="n">
        <f aca="false">1/(1+$B$9)^C$17</f>
        <v>0.866784172041447</v>
      </c>
      <c r="D48" s="28" t="n">
        <f aca="false">1/(1+$B$9)^D$17</f>
        <v>0.78798561094677</v>
      </c>
      <c r="E48" s="28" t="n">
        <f aca="false">1/(1+$B$9)^E$17</f>
        <v>0.716350555406155</v>
      </c>
      <c r="F48" s="28" t="n">
        <f aca="false">1/(1+$B$9)^F$17</f>
        <v>0.651227777641959</v>
      </c>
      <c r="G48" s="28" t="n">
        <f aca="false">1/(1+$B$9)^G$17</f>
        <v>0.592025252401781</v>
      </c>
      <c r="H48" s="28" t="n">
        <f aca="false">1/(1+$B$9)^H$17</f>
        <v>0.53820477491071</v>
      </c>
      <c r="I48" s="28" t="n">
        <f aca="false">1/(1+$B$9)^I$17</f>
        <v>0.489277068100645</v>
      </c>
      <c r="J48" s="28" t="n">
        <f aca="false">1/(1+$B$9)^J$17</f>
        <v>0.44479733463695</v>
      </c>
      <c r="K48" s="28" t="n">
        <f aca="false">1/(1+$B$9)^K$17</f>
        <v>0.404361213306318</v>
      </c>
      <c r="L48" s="3"/>
    </row>
    <row r="49" customFormat="false" ht="15" hidden="false" customHeight="true" outlineLevel="0" collapsed="false">
      <c r="A49" s="3" t="s">
        <v>117</v>
      </c>
      <c r="B49" s="27" t="n">
        <f aca="false">B47*B48</f>
        <v>0.875221449172099</v>
      </c>
      <c r="C49" s="27" t="n">
        <f aca="false">C47*C48</f>
        <v>0.924841375884784</v>
      </c>
      <c r="D49" s="27" t="n">
        <f aca="false">D47*D48</f>
        <v>0.880699997930767</v>
      </c>
      <c r="E49" s="27" t="n">
        <f aca="false">E47*E48</f>
        <v>0.887128527814982</v>
      </c>
      <c r="F49" s="27" t="n">
        <f aca="false">F47*F48</f>
        <v>0.870483145818453</v>
      </c>
      <c r="G49" s="27" t="n">
        <f aca="false">G47*G48</f>
        <v>0.831955487473519</v>
      </c>
      <c r="H49" s="27" t="n">
        <f aca="false">H47*H48</f>
        <v>0.789773165828198</v>
      </c>
      <c r="I49" s="27" t="n">
        <f aca="false">I47*I48</f>
        <v>0.744640547173257</v>
      </c>
      <c r="J49" s="27" t="n">
        <f aca="false">J47*J48</f>
        <v>0.697287991514868</v>
      </c>
      <c r="K49" s="27" t="n">
        <f aca="false">K47*K48</f>
        <v>0.648451898957042</v>
      </c>
      <c r="L49" s="27"/>
    </row>
    <row r="50" customFormat="false" ht="15" hidden="false" customHeight="true" outlineLevel="0" collapsed="false">
      <c r="A50" s="3" t="s">
        <v>118</v>
      </c>
      <c r="B50" s="27" t="n">
        <f aca="false">L47/($B$9-$B$10)</f>
        <v>27.7965159500618</v>
      </c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Format="false" ht="15" hidden="false" customHeight="true" outlineLevel="0" collapsed="false">
      <c r="A51" s="3" t="s">
        <v>119</v>
      </c>
      <c r="B51" s="27" t="n">
        <f aca="false">B50/(1+$B$9)^$K$17</f>
        <v>11.2398329152554</v>
      </c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Format="false" ht="15" hidden="false" customHeight="true" outlineLevel="0" collapsed="false">
      <c r="A52" s="3" t="s">
        <v>120</v>
      </c>
      <c r="B52" s="27" t="n">
        <f aca="false">SUM(B49:K49)+B51+$B$7</f>
        <v>18.0203165028234</v>
      </c>
      <c r="C52" s="3"/>
      <c r="D52" s="3"/>
      <c r="E52" s="3"/>
      <c r="F52" s="3"/>
      <c r="G52" s="3"/>
      <c r="H52" s="3"/>
      <c r="I52" s="3"/>
      <c r="J52" s="3"/>
      <c r="K52" s="3"/>
      <c r="L52" s="3"/>
    </row>
    <row r="53" customFormat="false" ht="15" hidden="false" customHeight="true" outlineLevel="0" collapsed="false">
      <c r="A53" s="3" t="s">
        <v>121</v>
      </c>
      <c r="B53" s="29" t="n">
        <f aca="false">B52/$B$6*$B$13</f>
        <v>111.332735097142</v>
      </c>
      <c r="C53" s="3"/>
      <c r="D53" s="3"/>
      <c r="E53" s="3"/>
      <c r="F53" s="3"/>
      <c r="G53" s="3"/>
      <c r="H53" s="3"/>
      <c r="I53" s="3"/>
      <c r="J53" s="3"/>
      <c r="K53" s="3"/>
      <c r="L53" s="3"/>
    </row>
    <row r="54" customFormat="false" ht="15" hidden="false" customHeight="true" outlineLevel="0" collapsed="false">
      <c r="A54" s="3" t="s">
        <v>122</v>
      </c>
      <c r="B54" s="8" t="n">
        <f aca="false">B53/$B$4-1</f>
        <v>-0.203514557897111</v>
      </c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customFormat="false" ht="15" hidden="false" customHeight="true" outlineLevel="0" collapsed="false">
      <c r="A56" s="13" t="s">
        <v>187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 customFormat="false" ht="15" hidden="false" customHeight="true" outlineLevel="0" collapsed="false">
      <c r="A57" s="3" t="s">
        <v>107</v>
      </c>
      <c r="B57" s="23" t="n">
        <v>6.6</v>
      </c>
      <c r="C57" s="23" t="n">
        <v>7.8</v>
      </c>
      <c r="D57" s="23" t="n">
        <v>8.8</v>
      </c>
      <c r="E57" s="23" t="n">
        <v>9.8</v>
      </c>
      <c r="F57" s="23" t="n">
        <v>10.7</v>
      </c>
      <c r="G57" s="27" t="n">
        <f aca="false">F57*(1+$F58+($B$10-$F58)*G$18/5)</f>
        <v>11.5717224489796</v>
      </c>
      <c r="H57" s="27" t="n">
        <f aca="false">G57*(1+$F58+($B$10-$F58)*H$18/5)</f>
        <v>12.3944955308621</v>
      </c>
      <c r="I57" s="27" t="n">
        <f aca="false">H57*(1+$F58+($B$10-$F58)*I$18/5)</f>
        <v>13.1472714226957</v>
      </c>
      <c r="J57" s="27" t="n">
        <f aca="false">I57*(1+$F58+($B$10-$F58)*J$18/5)</f>
        <v>13.8094646037409</v>
      </c>
      <c r="K57" s="27" t="n">
        <f aca="false">J57*(1+$F58+($B$10-$F58)*K$18/5)</f>
        <v>14.3618431878905</v>
      </c>
      <c r="L57" s="27" t="n">
        <f aca="false">K57*(1+$B$10)</f>
        <v>14.9363169154061</v>
      </c>
    </row>
    <row r="58" customFormat="false" ht="15" hidden="false" customHeight="true" outlineLevel="0" collapsed="false">
      <c r="A58" s="3" t="s">
        <v>108</v>
      </c>
      <c r="B58" s="8" t="n">
        <f aca="false">B57/$B$12-1</f>
        <v>0.233644859813084</v>
      </c>
      <c r="C58" s="8" t="n">
        <f aca="false">C57/B57-1</f>
        <v>0.181818181818182</v>
      </c>
      <c r="D58" s="8" t="n">
        <f aca="false">D57/C57-1</f>
        <v>0.128205128205128</v>
      </c>
      <c r="E58" s="8" t="n">
        <f aca="false">E57/D57-1</f>
        <v>0.113636363636364</v>
      </c>
      <c r="F58" s="8" t="n">
        <f aca="false">F57/E57-1</f>
        <v>0.0918367346938773</v>
      </c>
      <c r="G58" s="8" t="n">
        <f aca="false">G57/F57-1</f>
        <v>0.0814693877551018</v>
      </c>
      <c r="H58" s="8" t="n">
        <f aca="false">H57/G57-1</f>
        <v>0.0711020408163263</v>
      </c>
      <c r="I58" s="8" t="n">
        <f aca="false">I57/H57-1</f>
        <v>0.060734693877551</v>
      </c>
      <c r="J58" s="8" t="n">
        <f aca="false">J57/I57-1</f>
        <v>0.0503673469387755</v>
      </c>
      <c r="K58" s="8" t="n">
        <f aca="false">K57/J57-1</f>
        <v>0.04</v>
      </c>
      <c r="L58" s="8" t="n">
        <f aca="false">L57/K57-1</f>
        <v>0.04</v>
      </c>
    </row>
    <row r="59" customFormat="false" ht="15" hidden="false" customHeight="true" outlineLevel="0" collapsed="false">
      <c r="A59" s="3" t="s">
        <v>109</v>
      </c>
      <c r="B59" s="12" t="n">
        <v>0.23</v>
      </c>
      <c r="C59" s="12" t="n">
        <v>0.24</v>
      </c>
      <c r="D59" s="12" t="n">
        <v>0.24</v>
      </c>
      <c r="E59" s="12" t="n">
        <v>0.24</v>
      </c>
      <c r="F59" s="12" t="n">
        <v>0.24</v>
      </c>
      <c r="G59" s="8" t="n">
        <f aca="false">$F59+($L59-$F59)*G$18/5</f>
        <v>0.236</v>
      </c>
      <c r="H59" s="8" t="n">
        <f aca="false">$F59+($L59-$F59)*H$18/5</f>
        <v>0.232</v>
      </c>
      <c r="I59" s="8" t="n">
        <f aca="false">$F59+($L59-$F59)*I$18/5</f>
        <v>0.228</v>
      </c>
      <c r="J59" s="8" t="n">
        <f aca="false">$F59+($L59-$F59)*J$18/5</f>
        <v>0.224</v>
      </c>
      <c r="K59" s="8" t="n">
        <f aca="false">$F59+($L59-$F59)*K$18/5</f>
        <v>0.22</v>
      </c>
      <c r="L59" s="18" t="n">
        <v>0.22</v>
      </c>
    </row>
    <row r="60" customFormat="false" ht="15" hidden="false" customHeight="true" outlineLevel="0" collapsed="false">
      <c r="A60" s="3" t="s">
        <v>110</v>
      </c>
      <c r="B60" s="27" t="n">
        <f aca="false">B57*B59</f>
        <v>1.518</v>
      </c>
      <c r="C60" s="27" t="n">
        <f aca="false">C57*C59</f>
        <v>1.872</v>
      </c>
      <c r="D60" s="27" t="n">
        <f aca="false">D57*D59</f>
        <v>2.112</v>
      </c>
      <c r="E60" s="27" t="n">
        <f aca="false">E57*E59</f>
        <v>2.352</v>
      </c>
      <c r="F60" s="27" t="n">
        <f aca="false">F57*F59</f>
        <v>2.568</v>
      </c>
      <c r="G60" s="27" t="n">
        <f aca="false">G57*G59</f>
        <v>2.73092649795918</v>
      </c>
      <c r="H60" s="27" t="n">
        <f aca="false">H57*H59</f>
        <v>2.87552296316002</v>
      </c>
      <c r="I60" s="27" t="n">
        <f aca="false">I57*I59</f>
        <v>2.99757788437463</v>
      </c>
      <c r="J60" s="27" t="n">
        <f aca="false">J57*J59</f>
        <v>3.09332007123796</v>
      </c>
      <c r="K60" s="27" t="n">
        <f aca="false">K57*K59</f>
        <v>3.15960550133592</v>
      </c>
      <c r="L60" s="27" t="n">
        <f aca="false">L57*L59</f>
        <v>3.28598972138935</v>
      </c>
    </row>
    <row r="61" customFormat="false" ht="15" hidden="false" customHeight="true" outlineLevel="0" collapsed="false">
      <c r="A61" s="3" t="s">
        <v>111</v>
      </c>
      <c r="B61" s="27" t="n">
        <f aca="false">B60*(1-$B$8)</f>
        <v>1.19922</v>
      </c>
      <c r="C61" s="27" t="n">
        <f aca="false">C60*(1-$B$8)</f>
        <v>1.47888</v>
      </c>
      <c r="D61" s="27" t="n">
        <f aca="false">D60*(1-$B$8)</f>
        <v>1.66848</v>
      </c>
      <c r="E61" s="27" t="n">
        <f aca="false">E60*(1-$B$8)</f>
        <v>1.85808</v>
      </c>
      <c r="F61" s="27" t="n">
        <f aca="false">F60*(1-$B$8)</f>
        <v>2.02872</v>
      </c>
      <c r="G61" s="27" t="n">
        <f aca="false">G60*(1-$B$8)</f>
        <v>2.15743193338775</v>
      </c>
      <c r="H61" s="27" t="n">
        <f aca="false">H60*(1-$B$8)</f>
        <v>2.27166314089641</v>
      </c>
      <c r="I61" s="27" t="n">
        <f aca="false">I60*(1-$B$8)</f>
        <v>2.36808652865595</v>
      </c>
      <c r="J61" s="27" t="n">
        <f aca="false">J60*(1-$B$8)</f>
        <v>2.44372285627799</v>
      </c>
      <c r="K61" s="27" t="n">
        <f aca="false">K60*(1-$B$8)</f>
        <v>2.49608834605537</v>
      </c>
      <c r="L61" s="27" t="n">
        <f aca="false">L60*(1-$B$8)</f>
        <v>2.59593187989759</v>
      </c>
    </row>
    <row r="62" customFormat="false" ht="15" hidden="false" customHeight="true" outlineLevel="0" collapsed="false">
      <c r="A62" s="3" t="s">
        <v>112</v>
      </c>
      <c r="B62" s="12" t="n">
        <v>0.01</v>
      </c>
      <c r="C62" s="12" t="n">
        <v>0.01</v>
      </c>
      <c r="D62" s="12" t="n">
        <v>0.01</v>
      </c>
      <c r="E62" s="12" t="n">
        <v>0.01</v>
      </c>
      <c r="F62" s="12" t="n">
        <v>0.01</v>
      </c>
      <c r="G62" s="8" t="n">
        <f aca="false">$F62+($L62-$F62)*G$18/5</f>
        <v>0.01</v>
      </c>
      <c r="H62" s="8" t="n">
        <f aca="false">$F62+($L62-$F62)*H$18/5</f>
        <v>0.01</v>
      </c>
      <c r="I62" s="8" t="n">
        <f aca="false">$F62+($L62-$F62)*I$18/5</f>
        <v>0.01</v>
      </c>
      <c r="J62" s="8" t="n">
        <f aca="false">$F62+($L62-$F62)*J$18/5</f>
        <v>0.01</v>
      </c>
      <c r="K62" s="8" t="n">
        <f aca="false">$F62+($L62-$F62)*K$18/5</f>
        <v>0.01</v>
      </c>
      <c r="L62" s="12" t="n">
        <v>0.01</v>
      </c>
    </row>
    <row r="63" customFormat="false" ht="15" hidden="false" customHeight="true" outlineLevel="0" collapsed="false">
      <c r="A63" s="3" t="s">
        <v>113</v>
      </c>
      <c r="B63" s="27" t="n">
        <f aca="false">B57*B62</f>
        <v>0.066</v>
      </c>
      <c r="C63" s="27" t="n">
        <f aca="false">C57*C62</f>
        <v>0.078</v>
      </c>
      <c r="D63" s="27" t="n">
        <f aca="false">D57*D62</f>
        <v>0.088</v>
      </c>
      <c r="E63" s="27" t="n">
        <f aca="false">E57*E62</f>
        <v>0.098</v>
      </c>
      <c r="F63" s="27" t="n">
        <f aca="false">F57*F62</f>
        <v>0.107</v>
      </c>
      <c r="G63" s="27" t="n">
        <f aca="false">G57*G62</f>
        <v>0.115717224489796</v>
      </c>
      <c r="H63" s="27" t="n">
        <f aca="false">H57*H62</f>
        <v>0.123944955308621</v>
      </c>
      <c r="I63" s="27" t="n">
        <f aca="false">I57*I62</f>
        <v>0.131472714226957</v>
      </c>
      <c r="J63" s="27" t="n">
        <f aca="false">J57*J62</f>
        <v>0.138094646037409</v>
      </c>
      <c r="K63" s="27" t="n">
        <f aca="false">K57*K62</f>
        <v>0.143618431878905</v>
      </c>
      <c r="L63" s="27" t="n">
        <f aca="false">L57*L62</f>
        <v>0.149363169154061</v>
      </c>
    </row>
    <row r="64" customFormat="false" ht="15" hidden="false" customHeight="true" outlineLevel="0" collapsed="false">
      <c r="A64" s="3" t="s">
        <v>114</v>
      </c>
      <c r="B64" s="27" t="n">
        <f aca="false">$B$11*(B57-$B$12)</f>
        <v>0.15</v>
      </c>
      <c r="C64" s="27" t="n">
        <f aca="false">$B$11*(C57-B57)</f>
        <v>0.144</v>
      </c>
      <c r="D64" s="27" t="n">
        <f aca="false">$B$11*(D57-C57)</f>
        <v>0.12</v>
      </c>
      <c r="E64" s="27" t="n">
        <f aca="false">$B$11*(E57-D57)</f>
        <v>0.12</v>
      </c>
      <c r="F64" s="27" t="n">
        <f aca="false">$B$11*(F57-E57)</f>
        <v>0.108</v>
      </c>
      <c r="G64" s="27" t="n">
        <f aca="false">$B$11*(G57-F57)</f>
        <v>0.104606693877551</v>
      </c>
      <c r="H64" s="27" t="n">
        <f aca="false">$B$11*(H57-G57)</f>
        <v>0.0987327698259056</v>
      </c>
      <c r="I64" s="27" t="n">
        <f aca="false">$B$11*(I57-H57)</f>
        <v>0.0903331070200304</v>
      </c>
      <c r="J64" s="27" t="n">
        <f aca="false">$B$11*(J57-I57)</f>
        <v>0.0794631817254198</v>
      </c>
      <c r="K64" s="27" t="n">
        <f aca="false">$B$11*(K57-J57)</f>
        <v>0.0662854300979563</v>
      </c>
      <c r="L64" s="27" t="n">
        <f aca="false">$B$11*(L57-K57)</f>
        <v>0.0689368473018747</v>
      </c>
    </row>
    <row r="65" customFormat="false" ht="15" hidden="false" customHeight="true" outlineLevel="0" collapsed="false">
      <c r="A65" s="3" t="s">
        <v>115</v>
      </c>
      <c r="B65" s="27" t="n">
        <f aca="false">B61-B63-B64</f>
        <v>0.98322</v>
      </c>
      <c r="C65" s="27" t="n">
        <f aca="false">C61-C63-C64</f>
        <v>1.25688</v>
      </c>
      <c r="D65" s="27" t="n">
        <f aca="false">D61-D63-D64</f>
        <v>1.46048</v>
      </c>
      <c r="E65" s="27" t="n">
        <f aca="false">E61-E63-E64</f>
        <v>1.64008</v>
      </c>
      <c r="F65" s="27" t="n">
        <f aca="false">F61-F63-F64</f>
        <v>1.81372</v>
      </c>
      <c r="G65" s="27" t="n">
        <f aca="false">G61-G63-G64</f>
        <v>1.93710801502041</v>
      </c>
      <c r="H65" s="27" t="n">
        <f aca="false">H61-H63-H64</f>
        <v>2.04898541576189</v>
      </c>
      <c r="I65" s="27" t="n">
        <f aca="false">I61-I63-I64</f>
        <v>2.14628070740897</v>
      </c>
      <c r="J65" s="27" t="n">
        <f aca="false">J61-J63-J64</f>
        <v>2.22616502851516</v>
      </c>
      <c r="K65" s="27" t="n">
        <f aca="false">K61-K63-K64</f>
        <v>2.28618448407851</v>
      </c>
      <c r="L65" s="27" t="n">
        <f aca="false">L61-L63-L64</f>
        <v>2.37763186344165</v>
      </c>
    </row>
    <row r="66" customFormat="false" ht="15" hidden="false" customHeight="true" outlineLevel="0" collapsed="false">
      <c r="A66" s="3" t="s">
        <v>116</v>
      </c>
      <c r="B66" s="28" t="n">
        <f aca="false">1/(1+$B$9)^B$17</f>
        <v>0.953462589245592</v>
      </c>
      <c r="C66" s="28" t="n">
        <f aca="false">1/(1+$B$9)^C$17</f>
        <v>0.866784172041447</v>
      </c>
      <c r="D66" s="28" t="n">
        <f aca="false">1/(1+$B$9)^D$17</f>
        <v>0.78798561094677</v>
      </c>
      <c r="E66" s="28" t="n">
        <f aca="false">1/(1+$B$9)^E$17</f>
        <v>0.716350555406155</v>
      </c>
      <c r="F66" s="28" t="n">
        <f aca="false">1/(1+$B$9)^F$17</f>
        <v>0.651227777641959</v>
      </c>
      <c r="G66" s="28" t="n">
        <f aca="false">1/(1+$B$9)^G$17</f>
        <v>0.592025252401781</v>
      </c>
      <c r="H66" s="28" t="n">
        <f aca="false">1/(1+$B$9)^H$17</f>
        <v>0.53820477491071</v>
      </c>
      <c r="I66" s="28" t="n">
        <f aca="false">1/(1+$B$9)^I$17</f>
        <v>0.489277068100645</v>
      </c>
      <c r="J66" s="28" t="n">
        <f aca="false">1/(1+$B$9)^J$17</f>
        <v>0.44479733463695</v>
      </c>
      <c r="K66" s="28" t="n">
        <f aca="false">1/(1+$B$9)^K$17</f>
        <v>0.404361213306318</v>
      </c>
      <c r="L66" s="3"/>
    </row>
    <row r="67" customFormat="false" ht="15" hidden="false" customHeight="true" outlineLevel="0" collapsed="false">
      <c r="A67" s="3" t="s">
        <v>117</v>
      </c>
      <c r="B67" s="27" t="n">
        <f aca="false">B65*B66</f>
        <v>0.937463486998051</v>
      </c>
      <c r="C67" s="27" t="n">
        <f aca="false">C65*C66</f>
        <v>1.08944369015545</v>
      </c>
      <c r="D67" s="27" t="n">
        <f aca="false">D65*D66</f>
        <v>1.15083722507554</v>
      </c>
      <c r="E67" s="27" t="n">
        <f aca="false">E65*E66</f>
        <v>1.17487221891053</v>
      </c>
      <c r="F67" s="27" t="n">
        <f aca="false">F65*F66</f>
        <v>1.18114484486477</v>
      </c>
      <c r="G67" s="27" t="n">
        <f aca="false">G65*G66</f>
        <v>1.14681686152197</v>
      </c>
      <c r="H67" s="27" t="n">
        <f aca="false">H65*H66</f>
        <v>1.10277373448545</v>
      </c>
      <c r="I67" s="27" t="n">
        <f aca="false">I65*I66</f>
        <v>1.05012593184204</v>
      </c>
      <c r="J67" s="27" t="n">
        <f aca="false">J65*J66</f>
        <v>0.990192271145533</v>
      </c>
      <c r="K67" s="27" t="n">
        <f aca="false">K65*K66</f>
        <v>0.924444331824066</v>
      </c>
      <c r="L67" s="27"/>
    </row>
    <row r="68" customFormat="false" ht="15" hidden="false" customHeight="true" outlineLevel="0" collapsed="false">
      <c r="A68" s="3" t="s">
        <v>118</v>
      </c>
      <c r="B68" s="27" t="n">
        <f aca="false">L65/($B$9-$B$10)</f>
        <v>39.6271977240275</v>
      </c>
      <c r="C68" s="3"/>
      <c r="D68" s="3"/>
      <c r="E68" s="3"/>
      <c r="F68" s="3"/>
      <c r="G68" s="3"/>
      <c r="H68" s="3"/>
      <c r="I68" s="3"/>
      <c r="J68" s="3"/>
      <c r="K68" s="3"/>
      <c r="L68" s="3"/>
    </row>
    <row r="69" customFormat="false" ht="15" hidden="false" customHeight="true" outlineLevel="0" collapsed="false">
      <c r="A69" s="3" t="s">
        <v>119</v>
      </c>
      <c r="B69" s="27" t="n">
        <f aca="false">B68/(1+$B$9)^$K$17</f>
        <v>16.0237017516171</v>
      </c>
      <c r="C69" s="3"/>
      <c r="D69" s="3"/>
      <c r="E69" s="3"/>
      <c r="F69" s="3"/>
      <c r="G69" s="3"/>
      <c r="H69" s="3"/>
      <c r="I69" s="3"/>
      <c r="J69" s="3"/>
      <c r="K69" s="3"/>
      <c r="L69" s="3"/>
    </row>
    <row r="70" customFormat="false" ht="15" hidden="false" customHeight="true" outlineLevel="0" collapsed="false">
      <c r="A70" s="3" t="s">
        <v>120</v>
      </c>
      <c r="B70" s="27" t="n">
        <f aca="false">SUM(B67:K67)+B69+$B$7</f>
        <v>25.4018163484405</v>
      </c>
      <c r="C70" s="3"/>
      <c r="D70" s="3"/>
      <c r="E70" s="3"/>
      <c r="F70" s="3"/>
      <c r="G70" s="3"/>
      <c r="H70" s="3"/>
      <c r="I70" s="3"/>
      <c r="J70" s="3"/>
      <c r="K70" s="3"/>
      <c r="L70" s="3"/>
    </row>
    <row r="71" customFormat="false" ht="15" hidden="false" customHeight="true" outlineLevel="0" collapsed="false">
      <c r="A71" s="3" t="s">
        <v>121</v>
      </c>
      <c r="B71" s="29" t="n">
        <f aca="false">B70/$B$6*$B$13</f>
        <v>156.936960017549</v>
      </c>
      <c r="C71" s="3"/>
      <c r="D71" s="3"/>
      <c r="E71" s="3"/>
      <c r="F71" s="3"/>
      <c r="G71" s="3"/>
      <c r="H71" s="3"/>
      <c r="I71" s="3"/>
      <c r="J71" s="3"/>
      <c r="K71" s="3"/>
      <c r="L71" s="3"/>
    </row>
    <row r="72" customFormat="false" ht="15" hidden="false" customHeight="true" outlineLevel="0" collapsed="false">
      <c r="A72" s="3" t="s">
        <v>122</v>
      </c>
      <c r="B72" s="8" t="n">
        <f aca="false">B71/$B$4-1</f>
        <v>0.122742595632776</v>
      </c>
      <c r="C72" s="3"/>
      <c r="D72" s="3"/>
      <c r="E72" s="3"/>
      <c r="F72" s="3"/>
      <c r="G72" s="3"/>
      <c r="H72" s="3"/>
      <c r="I72" s="3"/>
      <c r="J72" s="3"/>
      <c r="K72" s="3"/>
      <c r="L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customFormat="false" ht="15" hidden="false" customHeight="true" outlineLevel="0" collapsed="false">
      <c r="A76" s="13" t="s">
        <v>125</v>
      </c>
      <c r="B76" s="26"/>
      <c r="C76" s="13" t="s">
        <v>126</v>
      </c>
      <c r="D76" s="26"/>
      <c r="E76" s="26"/>
      <c r="F76" s="26"/>
      <c r="G76" s="26"/>
      <c r="H76" s="26"/>
      <c r="I76" s="26"/>
      <c r="J76" s="26"/>
      <c r="K76" s="26"/>
      <c r="L76" s="26"/>
    </row>
    <row r="77" customFormat="false" ht="15" hidden="false" customHeight="true" outlineLevel="0" collapsed="false">
      <c r="A77" s="3" t="s">
        <v>127</v>
      </c>
      <c r="B77" s="30" t="n">
        <f aca="false">B35</f>
        <v>64.2870120268695</v>
      </c>
      <c r="C77" s="8" t="n">
        <f aca="false">B77/$B$4-1</f>
        <v>-0.540084332330309</v>
      </c>
      <c r="D77" s="3"/>
      <c r="E77" s="3"/>
      <c r="F77" s="3"/>
      <c r="G77" s="3"/>
      <c r="H77" s="3"/>
      <c r="I77" s="3"/>
      <c r="J77" s="3"/>
      <c r="K77" s="3"/>
      <c r="L77" s="3"/>
    </row>
    <row r="78" customFormat="false" ht="15" hidden="false" customHeight="true" outlineLevel="0" collapsed="false">
      <c r="A78" s="3" t="s">
        <v>128</v>
      </c>
      <c r="B78" s="30" t="n">
        <f aca="false">B53</f>
        <v>111.332735097142</v>
      </c>
      <c r="C78" s="8" t="n">
        <f aca="false">B78/$B$4-1</f>
        <v>-0.203514557897111</v>
      </c>
      <c r="D78" s="3"/>
      <c r="E78" s="3"/>
      <c r="F78" s="3"/>
      <c r="G78" s="3"/>
      <c r="H78" s="3"/>
      <c r="I78" s="3"/>
      <c r="J78" s="3"/>
      <c r="K78" s="3"/>
      <c r="L78" s="3"/>
    </row>
    <row r="79" customFormat="false" ht="15" hidden="false" customHeight="true" outlineLevel="0" collapsed="false">
      <c r="A79" s="3" t="s">
        <v>129</v>
      </c>
      <c r="B79" s="30" t="n">
        <f aca="false">B71</f>
        <v>156.936960017549</v>
      </c>
      <c r="C79" s="8" t="n">
        <f aca="false">B79/$B$4-1</f>
        <v>0.122742595632776</v>
      </c>
      <c r="D79" s="3"/>
      <c r="E79" s="3"/>
      <c r="F79" s="3"/>
      <c r="G79" s="3"/>
      <c r="H79" s="3"/>
      <c r="I79" s="3"/>
      <c r="J79" s="3"/>
      <c r="K79" s="3"/>
      <c r="L79" s="3"/>
    </row>
    <row r="80" customFormat="false" ht="15" hidden="false" customHeight="true" outlineLevel="0" collapsed="false">
      <c r="A80" s="3" t="s">
        <v>130</v>
      </c>
      <c r="B80" s="30" t="n">
        <f aca="false">INDEX(B35:B71,1+($B$14-1)*18)</f>
        <v>111.332735097142</v>
      </c>
      <c r="C80" s="8" t="n">
        <f aca="false">B80/$B$4-1</f>
        <v>-0.203514557897111</v>
      </c>
      <c r="D80" s="3"/>
      <c r="E80" s="3"/>
      <c r="F80" s="3"/>
      <c r="G80" s="3"/>
      <c r="H80" s="3"/>
      <c r="I80" s="3"/>
      <c r="J80" s="3"/>
      <c r="K80" s="3"/>
      <c r="L80" s="3"/>
    </row>
    <row r="81" customFormat="false" ht="15" hidden="false" customHeight="true" outlineLevel="0" collapsed="false">
      <c r="A81" s="3" t="s">
        <v>131</v>
      </c>
      <c r="B81" s="30" t="n">
        <f aca="false">B78</f>
        <v>111.332735097142</v>
      </c>
      <c r="C81" s="3"/>
      <c r="D81" s="3"/>
      <c r="E81" s="3"/>
      <c r="F81" s="3"/>
      <c r="G81" s="3"/>
      <c r="H81" s="3"/>
      <c r="I81" s="3"/>
      <c r="J81" s="3"/>
      <c r="K81" s="3"/>
      <c r="L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customFormat="false" ht="15" hidden="false" customHeight="true" outlineLevel="0" collapsed="false">
      <c r="A83" s="10" t="s">
        <v>132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customFormat="false" ht="15" hidden="false" customHeight="true" outlineLevel="0" collapsed="false">
      <c r="A84" s="3" t="s">
        <v>133</v>
      </c>
      <c r="B84" s="12" t="n">
        <v>0.08</v>
      </c>
      <c r="C84" s="12" t="n">
        <v>0.09</v>
      </c>
      <c r="D84" s="12" t="n">
        <v>0.1</v>
      </c>
      <c r="E84" s="12" t="n">
        <v>0.11</v>
      </c>
      <c r="F84" s="12" t="n">
        <v>0.12</v>
      </c>
      <c r="G84" s="12" t="n">
        <v>0.13</v>
      </c>
      <c r="H84" s="3"/>
      <c r="I84" s="3"/>
      <c r="J84" s="3"/>
      <c r="K84" s="3"/>
      <c r="L84" s="3"/>
    </row>
    <row r="85" customFormat="false" ht="15" hidden="false" customHeight="true" outlineLevel="0" collapsed="false">
      <c r="A85" s="3" t="s">
        <v>128</v>
      </c>
      <c r="B85" s="30" t="n">
        <f aca="false">(SUMPRODUCT(B47:K47/(1+B84)^$B$17:$K$17)+L47/(B84-$B$10)/(1+B84)^$K$17+$B$7)/$B$6*$B$13</f>
        <v>170.513387044052</v>
      </c>
      <c r="C85" s="30" t="n">
        <f aca="false">(SUMPRODUCT(B47:K47/(1+C84)^$B$17:$K$17)+L47/(C84-$B$10)/(1+C84)^$K$17+$B$7)/$B$6*$B$13</f>
        <v>135.006570359741</v>
      </c>
      <c r="D85" s="30" t="n">
        <f aca="false">(SUMPRODUCT(B47:K47/(1+D84)^$B$17:$K$17)+L47/(D84-$B$10)/(1+D84)^$K$17+$B$7)/$B$6*$B$13</f>
        <v>111.332735097142</v>
      </c>
      <c r="E85" s="30" t="n">
        <f aca="false">(SUMPRODUCT(B47:K47/(1+E84)^$B$17:$K$17)+L47/(E84-$B$10)/(1+E84)^$K$17+$B$7)/$B$6*$B$13</f>
        <v>94.4211495085707</v>
      </c>
      <c r="F85" s="30" t="n">
        <f aca="false">(SUMPRODUCT(B47:K47/(1+F84)^$B$17:$K$17)+L47/(F84-$B$10)/(1+F84)^$K$17+$B$7)/$B$6*$B$13</f>
        <v>81.7363847107346</v>
      </c>
      <c r="G85" s="30" t="n">
        <f aca="false">(SUMPRODUCT(B47:K47/(1+G84)^$B$17:$K$17)+L47/(G84-$B$10)/(1+G84)^$K$17+$B$7)/$B$6*$B$13</f>
        <v>71.8698198007327</v>
      </c>
      <c r="H85" s="3"/>
      <c r="I85" s="3"/>
      <c r="J85" s="3"/>
      <c r="K85" s="3"/>
      <c r="L85" s="3"/>
    </row>
    <row r="86" customFormat="false" ht="15" hidden="false" customHeight="true" outlineLevel="0" collapsed="false">
      <c r="A86" s="3" t="s">
        <v>134</v>
      </c>
      <c r="B86" s="8" t="n">
        <f aca="false">B85/$B$4-1</f>
        <v>0.219869702704618</v>
      </c>
      <c r="C86" s="8" t="n">
        <f aca="false">C85/$B$4-1</f>
        <v>-0.0341495896427179</v>
      </c>
      <c r="D86" s="8" t="n">
        <f aca="false">D85/$B$4-1</f>
        <v>-0.203514557897111</v>
      </c>
      <c r="E86" s="8" t="n">
        <f aca="false">E85/$B$4-1</f>
        <v>-0.324501720499566</v>
      </c>
      <c r="F86" s="8" t="n">
        <f aca="false">F85/$B$4-1</f>
        <v>-0.415249787446455</v>
      </c>
      <c r="G86" s="8" t="n">
        <f aca="false">G85/$B$4-1</f>
        <v>-0.485836172551634</v>
      </c>
      <c r="H86" s="3"/>
      <c r="I86" s="3"/>
      <c r="J86" s="3"/>
      <c r="K86" s="3"/>
      <c r="L8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2026-10-21T15:56:08Z</dcterms:created>
  <dc:creator>Jesper Holke-Farnam</dc:creator>
  <dc:description/>
  <dc:language>en-US</dc:language>
  <cp:lastModifiedBy/>
  <dcterms:modified xsi:type="dcterms:W3CDTF">2026-10-22T19:28:49Z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