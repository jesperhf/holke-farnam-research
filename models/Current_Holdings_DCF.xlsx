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WACC" sheetId="2" state="visible" r:id="rId4"/>
    <sheet name="MO" sheetId="3" state="visible" r:id="rId5"/>
    <sheet name="KO" sheetId="4" state="visible" r:id="rId6"/>
    <sheet name="GOOG" sheetId="5" state="visible" r:id="rId7"/>
    <sheet name="UNH" sheetId="6" state="visible" r:id="rId8"/>
    <sheet name="LNG" sheetId="7" state="visible" r:id="rId9"/>
    <sheet name="NOW" sheetId="8" state="visible" r:id="rId10"/>
    <sheet name="CLS" sheetId="9" state="visible" r:id="rId11"/>
    <sheet name="EPD" sheetId="10" state="visible" r:id="rId12"/>
    <sheet name="NVDA" sheetId="11" state="visible" r:id="rId13"/>
    <sheet name="FSLR" sheetId="12" state="visible" r:id="rId14"/>
    <sheet name="JPM" sheetId="13" state="visible" r:id="rId15"/>
    <sheet name="BAC" sheetId="14" state="visible" r:id="rId16"/>
    <sheet name="TMC"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<sst xmlns="http://schemas.openxmlformats.org/spreadsheetml/2006/main" count="1322" uniqueCount="285">
  <si>
    <t xml:space="preserve">Current Holdings: scenario values for the 13 stocks (Celestica updated Oct 27, 2026)</t>
  </si>
  <si>
    <t xml:space="preserve">Values link to each company sheet (green). Switch the discount rate on the WACC tab. Funds (JCPI, HYBL, VGK, XBI) are excluded.</t>
  </si>
  <si>
    <t xml:space="preserve">Company</t>
  </si>
  <si>
    <t xml:space="preserve">Method</t>
  </si>
  <si>
    <t xml:space="preserve">Share price</t>
  </si>
  <si>
    <t xml:space="preserve">Discount rate</t>
  </si>
  <si>
    <t xml:space="preserve">Bear value</t>
  </si>
  <si>
    <t xml:space="preserve">Base value</t>
  </si>
  <si>
    <t xml:space="preserve">Bull value</t>
  </si>
  <si>
    <t xml:space="preserve">Base vs price</t>
  </si>
  <si>
    <t xml:space="preserve">Implied return at price (base case)</t>
  </si>
  <si>
    <t xml:space="preserve">Base target (rounded)</t>
  </si>
  <si>
    <t xml:space="preserve">Altria (MO)</t>
  </si>
  <si>
    <t xml:space="preserve">10-year DCF</t>
  </si>
  <si>
    <t xml:space="preserve">Coca-Cola (KO)</t>
  </si>
  <si>
    <t xml:space="preserve">Alphabet (GOOG)</t>
  </si>
  <si>
    <t xml:space="preserve">UnitedHealth (UNH)</t>
  </si>
  <si>
    <t xml:space="preserve">Cheniere Energy (LNG)</t>
  </si>
  <si>
    <t xml:space="preserve">ServiceNow (NOW)</t>
  </si>
  <si>
    <t xml:space="preserve">Celestica (CLS)</t>
  </si>
  <si>
    <t xml:space="preserve">Enterprise Products (EPD)</t>
  </si>
  <si>
    <t xml:space="preserve">Nvidia (NVDA)</t>
  </si>
  <si>
    <t xml:space="preserve">JPMorgan Chase (JPM)</t>
  </si>
  <si>
    <t xml:space="preserve">Residual income</t>
  </si>
  <si>
    <t xml:space="preserve">Bank of America (BAC)</t>
  </si>
  <si>
    <t xml:space="preserve">First Solar (FSLR)</t>
  </si>
  <si>
    <t xml:space="preserve">TMC the metals company (TMC)</t>
  </si>
  <si>
    <t xml:space="preserve">Probability-weighted</t>
  </si>
  <si>
    <t xml:space="preserve">n/a</t>
  </si>
  <si>
    <t xml:space="preserve">Notes</t>
  </si>
  <si>
    <t xml:space="preserve">Base value is what the business is worth if the base case plays out and you want to earn the discount rate. Implied return is what the base case earns at today's price.</t>
  </si>
  <si>
    <t xml:space="preserve">DCF: five explicit years, then five years fading growth, margin and reinvestment to terminal levels. FCF = operating income x (1 - tax) - net reinvestment - working capital x revenue change. Mid-year discounting from October 2026.</t>
  </si>
  <si>
    <t xml:space="preserve">Margins are after stock-based pay. For ServiceNow that is about 19% today, not the 31.5% non-GAAP figure, which is the main reason its value is lower than a multiple of adjusted earnings suggests.</t>
  </si>
  <si>
    <t xml:space="preserve">Banks: tangible book plus the present value of returns above the cost of equity (residual income). TMC: probability-weighted, from the company's 2025 study with analyst haircuts.</t>
  </si>
  <si>
    <t xml:space="preserve">Discount rates use a 5.31% risk-free rate and a 5% equity risk premium, the same as the earlier journal models. At these rates most quality stocks look fully priced; the implied return column shows by how much.</t>
  </si>
  <si>
    <t xml:space="preserve">Prices: Oct 23, 2026 intraday, except Celestica (Oct 26 close, model updated for its Q3 results on Oct 27). Company data: Stock Analysis, company filings and releases (see each sheet). Research for my own records, not investment advice.</t>
  </si>
  <si>
    <t xml:space="preserve">Discount rates: calculated (CAPM) versus assumed</t>
  </si>
  <si>
    <t xml:space="preserve">Blue = input, black = formula, green = link. The yellow switches apply to every company. Banks use cost of equity only (lower table). TMC uses its own risk rate on its sheet.</t>
  </si>
  <si>
    <t xml:space="preserve">Rate used in valuations (1 = Calculated, 2 = Assumed)</t>
  </si>
  <si>
    <t xml:space="preserve">Switch. 2 reproduces the doc's figures</t>
  </si>
  <si>
    <t xml:space="preserve">Beta used (1 = Raw 5-year, 2 = Blume adjusted)</t>
  </si>
  <si>
    <t xml:space="preserve">Blume adjusted = 0.67 x raw + 0.33</t>
  </si>
  <si>
    <t xml:space="preserve">Risk-free rate (10-year Treasury)</t>
  </si>
  <si>
    <t xml:space="preserve">FRED via MacroRadar, Oct 6, 2026 (same as earlier journal models)</t>
  </si>
  <si>
    <t xml:space="preserve">Equity risk premium</t>
  </si>
  <si>
    <t xml:space="preserve">Analyst assumption</t>
  </si>
  <si>
    <t xml:space="preserve">Credit spread over risk-free (pre-tax cost of debt)</t>
  </si>
  <si>
    <t xml:space="preserve">Analyst assumption: investment-grade spread</t>
  </si>
  <si>
    <t xml:space="preserve">Item</t>
  </si>
  <si>
    <t xml:space="preserve">MO</t>
  </si>
  <si>
    <t xml:space="preserve">KO</t>
  </si>
  <si>
    <t xml:space="preserve">GOOG</t>
  </si>
  <si>
    <t xml:space="preserve">UNH</t>
  </si>
  <si>
    <t xml:space="preserve">LNG</t>
  </si>
  <si>
    <t xml:space="preserve">NOW</t>
  </si>
  <si>
    <t xml:space="preserve">CLS</t>
  </si>
  <si>
    <t xml:space="preserve">EPD</t>
  </si>
  <si>
    <t xml:space="preserve">NVDA</t>
  </si>
  <si>
    <t xml:space="preserve">FSLR</t>
  </si>
  <si>
    <t xml:space="preserve">Source / note</t>
  </si>
  <si>
    <t xml:space="preserve">Raw beta (5-year)</t>
  </si>
  <si>
    <t xml:space="preserve">Stock Analysis statistics, Oct 23, 2026</t>
  </si>
  <si>
    <t xml:space="preserve">Beta override (blank = none)</t>
  </si>
  <si>
    <t xml:space="preserve">Cheniere's 0.06 raw beta reflects its own history, not its risk; 0.80 used instead</t>
  </si>
  <si>
    <t xml:space="preserve">Adjusted beta</t>
  </si>
  <si>
    <t xml:space="preserve">Blume: 0.67 x raw (or override) + 0.33</t>
  </si>
  <si>
    <t xml:space="preserve">Beta used</t>
  </si>
  <si>
    <t xml:space="preserve">Per switch in B6</t>
  </si>
  <si>
    <t xml:space="preserve">Cost of equity</t>
  </si>
  <si>
    <t xml:space="preserve">Risk-free + beta x ERP</t>
  </si>
  <si>
    <t xml:space="preserve">Pre-tax cost of debt</t>
  </si>
  <si>
    <t xml:space="preserve">Risk-free + spread</t>
  </si>
  <si>
    <t xml:space="preserve">Tax rate</t>
  </si>
  <si>
    <t xml:space="preserve">Linked from company sheet</t>
  </si>
  <si>
    <t xml:space="preserve">After-tax cost of debt</t>
  </si>
  <si>
    <t xml:space="preserve">Market value of equity ($B)</t>
  </si>
  <si>
    <t xml:space="preserve">Price x shares</t>
  </si>
  <si>
    <t xml:space="preserve">Debt ($B)</t>
  </si>
  <si>
    <t xml:space="preserve">Stock Analysis, total debt</t>
  </si>
  <si>
    <t xml:space="preserve">Equity weight</t>
  </si>
  <si>
    <t xml:space="preserve">Debt weight</t>
  </si>
  <si>
    <t xml:space="preserve">Calculated WACC (CAPM)</t>
  </si>
  <si>
    <t xml:space="preserve">Weighted cost of capital</t>
  </si>
  <si>
    <t xml:space="preserve">Assumed WACC</t>
  </si>
  <si>
    <t xml:space="preserve">Analyst assumption used in the doc</t>
  </si>
  <si>
    <t xml:space="preserve">WACC used</t>
  </si>
  <si>
    <t xml:space="preserve">Per switch in B5; feeds each sheet's B10</t>
  </si>
  <si>
    <t xml:space="preserve">Check: WACC above every terminal growth rate</t>
  </si>
  <si>
    <t xml:space="preserve">Link row read by company sheets</t>
  </si>
  <si>
    <t xml:space="preserve">Same as WACC used</t>
  </si>
  <si>
    <t xml:space="preserve">Bank cost of equity</t>
  </si>
  <si>
    <t xml:space="preserve">JPM</t>
  </si>
  <si>
    <t xml:space="preserve">BAC</t>
  </si>
  <si>
    <t xml:space="preserve">Blume</t>
  </si>
  <si>
    <t xml:space="preserve">Calculated cost of equity (CAPM)</t>
  </si>
  <si>
    <t xml:space="preserve">Assumed cost of equity</t>
  </si>
  <si>
    <t xml:space="preserve">Cost of equity used</t>
  </si>
  <si>
    <t xml:space="preserve">Per switch in B5</t>
  </si>
  <si>
    <t xml:space="preserve">Link row read by bank sheets</t>
  </si>
  <si>
    <t xml:space="preserve">Altria (MO): 10-year scenario DCF</t>
  </si>
  <si>
    <t xml:space="preserve">Units: $ billions unless noted. Blue = input, black = formula, green = link, yellow = key lever. Years 6 to 10 fade growth, margin and reinvestment toward each scenario's terminal levels.</t>
  </si>
  <si>
    <t xml:space="preserve">Share price ($)</t>
  </si>
  <si>
    <t xml:space="preserve">Oct 23, 2026 intraday (Yahoo Finance via the site's price feed)</t>
  </si>
  <si>
    <t xml:space="preserve">Price date</t>
  </si>
  <si>
    <t xml:space="preserve">Oct 23, 2026</t>
  </si>
  <si>
    <t xml:space="preserve">Text</t>
  </si>
  <si>
    <t xml:space="preserve">Shares outstanding (billions)</t>
  </si>
  <si>
    <t xml:space="preserve">Net cash, negative = net debt</t>
  </si>
  <si>
    <t xml:space="preserve">Stock Analysis statistics, Oct 23, 2026: cash less total debt</t>
  </si>
  <si>
    <t xml:space="preserve">Other non-operating assets, less outside claims</t>
  </si>
  <si>
    <t xml:space="preserve">ABI stake: 159.1M shares (Schedule 13D/A, May 2026) x $84.93 (Oct 23, 2026), less 20% for tax on sale</t>
  </si>
  <si>
    <t xml:space="preserve">Analyst assumption (normalized, near the reported effective rate)</t>
  </si>
  <si>
    <t xml:space="preserve">Discount rate (WACC), from WACC tab</t>
  </si>
  <si>
    <t xml:space="preserve">Calculated or assumed, per the switch in WACC!B5</t>
  </si>
  <si>
    <t xml:space="preserve">Working capital, % of revenue change</t>
  </si>
  <si>
    <t xml:space="preserve">Base-year revenue (2026E)</t>
  </si>
  <si>
    <t xml:space="preserve">2026E consensus $20.6B (Stock Analysis, revenue net of excise taxes)</t>
  </si>
  <si>
    <t xml:space="preserve">Selected scenario (1 Bear, 2 Base, 3 Bull)</t>
  </si>
  <si>
    <t xml:space="preserve">Lever</t>
  </si>
  <si>
    <t xml:space="preserve">Year</t>
  </si>
  <si>
    <t xml:space="preserve">2027</t>
  </si>
  <si>
    <t xml:space="preserve">2028</t>
  </si>
  <si>
    <t xml:space="preserve">2029</t>
  </si>
  <si>
    <t xml:space="preserve">2030</t>
  </si>
  <si>
    <t xml:space="preserve">2031</t>
  </si>
  <si>
    <t xml:space="preserve">2032</t>
  </si>
  <si>
    <t xml:space="preserve">2033</t>
  </si>
  <si>
    <t xml:space="preserve">2034</t>
  </si>
  <si>
    <t xml:space="preserve">2035</t>
  </si>
  <si>
    <t xml:space="preserve">2036</t>
  </si>
  <si>
    <t xml:space="preserve">Terminal</t>
  </si>
  <si>
    <t xml:space="preserve">Discount period (years, mid-year)</t>
  </si>
  <si>
    <t xml:space="preserve">Fade step (years 6 to 10)</t>
  </si>
  <si>
    <t xml:space="preserve">Bear: volume decline speeds up, pricing power fades</t>
  </si>
  <si>
    <t xml:space="preserve">Revenue</t>
  </si>
  <si>
    <t xml:space="preserve">Revenue growth (terminal column = terminal growth, input)</t>
  </si>
  <si>
    <t xml:space="preserve">Operating margin</t>
  </si>
  <si>
    <t xml:space="preserve">Operating income</t>
  </si>
  <si>
    <t xml:space="preserve">NOPAT</t>
  </si>
  <si>
    <t xml:space="preserve">Net reinvestment, % of revenue</t>
  </si>
  <si>
    <t xml:space="preserve">Net reinvestment</t>
  </si>
  <si>
    <t xml:space="preserve">Change in working capital</t>
  </si>
  <si>
    <t xml:space="preserve">Free cash flow</t>
  </si>
  <si>
    <t xml:space="preserve">Discount factor</t>
  </si>
  <si>
    <t xml:space="preserve">PV of free cash flow</t>
  </si>
  <si>
    <t xml:space="preserve">Terminal value</t>
  </si>
  <si>
    <t xml:space="preserve">PV of terminal value</t>
  </si>
  <si>
    <t xml:space="preserve">Equity value (PV FCF + PV TV + net cash + other)</t>
  </si>
  <si>
    <t xml:space="preserve">Value per share ($)</t>
  </si>
  <si>
    <t xml:space="preserve">Value vs share price</t>
  </si>
  <si>
    <t xml:space="preserve">Base: price offsets volume, flat revenue</t>
  </si>
  <si>
    <t xml:space="preserve">Bull: smoke-free products add growth</t>
  </si>
  <si>
    <t xml:space="preserve">Outputs</t>
  </si>
  <si>
    <t xml:space="preserve">vs price</t>
  </si>
  <si>
    <t xml:space="preserve">Bear value per share</t>
  </si>
  <si>
    <t xml:space="preserve">Base value per share</t>
  </si>
  <si>
    <t xml:space="preserve">Bull value per share</t>
  </si>
  <si>
    <t xml:space="preserve">Selected scenario value per share</t>
  </si>
  <si>
    <t xml:space="preserve">Share of base value from terminal value</t>
  </si>
  <si>
    <t xml:space="preserve">Base value per share at other discount rates</t>
  </si>
  <si>
    <t xml:space="preserve">vs share price</t>
  </si>
  <si>
    <t xml:space="preserve">Implied annual return at today's price, base case</t>
  </si>
  <si>
    <t xml:space="preserve">Discount rate at which base value equals the price (interpolated from the row above)</t>
  </si>
  <si>
    <t xml:space="preserve">Coca-Cola (KO): 10-year scenario DCF</t>
  </si>
  <si>
    <t xml:space="preserve">Equity-method investments (bottlers) at book, $20.78B (10-Q, Jul 3, 2026); fair value likely higher</t>
  </si>
  <si>
    <t xml:space="preserve">2026E consensus $49.8B (Stock Analysis)</t>
  </si>
  <si>
    <t xml:space="preserve">Bear: volumes stall, currency drag</t>
  </si>
  <si>
    <t xml:space="preserve">Base: mid-single-digit organic growth</t>
  </si>
  <si>
    <t xml:space="preserve">Bull: pricing and mix keep compounding</t>
  </si>
  <si>
    <t xml:space="preserve">Alphabet (GOOG): 10-year scenario DCF</t>
  </si>
  <si>
    <t xml:space="preserve">Private stakes (SpaceX, Anthropic, others) excluded</t>
  </si>
  <si>
    <t xml:space="preserve">2026E consensus $499.6B (Stock Analysis)</t>
  </si>
  <si>
    <t xml:space="preserve">Bear: search share loss, AI capex earns little</t>
  </si>
  <si>
    <t xml:space="preserve">Base: Cloud and Search grow, capex peaks 2027</t>
  </si>
  <si>
    <t xml:space="preserve">Bull: Cloud and AI monetization compound</t>
  </si>
  <si>
    <t xml:space="preserve">UnitedHealth (UNH): 10-year scenario DCF</t>
  </si>
  <si>
    <t xml:space="preserve">None</t>
  </si>
  <si>
    <t xml:space="preserve">2026E consensus $448.7B (Stock Analysis)</t>
  </si>
  <si>
    <t xml:space="preserve">Bear: margins stay near trough, policy pressure</t>
  </si>
  <si>
    <t xml:space="preserve">Base: margins repair partway, to about 6.5%</t>
  </si>
  <si>
    <t xml:space="preserve">Bull: margins back to the 8% history</t>
  </si>
  <si>
    <t xml:space="preserve">Cheniere Energy (LNG): 10-year scenario DCF</t>
  </si>
  <si>
    <t xml:space="preserve">Less public share of CQP: about 51.4% of CQP market cap $30.77B (Stock Analysis, Oct 16, 2026)</t>
  </si>
  <si>
    <t xml:space="preserve">2026E consensus $22.6B (Stock Analysis). Revenue swings with gas prices; margin is the lever</t>
  </si>
  <si>
    <t xml:space="preserve">Bear: LNG glut from 2027, weaker spot margins</t>
  </si>
  <si>
    <t xml:space="preserve">Base: expansions come online, contracts hold</t>
  </si>
  <si>
    <t xml:space="preserve">Bull: more trains sanctioned at good returns</t>
  </si>
  <si>
    <t xml:space="preserve">ServiceNow (NOW): 10-year scenario DCF</t>
  </si>
  <si>
    <t xml:space="preserve">Long-term investments excluded (conservative)</t>
  </si>
  <si>
    <t xml:space="preserve">2026E consensus $16.22B (Stock Analysis). Margins are after stock pay (GAAP-like), not the 31.5% non-GAAP figure</t>
  </si>
  <si>
    <t xml:space="preserve">Bear: AI agents compress seat pricing</t>
  </si>
  <si>
    <t xml:space="preserve">Base: growth slows from 19% to 11%</t>
  </si>
  <si>
    <t xml:space="preserve">Bull: AI agents expand the platform</t>
  </si>
  <si>
    <t xml:space="preserve">Celestica (CLS): 10-year scenario DCF</t>
  </si>
  <si>
    <t xml:space="preserve">Oct 26, 2026 close (before results)</t>
  </si>
  <si>
    <t xml:space="preserve">126.1M shares at Sep 30, 2026, after the August offering of 11.1M shares at $310 (Q3 2026 release)</t>
  </si>
  <si>
    <t xml:space="preserve">Q3 2026 release: cash $3,961M less borrowings and leases $819M</t>
  </si>
  <si>
    <t xml:space="preserve">2026 outlook $21.0B (raised from $20.5B, Q3 2026 release). 2027 outlook: $40.0B revenue, 9.0% adjusted operating margin, $21.50 adjusted EPS, $1.5B to $2.0B capex. Margins here are after stock pay, about 0.4 points below adjusted</t>
  </si>
  <si>
    <t xml:space="preserve">Bear: a large customer pauses, 2027 misses and 2028 falls</t>
  </si>
  <si>
    <t xml:space="preserve">Base: 2027 lands 8% below the outlook, 2028 grows, 2029 digests</t>
  </si>
  <si>
    <t xml:space="preserve">Bull: the $40B outlook is met and 2028 is meaningfully higher</t>
  </si>
  <si>
    <t xml:space="preserve">Enterprise Products (EPD): 10-year scenario DCF</t>
  </si>
  <si>
    <t xml:space="preserve">None. Partnership: no entity tax, so the discount rate is set without a tax shield</t>
  </si>
  <si>
    <t xml:space="preserve">TTM revenue $58.47B (Stock Analysis). Revenue swings with commodity prices</t>
  </si>
  <si>
    <t xml:space="preserve">Bear: volumes flat, spreads tighten</t>
  </si>
  <si>
    <t xml:space="preserve">Base: Permian volumes grow, capex normalizes</t>
  </si>
  <si>
    <t xml:space="preserve">Bull: export capacity fills at high spreads</t>
  </si>
  <si>
    <t xml:space="preserve">Nvidia (NVDA): 10-year scenario DCF</t>
  </si>
  <si>
    <t xml:space="preserve">Base-year revenue (FY27, Jan 2027)</t>
  </si>
  <si>
    <t xml:space="preserve">FY27 (Jan 2027) consensus $411.65B; FY28 consensus $692B (Stock Analysis)</t>
  </si>
  <si>
    <t xml:space="preserve">FY28</t>
  </si>
  <si>
    <t xml:space="preserve">FY29</t>
  </si>
  <si>
    <t xml:space="preserve">FY30</t>
  </si>
  <si>
    <t xml:space="preserve">FY31</t>
  </si>
  <si>
    <t xml:space="preserve">FY32</t>
  </si>
  <si>
    <t xml:space="preserve">FY33</t>
  </si>
  <si>
    <t xml:space="preserve">FY34</t>
  </si>
  <si>
    <t xml:space="preserve">FY35</t>
  </si>
  <si>
    <t xml:space="preserve">FY36</t>
  </si>
  <si>
    <t xml:space="preserve">FY37</t>
  </si>
  <si>
    <t xml:space="preserve">Bear: AI capex digestion in FY29 to FY30</t>
  </si>
  <si>
    <t xml:space="preserve">Base: below-consensus growth, margins ease</t>
  </si>
  <si>
    <t xml:space="preserve">Bull: consensus path, share holds</t>
  </si>
  <si>
    <t xml:space="preserve">First Solar (FSLR): 10-year scenario DCF</t>
  </si>
  <si>
    <t xml:space="preserve">None. Margins include 45X manufacturing credits, which step down from 2030 and end after 2032</t>
  </si>
  <si>
    <t xml:space="preserve">2026E consensus $5.04B (Stock Analysis)</t>
  </si>
  <si>
    <t xml:space="preserve">Bear: module prices fall, policy turns against solar</t>
  </si>
  <si>
    <t xml:space="preserve">Base: US capacity fills, credits step down</t>
  </si>
  <si>
    <t xml:space="preserve">Bull: data center demand, firm US pricing</t>
  </si>
  <si>
    <t xml:space="preserve">JPMorgan Chase (JPM): residual income valuation</t>
  </si>
  <si>
    <t xml:space="preserve">Per-share values. A bank is worth its tangible book plus the present value of future returns above its cost of equity. Years 6 to 10 fade ROTCE to the terminal level.</t>
  </si>
  <si>
    <t xml:space="preserve">Tangible book value per share, today ($)</t>
  </si>
  <si>
    <t xml:space="preserve">Price / P/TBV 3.02 (Stock Analysis, Oct 23, 2026); BVPS $132.30</t>
  </si>
  <si>
    <t xml:space="preserve">Payout ratio (dividends plus buybacks)</t>
  </si>
  <si>
    <t xml:space="preserve">Cost of equity, from WACC tab</t>
  </si>
  <si>
    <t xml:space="preserve">Discount period (years)</t>
  </si>
  <si>
    <t xml:space="preserve">Bear: credit cycle in 2027 to 2028</t>
  </si>
  <si>
    <t xml:space="preserve">Return on tangible equity (ROTCE)</t>
  </si>
  <si>
    <t xml:space="preserve">Tangible book, start of year</t>
  </si>
  <si>
    <t xml:space="preserve">Earnings</t>
  </si>
  <si>
    <t xml:space="preserve">Retained earnings</t>
  </si>
  <si>
    <t xml:space="preserve">Residual income (ROTCE less cost of equity) x book</t>
  </si>
  <si>
    <t xml:space="preserve">PV of residual income</t>
  </si>
  <si>
    <t xml:space="preserve">Terminal growth (input)</t>
  </si>
  <si>
    <t xml:space="preserve">PV of terminal residual income</t>
  </si>
  <si>
    <t xml:space="preserve">Value per share (book + PV residual income)</t>
  </si>
  <si>
    <t xml:space="preserve">Base: ROTCE eases from 20% to 16%</t>
  </si>
  <si>
    <t xml:space="preserve">Bull: ROTCE stays near 20%</t>
  </si>
  <si>
    <t xml:space="preserve">Base value as a multiple of tangible book</t>
  </si>
  <si>
    <t xml:space="preserve">Price as a multiple of tangible book</t>
  </si>
  <si>
    <t xml:space="preserve">Base value per share at other costs of equity</t>
  </si>
  <si>
    <t xml:space="preserve">Cost of equity at which base value equals the price (interpolated)</t>
  </si>
  <si>
    <t xml:space="preserve">Note: the rate sensitivity holds book value growth fixed at the base-case path, so it isolates the discount rate.</t>
  </si>
  <si>
    <t xml:space="preserve">Bank of America (BAC): residual income valuation</t>
  </si>
  <si>
    <t xml:space="preserve">Stock Analysis, Oct 23, 2026; BVPS $39.26</t>
  </si>
  <si>
    <t xml:space="preserve">Bear: credit cycle, rate cuts squeeze NII</t>
  </si>
  <si>
    <t xml:space="preserve">Base: ROTCE reaches the 16% target</t>
  </si>
  <si>
    <t xml:space="preserve">Bull: ROTCE climbs to 18%</t>
  </si>
  <si>
    <t xml:space="preserve">TMC the metals company (TMC): probability-weighted scenario value</t>
  </si>
  <si>
    <t xml:space="preserve">A DCF does not fit a pre-revenue company waiting on one permit. Each scenario values the NORI-D project from the company's own study, haircut for cost, price and dilution, then weights by probability.</t>
  </si>
  <si>
    <t xml:space="preserve">Shares outstanding today (billions)</t>
  </si>
  <si>
    <t xml:space="preserve">Cash, $B (no debt)</t>
  </si>
  <si>
    <t xml:space="preserve">NORI-D project NPV, $B (after tax, 8% rate, PFS)</t>
  </si>
  <si>
    <t xml:space="preserve">TMC press release, Aug 4, 2025: PFS NPV $5.5B; initial capex $4.9B; first production targeted Q4 2027</t>
  </si>
  <si>
    <t xml:space="preserve">Expansion NPV, $B (Initial Assessment, rest of NORI area)</t>
  </si>
  <si>
    <t xml:space="preserve">TMC press release, Aug 4, 2025: Initial Assessment NPV $18.1B (combined $23.6B)</t>
  </si>
  <si>
    <t xml:space="preserve">Risk discount rate for timing</t>
  </si>
  <si>
    <t xml:space="preserve">Analyst assumption: venture-style rate for a project not yet permitted or financed</t>
  </si>
  <si>
    <t xml:space="preserve">Scenario</t>
  </si>
  <si>
    <t xml:space="preserve">Probability</t>
  </si>
  <si>
    <t xml:space="preserve">Share of project NPV realized</t>
  </si>
  <si>
    <t xml:space="preserve">Share of expansion NPV realized</t>
  </si>
  <si>
    <t xml:space="preserve">Diluted shares (billions)</t>
  </si>
  <si>
    <t xml:space="preserve">Years until value is realized</t>
  </si>
  <si>
    <t xml:space="preserve">Value per share today</t>
  </si>
  <si>
    <t xml:space="preserve">Weighted</t>
  </si>
  <si>
    <t xml:space="preserve">Bear: permit denied or stalled for years</t>
  </si>
  <si>
    <t xml:space="preserve">Base: permit granted, delays, cost overruns, heavy dilution</t>
  </si>
  <si>
    <t xml:space="preserve">Bull: permit granted, near schedule, expansion credible</t>
  </si>
  <si>
    <t xml:space="preserve">Probability-weighted value</t>
  </si>
  <si>
    <t xml:space="preserve">Check: probabilities sum to 100%</t>
  </si>
  <si>
    <t xml:space="preserve">Probability-weighted value per share</t>
  </si>
  <si>
    <t xml:space="preserve">Permit probability the price implies, holding the other inputs fixed</t>
  </si>
  <si>
    <t xml:space="preserve">Solves for the combined weight on the two permit scenarios that makes the weighted value equal the price</t>
  </si>
  <si>
    <t xml:space="preserve">Notes: the company's study figures are its own and assume its metal price deck; the haircuts are the analyst's. Dilution reflects the roughly $4.9B of capex the project still needs to fund.</t>
  </si>
</sst>
</file>

<file path=xl/styles.xml><?xml version="1.0" encoding="utf-8"?>
<styleSheet xmlns="http://schemas.openxmlformats.org/spreadsheetml/2006/main">
  <numFmts count="12">
    <numFmt numFmtId="164" formatCode="General"/>
    <numFmt numFmtId="165" formatCode="\$#,##0.00;&quot;($&quot;#,##0.00\);\-"/>
    <numFmt numFmtId="166" formatCode="0.0%;\(0.0%\);\-"/>
    <numFmt numFmtId="167" formatCode="0.0%;\-0.0%;0.0%"/>
    <numFmt numFmtId="168" formatCode="0"/>
    <numFmt numFmtId="169" formatCode="0.00"/>
    <numFmt numFmtId="170" formatCode="#,##0.0"/>
    <numFmt numFmtId="171" formatCode="0.000"/>
    <numFmt numFmtId="172" formatCode="#,##0.0;\(#,##0.0\);\-"/>
    <numFmt numFmtId="173" formatCode="General"/>
    <numFmt numFmtId="174" formatCode="#,##0.00;\(#,##0.00\);\-"/>
    <numFmt numFmtId="175" formatCode="0.00\x"/>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555555"/>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9" fillId="3"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66"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7" fontId="9" fillId="3"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10" min="3" style="0" width="13"/>
  </cols>
  <sheetData>
    <row r="1" customFormat="false" ht="16.15" hidden="false" customHeight="false" outlineLevel="0" collapsed="false">
      <c r="A1" s="1" t="s">
        <v>0</v>
      </c>
    </row>
    <row r="2" customFormat="false" ht="15" hidden="false" customHeight="false" outlineLevel="0" collapsed="false">
      <c r="A2" s="2" t="s">
        <v>1</v>
      </c>
    </row>
    <row r="4" customFormat="false" ht="43.5" hidden="false" customHeight="tru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0" t="s">
        <v>12</v>
      </c>
      <c r="B5" s="0" t="s">
        <v>13</v>
      </c>
      <c r="C5" s="4" t="n">
        <f aca="false">MO!B4</f>
        <v>74.96</v>
      </c>
      <c r="D5" s="5" t="n">
        <f aca="false">MO!B10</f>
        <v>0.08</v>
      </c>
      <c r="E5" s="4" t="n">
        <f aca="false">MO!B75</f>
        <v>41.9806626389654</v>
      </c>
      <c r="F5" s="4" t="n">
        <f aca="false">MO!B76</f>
        <v>63.1154026987486</v>
      </c>
      <c r="G5" s="4" t="n">
        <f aca="false">MO!B77</f>
        <v>82.7279612560333</v>
      </c>
      <c r="H5" s="6" t="n">
        <f aca="false">F5/C5-1</f>
        <v>-0.158012237209865</v>
      </c>
      <c r="I5" s="5" t="n">
        <f aca="false">MO!B86</f>
        <v>0.0674760869759352</v>
      </c>
      <c r="J5" s="7" t="n">
        <f aca="false">IF(F5&lt;10,ROUND(F5*4,0)/4,IF(F5&lt;100,ROUND(F5,0),ROUND(F5/5,0)*5))</f>
        <v>63</v>
      </c>
    </row>
    <row r="6" customFormat="false" ht="15" hidden="false" customHeight="false" outlineLevel="0" collapsed="false">
      <c r="A6" s="0" t="s">
        <v>14</v>
      </c>
      <c r="B6" s="0" t="s">
        <v>13</v>
      </c>
      <c r="C6" s="4" t="n">
        <f aca="false">KO!B4</f>
        <v>93.27</v>
      </c>
      <c r="D6" s="5" t="n">
        <f aca="false">KO!B10</f>
        <v>0.075</v>
      </c>
      <c r="E6" s="4" t="n">
        <f aca="false">KO!B75</f>
        <v>53.5719739917135</v>
      </c>
      <c r="F6" s="4" t="n">
        <f aca="false">KO!B76</f>
        <v>71.9970248497273</v>
      </c>
      <c r="G6" s="4" t="n">
        <f aca="false">KO!B77</f>
        <v>92.3336899025088</v>
      </c>
      <c r="H6" s="6" t="n">
        <f aca="false">F6/C6-1</f>
        <v>-0.228079501986413</v>
      </c>
      <c r="I6" s="5" t="n">
        <f aca="false">KO!B86</f>
        <v>0.0655209454918232</v>
      </c>
      <c r="J6" s="7" t="n">
        <f aca="false">IF(F6&lt;10,ROUND(F6*4,0)/4,IF(F6&lt;100,ROUND(F6,0),ROUND(F6/5,0)*5))</f>
        <v>72</v>
      </c>
    </row>
    <row r="7" customFormat="false" ht="15" hidden="false" customHeight="false" outlineLevel="0" collapsed="false">
      <c r="A7" s="0" t="s">
        <v>15</v>
      </c>
      <c r="B7" s="0" t="s">
        <v>13</v>
      </c>
      <c r="C7" s="4" t="n">
        <f aca="false">GOOG!B4</f>
        <v>320.47</v>
      </c>
      <c r="D7" s="5" t="n">
        <f aca="false">GOOG!B10</f>
        <v>0.095</v>
      </c>
      <c r="E7" s="4" t="n">
        <f aca="false">GOOG!B75</f>
        <v>141.94636109449</v>
      </c>
      <c r="F7" s="4" t="n">
        <f aca="false">GOOG!B76</f>
        <v>253.241520949649</v>
      </c>
      <c r="G7" s="4" t="n">
        <f aca="false">GOOG!B77</f>
        <v>325.681317312996</v>
      </c>
      <c r="H7" s="6" t="n">
        <f aca="false">F7/C7-1</f>
        <v>-0.209780881362844</v>
      </c>
      <c r="I7" s="5" t="n">
        <f aca="false">GOOG!B86</f>
        <v>0.0843278176794784</v>
      </c>
      <c r="J7" s="7" t="n">
        <f aca="false">IF(F7&lt;10,ROUND(F7*4,0)/4,IF(F7&lt;100,ROUND(F7,0),ROUND(F7/5,0)*5))</f>
        <v>255</v>
      </c>
    </row>
    <row r="8" customFormat="false" ht="15" hidden="false" customHeight="false" outlineLevel="0" collapsed="false">
      <c r="A8" s="0" t="s">
        <v>16</v>
      </c>
      <c r="B8" s="0" t="s">
        <v>13</v>
      </c>
      <c r="C8" s="4" t="n">
        <f aca="false">UNH!B4</f>
        <v>423.39</v>
      </c>
      <c r="D8" s="5" t="n">
        <f aca="false">UNH!B10</f>
        <v>0.09</v>
      </c>
      <c r="E8" s="4" t="n">
        <f aca="false">UNH!B75</f>
        <v>306.352454075418</v>
      </c>
      <c r="F8" s="4" t="n">
        <f aca="false">UNH!B76</f>
        <v>474.034455932517</v>
      </c>
      <c r="G8" s="4" t="n">
        <f aca="false">UNH!B77</f>
        <v>693.260877748871</v>
      </c>
      <c r="H8" s="6" t="n">
        <f aca="false">F8/C8-1</f>
        <v>0.119616561403237</v>
      </c>
      <c r="I8" s="5" t="n">
        <f aca="false">UNH!B86</f>
        <v>0.0958315803123902</v>
      </c>
      <c r="J8" s="7" t="n">
        <f aca="false">IF(F8&lt;10,ROUND(F8*4,0)/4,IF(F8&lt;100,ROUND(F8,0),ROUND(F8/5,0)*5))</f>
        <v>475</v>
      </c>
    </row>
    <row r="9" customFormat="false" ht="15" hidden="false" customHeight="false" outlineLevel="0" collapsed="false">
      <c r="A9" s="0" t="s">
        <v>17</v>
      </c>
      <c r="B9" s="0" t="s">
        <v>13</v>
      </c>
      <c r="C9" s="4" t="n">
        <f aca="false">LNG!B4</f>
        <v>297.605</v>
      </c>
      <c r="D9" s="5" t="n">
        <f aca="false">LNG!B10</f>
        <v>0.075</v>
      </c>
      <c r="E9" s="4" t="n">
        <f aca="false">LNG!B75</f>
        <v>135.17044339531</v>
      </c>
      <c r="F9" s="4" t="n">
        <f aca="false">LNG!B76</f>
        <v>305.060649546943</v>
      </c>
      <c r="G9" s="4" t="n">
        <f aca="false">LNG!B77</f>
        <v>441.024677778915</v>
      </c>
      <c r="H9" s="6" t="n">
        <f aca="false">F9/C9-1</f>
        <v>0.0250521649399122</v>
      </c>
      <c r="I9" s="5" t="n">
        <f aca="false">LNG!B86</f>
        <v>0.0762688670296594</v>
      </c>
      <c r="J9" s="7" t="n">
        <f aca="false">IF(F9&lt;10,ROUND(F9*4,0)/4,IF(F9&lt;100,ROUND(F9,0),ROUND(F9/5,0)*5))</f>
        <v>305</v>
      </c>
    </row>
    <row r="10" customFormat="false" ht="15" hidden="false" customHeight="false" outlineLevel="0" collapsed="false">
      <c r="A10" s="0" t="s">
        <v>18</v>
      </c>
      <c r="B10" s="0" t="s">
        <v>13</v>
      </c>
      <c r="C10" s="4" t="n">
        <f aca="false">NOW!B4</f>
        <v>156.84</v>
      </c>
      <c r="D10" s="5" t="n">
        <f aca="false">NOW!B10</f>
        <v>0.095</v>
      </c>
      <c r="E10" s="4" t="n">
        <f aca="false">NOW!B75</f>
        <v>58.8528253261598</v>
      </c>
      <c r="F10" s="4" t="n">
        <f aca="false">NOW!B76</f>
        <v>103.660517846071</v>
      </c>
      <c r="G10" s="4" t="n">
        <f aca="false">NOW!B77</f>
        <v>151.933982066243</v>
      </c>
      <c r="H10" s="6" t="n">
        <f aca="false">F10/C10-1</f>
        <v>-0.339068363644023</v>
      </c>
      <c r="I10" s="5" t="n">
        <f aca="false">NOW!B86</f>
        <v>0.0779756053156868</v>
      </c>
      <c r="J10" s="7" t="n">
        <f aca="false">IF(F10&lt;10,ROUND(F10*4,0)/4,IF(F10&lt;100,ROUND(F10,0),ROUND(F10/5,0)*5))</f>
        <v>105</v>
      </c>
    </row>
    <row r="11" customFormat="false" ht="15" hidden="false" customHeight="false" outlineLevel="0" collapsed="false">
      <c r="A11" s="0" t="s">
        <v>19</v>
      </c>
      <c r="B11" s="0" t="s">
        <v>13</v>
      </c>
      <c r="C11" s="4" t="n">
        <f aca="false">CLS!B4</f>
        <v>246.65</v>
      </c>
      <c r="D11" s="5" t="n">
        <f aca="false">CLS!B10</f>
        <v>0.105</v>
      </c>
      <c r="E11" s="4" t="n">
        <f aca="false">CLS!B75</f>
        <v>126.0768383782</v>
      </c>
      <c r="F11" s="4" t="n">
        <f aca="false">CLS!B76</f>
        <v>198.694451924321</v>
      </c>
      <c r="G11" s="4" t="n">
        <f aca="false">CLS!B77</f>
        <v>316.918935792392</v>
      </c>
      <c r="H11" s="6" t="n">
        <f aca="false">F11/C11-1</f>
        <v>-0.194427521085259</v>
      </c>
      <c r="I11" s="5" t="n">
        <f aca="false">CLS!B86</f>
        <v>0.0895586861589185</v>
      </c>
      <c r="J11" s="7" t="n">
        <f aca="false">IF(F11&lt;10,ROUND(F11*4,0)/4,IF(F11&lt;100,ROUND(F11,0),ROUND(F11/5,0)*5))</f>
        <v>200</v>
      </c>
    </row>
    <row r="12" customFormat="false" ht="15" hidden="false" customHeight="false" outlineLevel="0" collapsed="false">
      <c r="A12" s="0" t="s">
        <v>20</v>
      </c>
      <c r="B12" s="0" t="s">
        <v>13</v>
      </c>
      <c r="C12" s="4" t="n">
        <f aca="false">EPD!B4</f>
        <v>37.405</v>
      </c>
      <c r="D12" s="5" t="n">
        <f aca="false">EPD!B10</f>
        <v>0.08</v>
      </c>
      <c r="E12" s="4" t="n">
        <f aca="false">EPD!B75</f>
        <v>20.1341093545755</v>
      </c>
      <c r="F12" s="4" t="n">
        <f aca="false">EPD!B76</f>
        <v>34.8814058984711</v>
      </c>
      <c r="G12" s="4" t="n">
        <f aca="false">EPD!B77</f>
        <v>47.8065808847888</v>
      </c>
      <c r="H12" s="6" t="n">
        <f aca="false">F12/C12-1</f>
        <v>-0.0674667584956267</v>
      </c>
      <c r="I12" s="5" t="n">
        <f aca="false">EPD!B86</f>
        <v>0.0774882144827545</v>
      </c>
      <c r="J12" s="7" t="n">
        <f aca="false">IF(F12&lt;10,ROUND(F12*4,0)/4,IF(F12&lt;100,ROUND(F12,0),ROUND(F12/5,0)*5))</f>
        <v>35</v>
      </c>
    </row>
    <row r="13" customFormat="false" ht="15" hidden="false" customHeight="false" outlineLevel="0" collapsed="false">
      <c r="A13" s="0" t="s">
        <v>21</v>
      </c>
      <c r="B13" s="0" t="s">
        <v>13</v>
      </c>
      <c r="C13" s="4" t="n">
        <f aca="false">NVDA!B4</f>
        <v>212.28</v>
      </c>
      <c r="D13" s="5" t="n">
        <f aca="false">NVDA!B10</f>
        <v>0.11</v>
      </c>
      <c r="E13" s="4" t="n">
        <f aca="false">NVDA!B75</f>
        <v>94.5479605601558</v>
      </c>
      <c r="F13" s="4" t="n">
        <f aca="false">NVDA!B76</f>
        <v>165.359343292202</v>
      </c>
      <c r="G13" s="4" t="n">
        <f aca="false">NVDA!B77</f>
        <v>235.201596317541</v>
      </c>
      <c r="H13" s="6" t="n">
        <f aca="false">F13/C13-1</f>
        <v>-0.221031923439787</v>
      </c>
      <c r="I13" s="5" t="n">
        <f aca="false">NVDA!B86</f>
        <v>0.0929001159921021</v>
      </c>
      <c r="J13" s="7" t="n">
        <f aca="false">IF(F13&lt;10,ROUND(F13*4,0)/4,IF(F13&lt;100,ROUND(F13,0),ROUND(F13/5,0)*5))</f>
        <v>165</v>
      </c>
    </row>
    <row r="14" customFormat="false" ht="15" hidden="false" customHeight="false" outlineLevel="0" collapsed="false">
      <c r="A14" s="0" t="s">
        <v>22</v>
      </c>
      <c r="B14" s="0" t="s">
        <v>23</v>
      </c>
      <c r="C14" s="4" t="n">
        <f aca="false">JPM!B4</f>
        <v>332.07</v>
      </c>
      <c r="D14" s="5" t="n">
        <f aca="false">JPM!B8</f>
        <v>0.1</v>
      </c>
      <c r="E14" s="4" t="n">
        <f aca="false">JPM!B53</f>
        <v>191.750638967802</v>
      </c>
      <c r="F14" s="4" t="n">
        <f aca="false">JPM!B54</f>
        <v>258.747001228319</v>
      </c>
      <c r="G14" s="4" t="n">
        <f aca="false">JPM!B55</f>
        <v>315.091124276221</v>
      </c>
      <c r="H14" s="6" t="n">
        <f aca="false">F14/C14-1</f>
        <v>-0.220805850488394</v>
      </c>
      <c r="I14" s="5" t="n">
        <f aca="false">JPM!B65</f>
        <v>0.0880383177736682</v>
      </c>
      <c r="J14" s="7" t="n">
        <f aca="false">IF(F14&lt;10,ROUND(F14*4,0)/4,IF(F14&lt;100,ROUND(F14,0),ROUND(F14/5,0)*5))</f>
        <v>260</v>
      </c>
    </row>
    <row r="15" customFormat="false" ht="15" hidden="false" customHeight="false" outlineLevel="0" collapsed="false">
      <c r="A15" s="0" t="s">
        <v>24</v>
      </c>
      <c r="B15" s="0" t="s">
        <v>23</v>
      </c>
      <c r="C15" s="4" t="n">
        <f aca="false">BAC!B4</f>
        <v>50.795</v>
      </c>
      <c r="D15" s="5" t="n">
        <f aca="false">BAC!B8</f>
        <v>0.105</v>
      </c>
      <c r="E15" s="4" t="n">
        <f aca="false">BAC!B53</f>
        <v>35.5553257613892</v>
      </c>
      <c r="F15" s="4" t="n">
        <f aca="false">BAC!B54</f>
        <v>54.4439901951056</v>
      </c>
      <c r="G15" s="4" t="n">
        <f aca="false">BAC!B55</f>
        <v>63.1961532130164</v>
      </c>
      <c r="H15" s="6" t="n">
        <f aca="false">F15/C15-1</f>
        <v>0.0718375862802567</v>
      </c>
      <c r="I15" s="5" t="n">
        <f aca="false">BAC!B65</f>
        <v>0.10944482648132</v>
      </c>
      <c r="J15" s="7" t="n">
        <f aca="false">IF(F15&lt;10,ROUND(F15*4,0)/4,IF(F15&lt;100,ROUND(F15,0),ROUND(F15/5,0)*5))</f>
        <v>54</v>
      </c>
    </row>
    <row r="16" customFormat="false" ht="15" hidden="false" customHeight="false" outlineLevel="0" collapsed="false">
      <c r="A16" s="0" t="s">
        <v>25</v>
      </c>
      <c r="B16" s="0" t="s">
        <v>13</v>
      </c>
      <c r="C16" s="4" t="n">
        <f aca="false">FSLR!B4</f>
        <v>171.57</v>
      </c>
      <c r="D16" s="5" t="n">
        <f aca="false">FSLR!B10</f>
        <v>0.105</v>
      </c>
      <c r="E16" s="4" t="n">
        <f aca="false">FSLR!B75</f>
        <v>72.1833847749812</v>
      </c>
      <c r="F16" s="4" t="n">
        <f aca="false">FSLR!B76</f>
        <v>125.465175895058</v>
      </c>
      <c r="G16" s="4" t="n">
        <f aca="false">FSLR!B77</f>
        <v>187.544148229481</v>
      </c>
      <c r="H16" s="6" t="n">
        <f aca="false">F16/C16-1</f>
        <v>-0.268723110712488</v>
      </c>
      <c r="I16" s="5" t="n">
        <f aca="false">FSLR!B86</f>
        <v>0.0757641025246946</v>
      </c>
      <c r="J16" s="7" t="n">
        <f aca="false">IF(F16&lt;10,ROUND(F16*4,0)/4,IF(F16&lt;100,ROUND(F16,0),ROUND(F16/5,0)*5))</f>
        <v>125</v>
      </c>
    </row>
    <row r="17" customFormat="false" ht="15" hidden="false" customHeight="false" outlineLevel="0" collapsed="false">
      <c r="A17" s="0" t="s">
        <v>26</v>
      </c>
      <c r="B17" s="0" t="s">
        <v>27</v>
      </c>
      <c r="C17" s="4" t="n">
        <f aca="false">TMC!B4</f>
        <v>2.43</v>
      </c>
      <c r="D17" s="5" t="n">
        <f aca="false">TMC!B9</f>
        <v>0.15</v>
      </c>
      <c r="E17" s="4" t="n">
        <f aca="false">TMC!B19</f>
        <v>0.194476366568042</v>
      </c>
      <c r="F17" s="4" t="n">
        <f aca="false">TMC!B20</f>
        <v>2.21373781382538</v>
      </c>
      <c r="G17" s="4" t="n">
        <f aca="false">TMC!B21</f>
        <v>7.91396093257719</v>
      </c>
      <c r="H17" s="6" t="n">
        <f aca="false">F17/C17-1</f>
        <v>-0.0889967844340017</v>
      </c>
      <c r="I17" s="8" t="s">
        <v>28</v>
      </c>
      <c r="J17" s="7" t="n">
        <f aca="false">IF(F17&lt;10,ROUND(F17*4,0)/4,IF(F17&lt;100,ROUND(F17,0),ROUND(F17/5,0)*5))</f>
        <v>2.25</v>
      </c>
    </row>
    <row r="19" customFormat="false" ht="15" hidden="false" customHeight="false" outlineLevel="0" collapsed="false">
      <c r="A19" s="9" t="s">
        <v>29</v>
      </c>
    </row>
    <row r="20" customFormat="false" ht="15" hidden="false" customHeight="false" outlineLevel="0" collapsed="false">
      <c r="A20" s="0" t="s">
        <v>30</v>
      </c>
    </row>
    <row r="21" customFormat="false" ht="15" hidden="false" customHeight="false" outlineLevel="0" collapsed="false">
      <c r="A21" s="0" t="s">
        <v>31</v>
      </c>
    </row>
    <row r="22" customFormat="false" ht="15" hidden="false" customHeight="false" outlineLevel="0" collapsed="false">
      <c r="A22" s="0" t="s">
        <v>32</v>
      </c>
    </row>
    <row r="23" customFormat="false" ht="15" hidden="false" customHeight="false" outlineLevel="0" collapsed="false">
      <c r="A23" s="0" t="s">
        <v>33</v>
      </c>
    </row>
    <row r="24" customFormat="false" ht="15" hidden="false" customHeight="false" outlineLevel="0" collapsed="false">
      <c r="A24" s="0" t="s">
        <v>34</v>
      </c>
    </row>
    <row r="25" customFormat="false" ht="15" hidden="false" customHeight="false" outlineLevel="0" collapsed="false">
      <c r="A25"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11" min="2" style="0" width="10"/>
    <col collapsed="false" customWidth="true" hidden="false" outlineLevel="0" max="12" min="12" style="0" width="46"/>
  </cols>
  <sheetData>
    <row r="1" customFormat="false" ht="16.15" hidden="false" customHeight="false" outlineLevel="0" collapsed="false">
      <c r="A1" s="1" t="s">
        <v>36</v>
      </c>
    </row>
    <row r="2" customFormat="false" ht="15" hidden="false" customHeight="false" outlineLevel="0" collapsed="false">
      <c r="A2" s="2" t="s">
        <v>37</v>
      </c>
    </row>
    <row r="5" customFormat="false" ht="15" hidden="false" customHeight="false" outlineLevel="0" collapsed="false">
      <c r="A5" s="0" t="s">
        <v>38</v>
      </c>
      <c r="B5" s="10" t="n">
        <v>2</v>
      </c>
      <c r="C5" s="2" t="s">
        <v>39</v>
      </c>
    </row>
    <row r="6" customFormat="false" ht="15" hidden="false" customHeight="false" outlineLevel="0" collapsed="false">
      <c r="A6" s="0" t="s">
        <v>40</v>
      </c>
      <c r="B6" s="10" t="n">
        <v>2</v>
      </c>
      <c r="C6" s="2" t="s">
        <v>41</v>
      </c>
    </row>
    <row r="7" customFormat="false" ht="15" hidden="false" customHeight="false" outlineLevel="0" collapsed="false">
      <c r="A7" s="0" t="s">
        <v>42</v>
      </c>
      <c r="B7" s="11" t="n">
        <v>0.0531</v>
      </c>
      <c r="C7" s="2" t="s">
        <v>43</v>
      </c>
    </row>
    <row r="8" customFormat="false" ht="15" hidden="false" customHeight="false" outlineLevel="0" collapsed="false">
      <c r="A8" s="0" t="s">
        <v>44</v>
      </c>
      <c r="B8" s="11" t="n">
        <v>0.05</v>
      </c>
      <c r="C8" s="2" t="s">
        <v>45</v>
      </c>
    </row>
    <row r="9" customFormat="false" ht="15" hidden="false" customHeight="false" outlineLevel="0" collapsed="false">
      <c r="A9" s="0" t="s">
        <v>46</v>
      </c>
      <c r="B9" s="11" t="n">
        <v>0.012</v>
      </c>
      <c r="C9" s="2" t="s">
        <v>47</v>
      </c>
    </row>
    <row r="12" customFormat="false" ht="15" hidden="false" customHeight="false" outlineLevel="0" collapsed="false">
      <c r="A12" s="12" t="s">
        <v>48</v>
      </c>
      <c r="B12" s="12" t="s">
        <v>49</v>
      </c>
      <c r="C12" s="12" t="s">
        <v>50</v>
      </c>
      <c r="D12" s="12" t="s">
        <v>51</v>
      </c>
      <c r="E12" s="12" t="s">
        <v>52</v>
      </c>
      <c r="F12" s="12" t="s">
        <v>53</v>
      </c>
      <c r="G12" s="12" t="s">
        <v>54</v>
      </c>
      <c r="H12" s="12" t="s">
        <v>55</v>
      </c>
      <c r="I12" s="12" t="s">
        <v>56</v>
      </c>
      <c r="J12" s="12" t="s">
        <v>57</v>
      </c>
      <c r="K12" s="12" t="s">
        <v>58</v>
      </c>
      <c r="L12" s="12" t="s">
        <v>59</v>
      </c>
    </row>
    <row r="13" customFormat="false" ht="15" hidden="false" customHeight="false" outlineLevel="0" collapsed="false">
      <c r="A13" s="0" t="s">
        <v>60</v>
      </c>
      <c r="B13" s="13" t="n">
        <v>0.46</v>
      </c>
      <c r="C13" s="13" t="n">
        <v>0.32</v>
      </c>
      <c r="D13" s="13" t="n">
        <v>1.21</v>
      </c>
      <c r="E13" s="13" t="n">
        <v>0.61</v>
      </c>
      <c r="F13" s="13" t="n">
        <v>0.06</v>
      </c>
      <c r="G13" s="13" t="n">
        <v>0.99</v>
      </c>
      <c r="H13" s="13" t="n">
        <v>1.32</v>
      </c>
      <c r="I13" s="13" t="n">
        <v>0.49</v>
      </c>
      <c r="J13" s="13" t="n">
        <v>2.22</v>
      </c>
      <c r="K13" s="13" t="n">
        <v>1.79</v>
      </c>
      <c r="L13" s="2" t="s">
        <v>61</v>
      </c>
    </row>
    <row r="14" customFormat="false" ht="15" hidden="false" customHeight="false" outlineLevel="0" collapsed="false">
      <c r="A14" s="0" t="s">
        <v>62</v>
      </c>
      <c r="B14" s="14"/>
      <c r="C14" s="14"/>
      <c r="D14" s="14"/>
      <c r="E14" s="14"/>
      <c r="F14" s="13" t="n">
        <v>0.8</v>
      </c>
      <c r="G14" s="14"/>
      <c r="H14" s="14"/>
      <c r="I14" s="14"/>
      <c r="J14" s="14"/>
      <c r="K14" s="14"/>
      <c r="L14" s="2" t="s">
        <v>63</v>
      </c>
    </row>
    <row r="15" customFormat="false" ht="15" hidden="false" customHeight="false" outlineLevel="0" collapsed="false">
      <c r="A15" s="0" t="s">
        <v>64</v>
      </c>
      <c r="B15" s="14" t="n">
        <f aca="false">0.67*IF(ISNUMBER(B14),B14,B13)+0.33</f>
        <v>0.6382</v>
      </c>
      <c r="C15" s="14" t="n">
        <f aca="false">0.67*IF(ISNUMBER(C14),C14,C13)+0.33</f>
        <v>0.5444</v>
      </c>
      <c r="D15" s="14" t="n">
        <f aca="false">0.67*IF(ISNUMBER(D14),D14,D13)+0.33</f>
        <v>1.1407</v>
      </c>
      <c r="E15" s="14" t="n">
        <f aca="false">0.67*IF(ISNUMBER(E14),E14,E13)+0.33</f>
        <v>0.7387</v>
      </c>
      <c r="F15" s="14" t="n">
        <f aca="false">0.67*IF(ISNUMBER(F14),F14,F13)+0.33</f>
        <v>0.866</v>
      </c>
      <c r="G15" s="14" t="n">
        <f aca="false">0.67*IF(ISNUMBER(G14),G14,G13)+0.33</f>
        <v>0.9933</v>
      </c>
      <c r="H15" s="14" t="n">
        <f aca="false">0.67*IF(ISNUMBER(H14),H14,H13)+0.33</f>
        <v>1.2144</v>
      </c>
      <c r="I15" s="14" t="n">
        <f aca="false">0.67*IF(ISNUMBER(I14),I14,I13)+0.33</f>
        <v>0.6583</v>
      </c>
      <c r="J15" s="14" t="n">
        <f aca="false">0.67*IF(ISNUMBER(J14),J14,J13)+0.33</f>
        <v>1.8174</v>
      </c>
      <c r="K15" s="14" t="n">
        <f aca="false">0.67*IF(ISNUMBER(K14),K14,K13)+0.33</f>
        <v>1.5293</v>
      </c>
      <c r="L15" s="2" t="s">
        <v>65</v>
      </c>
    </row>
    <row r="16" customFormat="false" ht="15" hidden="false" customHeight="false" outlineLevel="0" collapsed="false">
      <c r="A16" s="0" t="s">
        <v>66</v>
      </c>
      <c r="B16" s="14" t="n">
        <f aca="false">IF($B$6=1,IF(ISNUMBER(B14),B14,B13),B15)</f>
        <v>0.6382</v>
      </c>
      <c r="C16" s="14" t="n">
        <f aca="false">IF($B$6=1,IF(ISNUMBER(C14),C14,C13),C15)</f>
        <v>0.5444</v>
      </c>
      <c r="D16" s="14" t="n">
        <f aca="false">IF($B$6=1,IF(ISNUMBER(D14),D14,D13),D15)</f>
        <v>1.1407</v>
      </c>
      <c r="E16" s="14" t="n">
        <f aca="false">IF($B$6=1,IF(ISNUMBER(E14),E14,E13),E15)</f>
        <v>0.7387</v>
      </c>
      <c r="F16" s="14" t="n">
        <f aca="false">IF($B$6=1,IF(ISNUMBER(F14),F14,F13),F15)</f>
        <v>0.866</v>
      </c>
      <c r="G16" s="14" t="n">
        <f aca="false">IF($B$6=1,IF(ISNUMBER(G14),G14,G13),G15)</f>
        <v>0.9933</v>
      </c>
      <c r="H16" s="14" t="n">
        <f aca="false">IF($B$6=1,IF(ISNUMBER(H14),H14,H13),H15)</f>
        <v>1.2144</v>
      </c>
      <c r="I16" s="14" t="n">
        <f aca="false">IF($B$6=1,IF(ISNUMBER(I14),I14,I13),I15)</f>
        <v>0.6583</v>
      </c>
      <c r="J16" s="14" t="n">
        <f aca="false">IF($B$6=1,IF(ISNUMBER(J14),J14,J13),J15)</f>
        <v>1.8174</v>
      </c>
      <c r="K16" s="14" t="n">
        <f aca="false">IF($B$6=1,IF(ISNUMBER(K14),K14,K13),K15)</f>
        <v>1.5293</v>
      </c>
      <c r="L16" s="2" t="s">
        <v>67</v>
      </c>
    </row>
    <row r="17" customFormat="false" ht="15" hidden="false" customHeight="false" outlineLevel="0" collapsed="false">
      <c r="A17" s="0" t="s">
        <v>68</v>
      </c>
      <c r="B17" s="8" t="n">
        <f aca="false">$B$7+B16*$B$8</f>
        <v>0.08501</v>
      </c>
      <c r="C17" s="8" t="n">
        <f aca="false">$B$7+C16*$B$8</f>
        <v>0.08032</v>
      </c>
      <c r="D17" s="8" t="n">
        <f aca="false">$B$7+D16*$B$8</f>
        <v>0.110135</v>
      </c>
      <c r="E17" s="8" t="n">
        <f aca="false">$B$7+E16*$B$8</f>
        <v>0.090035</v>
      </c>
      <c r="F17" s="8" t="n">
        <f aca="false">$B$7+F16*$B$8</f>
        <v>0.0964</v>
      </c>
      <c r="G17" s="8" t="n">
        <f aca="false">$B$7+G16*$B$8</f>
        <v>0.102765</v>
      </c>
      <c r="H17" s="8" t="n">
        <f aca="false">$B$7+H16*$B$8</f>
        <v>0.11382</v>
      </c>
      <c r="I17" s="8" t="n">
        <f aca="false">$B$7+I16*$B$8</f>
        <v>0.086015</v>
      </c>
      <c r="J17" s="8" t="n">
        <f aca="false">$B$7+J16*$B$8</f>
        <v>0.14397</v>
      </c>
      <c r="K17" s="8" t="n">
        <f aca="false">$B$7+K16*$B$8</f>
        <v>0.129565</v>
      </c>
      <c r="L17" s="2" t="s">
        <v>69</v>
      </c>
    </row>
    <row r="18" customFormat="false" ht="15" hidden="false" customHeight="false" outlineLevel="0" collapsed="false">
      <c r="A18" s="0" t="s">
        <v>70</v>
      </c>
      <c r="B18" s="8" t="n">
        <f aca="false">$B$7+$B$9</f>
        <v>0.0651</v>
      </c>
      <c r="C18" s="8" t="n">
        <f aca="false">$B$7+$B$9</f>
        <v>0.0651</v>
      </c>
      <c r="D18" s="8" t="n">
        <f aca="false">$B$7+$B$9</f>
        <v>0.0651</v>
      </c>
      <c r="E18" s="8" t="n">
        <f aca="false">$B$7+$B$9</f>
        <v>0.0651</v>
      </c>
      <c r="F18" s="8" t="n">
        <f aca="false">$B$7+$B$9</f>
        <v>0.0651</v>
      </c>
      <c r="G18" s="8" t="n">
        <f aca="false">$B$7+$B$9</f>
        <v>0.0651</v>
      </c>
      <c r="H18" s="8" t="n">
        <f aca="false">$B$7+$B$9</f>
        <v>0.0651</v>
      </c>
      <c r="I18" s="8" t="n">
        <f aca="false">$B$7+$B$9</f>
        <v>0.0651</v>
      </c>
      <c r="J18" s="8" t="n">
        <f aca="false">$B$7+$B$9</f>
        <v>0.0651</v>
      </c>
      <c r="K18" s="8" t="n">
        <f aca="false">$B$7+$B$9</f>
        <v>0.0651</v>
      </c>
      <c r="L18" s="2" t="s">
        <v>71</v>
      </c>
    </row>
    <row r="19" customFormat="false" ht="15" hidden="false" customHeight="false" outlineLevel="0" collapsed="false">
      <c r="A19" s="0" t="s">
        <v>72</v>
      </c>
      <c r="B19" s="5" t="n">
        <f aca="false">MO!B9</f>
        <v>0.235</v>
      </c>
      <c r="C19" s="5" t="n">
        <f aca="false">KO!B9</f>
        <v>0.19</v>
      </c>
      <c r="D19" s="5" t="n">
        <f aca="false">GOOG!B9</f>
        <v>0.17</v>
      </c>
      <c r="E19" s="5" t="n">
        <f aca="false">UNH!B9</f>
        <v>0.22</v>
      </c>
      <c r="F19" s="5" t="n">
        <f aca="false">LNG!B9</f>
        <v>0.18</v>
      </c>
      <c r="G19" s="5" t="n">
        <f aca="false">NOW!B9</f>
        <v>0.2</v>
      </c>
      <c r="H19" s="5" t="n">
        <f aca="false">CLS!B9</f>
        <v>0.21</v>
      </c>
      <c r="I19" s="5" t="n">
        <f aca="false">EPD!B9</f>
        <v>0</v>
      </c>
      <c r="J19" s="5" t="n">
        <f aca="false">NVDA!B9</f>
        <v>0.16</v>
      </c>
      <c r="K19" s="5" t="n">
        <f aca="false">FSLR!B9</f>
        <v>0.12</v>
      </c>
      <c r="L19" s="2" t="s">
        <v>73</v>
      </c>
    </row>
    <row r="20" customFormat="false" ht="15" hidden="false" customHeight="false" outlineLevel="0" collapsed="false">
      <c r="A20" s="0" t="s">
        <v>74</v>
      </c>
      <c r="B20" s="8" t="n">
        <f aca="false">B18*(1-B19)</f>
        <v>0.0498015</v>
      </c>
      <c r="C20" s="8" t="n">
        <f aca="false">C18*(1-C19)</f>
        <v>0.052731</v>
      </c>
      <c r="D20" s="8" t="n">
        <f aca="false">D18*(1-D19)</f>
        <v>0.054033</v>
      </c>
      <c r="E20" s="8" t="n">
        <f aca="false">E18*(1-E19)</f>
        <v>0.050778</v>
      </c>
      <c r="F20" s="8" t="n">
        <f aca="false">F18*(1-F19)</f>
        <v>0.053382</v>
      </c>
      <c r="G20" s="8" t="n">
        <f aca="false">G18*(1-G19)</f>
        <v>0.05208</v>
      </c>
      <c r="H20" s="8" t="n">
        <f aca="false">H18*(1-H19)</f>
        <v>0.051429</v>
      </c>
      <c r="I20" s="8" t="n">
        <f aca="false">I18*(1-I19)</f>
        <v>0.0651</v>
      </c>
      <c r="J20" s="8" t="n">
        <f aca="false">J18*(1-J19)</f>
        <v>0.054684</v>
      </c>
      <c r="K20" s="8" t="n">
        <f aca="false">K18*(1-K19)</f>
        <v>0.057288</v>
      </c>
      <c r="L20" s="2"/>
    </row>
    <row r="21" customFormat="false" ht="15" hidden="false" customHeight="false" outlineLevel="0" collapsed="false">
      <c r="A21" s="0" t="s">
        <v>75</v>
      </c>
      <c r="B21" s="15" t="n">
        <f aca="false">MO!B4*MO!B6</f>
        <v>125.1832</v>
      </c>
      <c r="C21" s="15" t="n">
        <f aca="false">KO!B4*KO!B6</f>
        <v>401.061</v>
      </c>
      <c r="D21" s="15" t="n">
        <f aca="false">GOOG!B4*GOOG!B6</f>
        <v>3919.3481</v>
      </c>
      <c r="E21" s="15" t="n">
        <f aca="false">UNH!B4*UNH!B6</f>
        <v>380.0306301</v>
      </c>
      <c r="F21" s="15" t="n">
        <f aca="false">LNG!B4*LNG!B6</f>
        <v>61.46436065</v>
      </c>
      <c r="G21" s="15" t="n">
        <f aca="false">NOW!B4*NOW!B6</f>
        <v>161.5452</v>
      </c>
      <c r="H21" s="15" t="n">
        <f aca="false">CLS!B4*CLS!B6</f>
        <v>31.102565</v>
      </c>
      <c r="I21" s="15" t="n">
        <f aca="false">EPD!B4*EPD!B6</f>
        <v>80.7948</v>
      </c>
      <c r="J21" s="15" t="n">
        <f aca="false">NVDA!B4*NVDA!B6</f>
        <v>5126.562</v>
      </c>
      <c r="K21" s="15" t="n">
        <f aca="false">FSLR!B4*FSLR!B6</f>
        <v>18.4386279</v>
      </c>
      <c r="L21" s="2" t="s">
        <v>76</v>
      </c>
    </row>
    <row r="22" customFormat="false" ht="15" hidden="false" customHeight="false" outlineLevel="0" collapsed="false">
      <c r="A22" s="0" t="s">
        <v>77</v>
      </c>
      <c r="B22" s="16" t="n">
        <v>24.58</v>
      </c>
      <c r="C22" s="16" t="n">
        <v>44.26</v>
      </c>
      <c r="D22" s="16" t="n">
        <v>120.79</v>
      </c>
      <c r="E22" s="16" t="n">
        <v>74.33</v>
      </c>
      <c r="F22" s="16" t="n">
        <v>27.97</v>
      </c>
      <c r="G22" s="16" t="n">
        <v>8.45</v>
      </c>
      <c r="H22" s="16" t="n">
        <v>0.8188</v>
      </c>
      <c r="I22" s="16" t="n">
        <v>34.21</v>
      </c>
      <c r="J22" s="16" t="n">
        <v>38.86</v>
      </c>
      <c r="K22" s="16" t="n">
        <v>0.194</v>
      </c>
      <c r="L22" s="2" t="s">
        <v>78</v>
      </c>
    </row>
    <row r="23" customFormat="false" ht="15" hidden="false" customHeight="false" outlineLevel="0" collapsed="false">
      <c r="A23" s="0" t="s">
        <v>79</v>
      </c>
      <c r="B23" s="8" t="n">
        <f aca="false">B21/(B21+B22)</f>
        <v>0.83587423345655</v>
      </c>
      <c r="C23" s="8" t="n">
        <f aca="false">C21/(C21+C22)</f>
        <v>0.900611019915971</v>
      </c>
      <c r="D23" s="8" t="n">
        <f aca="false">D21/(D21+D22)</f>
        <v>0.970102507139546</v>
      </c>
      <c r="E23" s="8" t="n">
        <f aca="false">E21/(E21+E22)</f>
        <v>0.836407481027481</v>
      </c>
      <c r="F23" s="8" t="n">
        <f aca="false">F21/(F21+F22)</f>
        <v>0.687256667384696</v>
      </c>
      <c r="G23" s="8" t="n">
        <f aca="false">G21/(G21+G22)</f>
        <v>0.950292714147223</v>
      </c>
      <c r="H23" s="8" t="n">
        <f aca="false">H21/(H21+H22)</f>
        <v>0.974349467825076</v>
      </c>
      <c r="I23" s="8" t="n">
        <f aca="false">I21/(I21+I22)</f>
        <v>0.702534155096135</v>
      </c>
      <c r="J23" s="8" t="n">
        <f aca="false">J21/(J21+J22)</f>
        <v>0.99247689733772</v>
      </c>
      <c r="K23" s="8" t="n">
        <f aca="false">K21/(K21+K22)</f>
        <v>0.9895881568053</v>
      </c>
      <c r="L23" s="2"/>
    </row>
    <row r="24" customFormat="false" ht="15" hidden="false" customHeight="false" outlineLevel="0" collapsed="false">
      <c r="A24" s="0" t="s">
        <v>80</v>
      </c>
      <c r="B24" s="8" t="n">
        <f aca="false">B22/(B21+B22)</f>
        <v>0.16412576654345</v>
      </c>
      <c r="C24" s="8" t="n">
        <f aca="false">C22/(C21+C22)</f>
        <v>0.0993889800840293</v>
      </c>
      <c r="D24" s="8" t="n">
        <f aca="false">D22/(D21+D22)</f>
        <v>0.0298974928604544</v>
      </c>
      <c r="E24" s="8" t="n">
        <f aca="false">E22/(E21+E22)</f>
        <v>0.163592518972519</v>
      </c>
      <c r="F24" s="8" t="n">
        <f aca="false">F22/(F21+F22)</f>
        <v>0.312743332615304</v>
      </c>
      <c r="G24" s="8" t="n">
        <f aca="false">G22/(G21+G22)</f>
        <v>0.049707285852777</v>
      </c>
      <c r="H24" s="8" t="n">
        <f aca="false">H22/(H21+H22)</f>
        <v>0.0256505321749242</v>
      </c>
      <c r="I24" s="8" t="n">
        <f aca="false">I22/(I21+I22)</f>
        <v>0.297465844903865</v>
      </c>
      <c r="J24" s="8" t="n">
        <f aca="false">J22/(J21+J22)</f>
        <v>0.00752310266228006</v>
      </c>
      <c r="K24" s="8" t="n">
        <f aca="false">K22/(K21+K22)</f>
        <v>0.0104118431947004</v>
      </c>
      <c r="L24" s="2"/>
    </row>
    <row r="25" customFormat="false" ht="15" hidden="false" customHeight="false" outlineLevel="0" collapsed="false">
      <c r="A25" s="0" t="s">
        <v>81</v>
      </c>
      <c r="B25" s="8" t="n">
        <f aca="false">B23*B17+B24*B20</f>
        <v>0.0792313779486549</v>
      </c>
      <c r="C25" s="8" t="n">
        <f aca="false">C23*C17+C24*C20</f>
        <v>0.0775779574284617</v>
      </c>
      <c r="D25" s="8" t="n">
        <f aca="false">D23*D17+D24*D20</f>
        <v>0.108457690855543</v>
      </c>
      <c r="E25" s="8" t="n">
        <f aca="false">E23*E17+E24*E20</f>
        <v>0.0836128484826958</v>
      </c>
      <c r="F25" s="8" t="n">
        <f aca="false">F23*F17+F24*F20</f>
        <v>0.0829464073175549</v>
      </c>
      <c r="G25" s="8" t="n">
        <f aca="false">G23*G17+G24*G20</f>
        <v>0.100245586216552</v>
      </c>
      <c r="H25" s="8" t="n">
        <f aca="false">H23*H17+H24*H20</f>
        <v>0.112219637647074</v>
      </c>
      <c r="I25" s="8" t="n">
        <f aca="false">I23*I17+I24*I20</f>
        <v>0.0797935018538357</v>
      </c>
      <c r="J25" s="8" t="n">
        <f aca="false">J23*J17+J24*J20</f>
        <v>0.143298292255696</v>
      </c>
      <c r="K25" s="8" t="n">
        <f aca="false">K23*K17+K24*K20</f>
        <v>0.128812463209417</v>
      </c>
      <c r="L25" s="2" t="s">
        <v>82</v>
      </c>
    </row>
    <row r="26" customFormat="false" ht="15" hidden="false" customHeight="false" outlineLevel="0" collapsed="false">
      <c r="A26" s="0" t="s">
        <v>83</v>
      </c>
      <c r="B26" s="17" t="n">
        <v>0.08</v>
      </c>
      <c r="C26" s="17" t="n">
        <v>0.075</v>
      </c>
      <c r="D26" s="17" t="n">
        <v>0.095</v>
      </c>
      <c r="E26" s="17" t="n">
        <v>0.09</v>
      </c>
      <c r="F26" s="17" t="n">
        <v>0.075</v>
      </c>
      <c r="G26" s="17" t="n">
        <v>0.095</v>
      </c>
      <c r="H26" s="17" t="n">
        <v>0.105</v>
      </c>
      <c r="I26" s="17" t="n">
        <v>0.08</v>
      </c>
      <c r="J26" s="17" t="n">
        <v>0.11</v>
      </c>
      <c r="K26" s="17" t="n">
        <v>0.105</v>
      </c>
      <c r="L26" s="2" t="s">
        <v>84</v>
      </c>
    </row>
    <row r="27" customFormat="false" ht="15" hidden="false" customHeight="false" outlineLevel="0" collapsed="false">
      <c r="A27" s="0" t="s">
        <v>85</v>
      </c>
      <c r="B27" s="18" t="n">
        <f aca="false">IF($B$5=1,B25,B26)</f>
        <v>0.08</v>
      </c>
      <c r="C27" s="18" t="n">
        <f aca="false">IF($B$5=1,C25,C26)</f>
        <v>0.075</v>
      </c>
      <c r="D27" s="18" t="n">
        <f aca="false">IF($B$5=1,D25,D26)</f>
        <v>0.095</v>
      </c>
      <c r="E27" s="18" t="n">
        <f aca="false">IF($B$5=1,E25,E26)</f>
        <v>0.09</v>
      </c>
      <c r="F27" s="18" t="n">
        <f aca="false">IF($B$5=1,F25,F26)</f>
        <v>0.075</v>
      </c>
      <c r="G27" s="18" t="n">
        <f aca="false">IF($B$5=1,G25,G26)</f>
        <v>0.095</v>
      </c>
      <c r="H27" s="18" t="n">
        <f aca="false">IF($B$5=1,H25,H26)</f>
        <v>0.105</v>
      </c>
      <c r="I27" s="18" t="n">
        <f aca="false">IF($B$5=1,I25,I26)</f>
        <v>0.08</v>
      </c>
      <c r="J27" s="18" t="n">
        <f aca="false">IF($B$5=1,J25,J26)</f>
        <v>0.11</v>
      </c>
      <c r="K27" s="18" t="n">
        <f aca="false">IF($B$5=1,K25,K26)</f>
        <v>0.105</v>
      </c>
      <c r="L27" s="2" t="s">
        <v>86</v>
      </c>
    </row>
    <row r="28" customFormat="false" ht="15" hidden="false" customHeight="false" outlineLevel="0" collapsed="false">
      <c r="A28" s="0" t="s">
        <v>87</v>
      </c>
      <c r="B28" s="0" t="str">
        <f aca="false">IF(B27&gt;MAX(MO!L21,MO!L39,MO!L57),"OK","WACC must exceed growth")</f>
        <v>OK</v>
      </c>
      <c r="C28" s="0" t="str">
        <f aca="false">IF(C27&gt;MAX(KO!L21,KO!L39,KO!L57),"OK","WACC must exceed growth")</f>
        <v>OK</v>
      </c>
      <c r="D28" s="0" t="str">
        <f aca="false">IF(D27&gt;MAX(GOOG!L21,GOOG!L39,GOOG!L57),"OK","WACC must exceed growth")</f>
        <v>OK</v>
      </c>
      <c r="E28" s="0" t="str">
        <f aca="false">IF(E27&gt;MAX(UNH!L21,UNH!L39,UNH!L57),"OK","WACC must exceed growth")</f>
        <v>OK</v>
      </c>
      <c r="F28" s="0" t="str">
        <f aca="false">IF(F27&gt;MAX(LNG!L21,LNG!L39,LNG!L57),"OK","WACC must exceed growth")</f>
        <v>OK</v>
      </c>
      <c r="G28" s="0" t="str">
        <f aca="false">IF(G27&gt;MAX(NOW!L21,NOW!L39,NOW!L57),"OK","WACC must exceed growth")</f>
        <v>OK</v>
      </c>
      <c r="H28" s="0" t="str">
        <f aca="false">IF(H27&gt;MAX(CLS!L21,CLS!L39,CLS!L57),"OK","WACC must exceed growth")</f>
        <v>OK</v>
      </c>
      <c r="I28" s="0" t="str">
        <f aca="false">IF(I27&gt;MAX(EPD!L21,EPD!L39,EPD!L57),"OK","WACC must exceed growth")</f>
        <v>OK</v>
      </c>
      <c r="J28" s="0" t="str">
        <f aca="false">IF(J27&gt;MAX(NVDA!L21,NVDA!L39,NVDA!L57),"OK","WACC must exceed growth")</f>
        <v>OK</v>
      </c>
      <c r="K28" s="0" t="str">
        <f aca="false">IF(K27&gt;MAX(FSLR!L21,FSLR!L39,FSLR!L57),"OK","WACC must exceed growth")</f>
        <v>OK</v>
      </c>
      <c r="L28" s="2"/>
    </row>
    <row r="29" customFormat="false" ht="15" hidden="false" customHeight="false" outlineLevel="0" collapsed="false">
      <c r="A29" s="0" t="s">
        <v>88</v>
      </c>
      <c r="B29" s="8" t="n">
        <f aca="false">B27</f>
        <v>0.08</v>
      </c>
      <c r="C29" s="8" t="n">
        <f aca="false">C27</f>
        <v>0.075</v>
      </c>
      <c r="D29" s="8" t="n">
        <f aca="false">D27</f>
        <v>0.095</v>
      </c>
      <c r="E29" s="8" t="n">
        <f aca="false">E27</f>
        <v>0.09</v>
      </c>
      <c r="F29" s="8" t="n">
        <f aca="false">F27</f>
        <v>0.075</v>
      </c>
      <c r="G29" s="8" t="n">
        <f aca="false">G27</f>
        <v>0.095</v>
      </c>
      <c r="H29" s="8" t="n">
        <f aca="false">H27</f>
        <v>0.105</v>
      </c>
      <c r="I29" s="8" t="n">
        <f aca="false">I27</f>
        <v>0.08</v>
      </c>
      <c r="J29" s="8" t="n">
        <f aca="false">J27</f>
        <v>0.11</v>
      </c>
      <c r="K29" s="8" t="n">
        <f aca="false">K27</f>
        <v>0.105</v>
      </c>
      <c r="L29" s="2" t="s">
        <v>89</v>
      </c>
    </row>
    <row r="33" customFormat="false" ht="15" hidden="false" customHeight="false" outlineLevel="0" collapsed="false">
      <c r="A33" s="12" t="s">
        <v>90</v>
      </c>
      <c r="B33" s="12" t="s">
        <v>91</v>
      </c>
      <c r="C33" s="12" t="s">
        <v>92</v>
      </c>
      <c r="D33" s="12" t="s">
        <v>59</v>
      </c>
    </row>
    <row r="34" customFormat="false" ht="15" hidden="false" customHeight="false" outlineLevel="0" collapsed="false">
      <c r="A34" s="0" t="s">
        <v>60</v>
      </c>
      <c r="B34" s="13" t="n">
        <v>1.02</v>
      </c>
      <c r="C34" s="13" t="n">
        <v>1.21</v>
      </c>
      <c r="D34" s="2" t="s">
        <v>61</v>
      </c>
    </row>
    <row r="35" customFormat="false" ht="15" hidden="false" customHeight="false" outlineLevel="0" collapsed="false">
      <c r="A35" s="0" t="s">
        <v>64</v>
      </c>
      <c r="B35" s="14" t="n">
        <f aca="false">0.67*B34+0.33</f>
        <v>1.0134</v>
      </c>
      <c r="C35" s="14" t="n">
        <f aca="false">0.67*C34+0.33</f>
        <v>1.1407</v>
      </c>
      <c r="D35" s="2" t="s">
        <v>93</v>
      </c>
    </row>
    <row r="36" customFormat="false" ht="15" hidden="false" customHeight="false" outlineLevel="0" collapsed="false">
      <c r="A36" s="0" t="s">
        <v>66</v>
      </c>
      <c r="B36" s="14" t="n">
        <f aca="false">IF($B$6=1,B34,B35)</f>
        <v>1.0134</v>
      </c>
      <c r="C36" s="14" t="n">
        <f aca="false">IF($B$6=1,C34,C35)</f>
        <v>1.1407</v>
      </c>
      <c r="D36" s="2" t="s">
        <v>67</v>
      </c>
    </row>
    <row r="37" customFormat="false" ht="15" hidden="false" customHeight="false" outlineLevel="0" collapsed="false">
      <c r="A37" s="0" t="s">
        <v>94</v>
      </c>
      <c r="B37" s="8" t="n">
        <f aca="false">$B$7+B36*$B$8</f>
        <v>0.10377</v>
      </c>
      <c r="C37" s="8" t="n">
        <f aca="false">$B$7+C36*$B$8</f>
        <v>0.110135</v>
      </c>
      <c r="D37" s="2" t="s">
        <v>69</v>
      </c>
    </row>
    <row r="38" customFormat="false" ht="15" hidden="false" customHeight="false" outlineLevel="0" collapsed="false">
      <c r="A38" s="0" t="s">
        <v>95</v>
      </c>
      <c r="B38" s="17" t="n">
        <v>0.1</v>
      </c>
      <c r="C38" s="17" t="n">
        <v>0.105</v>
      </c>
      <c r="D38" s="2" t="s">
        <v>84</v>
      </c>
    </row>
    <row r="39" customFormat="false" ht="15" hidden="false" customHeight="false" outlineLevel="0" collapsed="false">
      <c r="A39" s="0" t="s">
        <v>96</v>
      </c>
      <c r="B39" s="18" t="n">
        <f aca="false">IF($B$5=1,B37,B38)</f>
        <v>0.1</v>
      </c>
      <c r="C39" s="18" t="n">
        <f aca="false">IF($B$5=1,C37,C38)</f>
        <v>0.105</v>
      </c>
      <c r="D39" s="2" t="s">
        <v>97</v>
      </c>
    </row>
    <row r="40" customFormat="false" ht="15" hidden="false" customHeight="false" outlineLevel="0" collapsed="false">
      <c r="A40" s="0" t="s">
        <v>98</v>
      </c>
      <c r="B40" s="8" t="n">
        <f aca="false">B39</f>
        <v>0.1</v>
      </c>
      <c r="C40" s="8" t="n">
        <f aca="false">C39</f>
        <v>0.105</v>
      </c>
      <c r="D40"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1"/>
    <col collapsed="false" customWidth="true" hidden="false" outlineLevel="0" max="3" min="3" style="0" width="12"/>
    <col collapsed="false" customWidth="true" hidden="false" outlineLevel="0" max="12" min="4" style="0" width="11"/>
  </cols>
  <sheetData>
    <row r="1" customFormat="false" ht="16.15" hidden="false" customHeight="false" outlineLevel="0" collapsed="false">
      <c r="A1" s="1" t="s">
        <v>99</v>
      </c>
    </row>
    <row r="2" customFormat="false" ht="15" hidden="false" customHeight="false" outlineLevel="0" collapsed="false">
      <c r="A2" s="2" t="s">
        <v>100</v>
      </c>
    </row>
    <row r="4" customFormat="false" ht="15" hidden="false" customHeight="false" outlineLevel="0" collapsed="false">
      <c r="A4" s="0" t="s">
        <v>101</v>
      </c>
      <c r="B4" s="19" t="n">
        <v>74.96</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106</v>
      </c>
      <c r="B6" s="21" t="n">
        <v>1.67</v>
      </c>
      <c r="C6" s="2" t="s">
        <v>61</v>
      </c>
    </row>
    <row r="7" customFormat="false" ht="15" hidden="false" customHeight="false" outlineLevel="0" collapsed="false">
      <c r="A7" s="0" t="s">
        <v>107</v>
      </c>
      <c r="B7" s="22" t="n">
        <v>-22.21</v>
      </c>
      <c r="C7" s="2" t="s">
        <v>108</v>
      </c>
    </row>
    <row r="8" customFormat="false" ht="15" hidden="false" customHeight="false" outlineLevel="0" collapsed="false">
      <c r="A8" s="0" t="s">
        <v>109</v>
      </c>
      <c r="B8" s="22" t="n">
        <v>10.81</v>
      </c>
      <c r="C8" s="2" t="s">
        <v>110</v>
      </c>
    </row>
    <row r="9" customFormat="false" ht="15" hidden="false" customHeight="false" outlineLevel="0" collapsed="false">
      <c r="A9" s="0" t="s">
        <v>72</v>
      </c>
      <c r="B9" s="11" t="n">
        <v>0.235</v>
      </c>
      <c r="C9" s="2" t="s">
        <v>111</v>
      </c>
    </row>
    <row r="10" customFormat="false" ht="15" hidden="false" customHeight="false" outlineLevel="0" collapsed="false">
      <c r="A10" s="0" t="s">
        <v>112</v>
      </c>
      <c r="B10" s="23" t="n">
        <f aca="false">WACC!B29</f>
        <v>0.08</v>
      </c>
      <c r="C10" s="2" t="s">
        <v>113</v>
      </c>
    </row>
    <row r="11" customFormat="false" ht="15" hidden="false" customHeight="false" outlineLevel="0" collapsed="false">
      <c r="A11" s="0" t="s">
        <v>114</v>
      </c>
      <c r="B11" s="11" t="n">
        <v>0</v>
      </c>
      <c r="C11" s="2" t="s">
        <v>45</v>
      </c>
    </row>
    <row r="12" customFormat="false" ht="15" hidden="false" customHeight="false" outlineLevel="0" collapsed="false">
      <c r="A12" s="0" t="s">
        <v>115</v>
      </c>
      <c r="B12" s="22" t="n">
        <v>20.6</v>
      </c>
      <c r="C12" s="2" t="s">
        <v>116</v>
      </c>
    </row>
    <row r="13" customFormat="false" ht="15" hidden="false" customHeight="false" outlineLevel="0" collapsed="false">
      <c r="A13" s="0" t="s">
        <v>117</v>
      </c>
      <c r="B13" s="10" t="n">
        <v>2</v>
      </c>
      <c r="C13" s="2" t="s">
        <v>118</v>
      </c>
    </row>
    <row r="15" customFormat="false" ht="15" hidden="false" customHeight="false" outlineLevel="0" collapsed="false">
      <c r="A15" s="9" t="s">
        <v>119</v>
      </c>
      <c r="B15" s="24" t="s">
        <v>120</v>
      </c>
      <c r="C15" s="24" t="s">
        <v>121</v>
      </c>
      <c r="D15" s="24" t="s">
        <v>122</v>
      </c>
      <c r="E15" s="24" t="s">
        <v>123</v>
      </c>
      <c r="F15" s="24" t="s">
        <v>124</v>
      </c>
      <c r="G15" s="24" t="s">
        <v>125</v>
      </c>
      <c r="H15" s="24" t="s">
        <v>126</v>
      </c>
      <c r="I15" s="24" t="s">
        <v>127</v>
      </c>
      <c r="J15" s="24" t="s">
        <v>128</v>
      </c>
      <c r="K15" s="24" t="s">
        <v>129</v>
      </c>
      <c r="L15" s="9" t="s">
        <v>130</v>
      </c>
    </row>
    <row r="16" customFormat="false" ht="15" hidden="false" customHeight="false" outlineLevel="0" collapsed="false">
      <c r="A16" s="0" t="s">
        <v>131</v>
      </c>
      <c r="B16" s="20" t="n">
        <v>0.5</v>
      </c>
      <c r="C16" s="25" t="n">
        <f aca="false">B16+1</f>
        <v>1.5</v>
      </c>
      <c r="D16" s="25" t="n">
        <f aca="false">C16+1</f>
        <v>2.5</v>
      </c>
      <c r="E16" s="25" t="n">
        <f aca="false">D16+1</f>
        <v>3.5</v>
      </c>
      <c r="F16" s="25" t="n">
        <f aca="false">E16+1</f>
        <v>4.5</v>
      </c>
      <c r="G16" s="25" t="n">
        <f aca="false">F16+1</f>
        <v>5.5</v>
      </c>
      <c r="H16" s="25" t="n">
        <f aca="false">G16+1</f>
        <v>6.5</v>
      </c>
      <c r="I16" s="25" t="n">
        <f aca="false">H16+1</f>
        <v>7.5</v>
      </c>
      <c r="J16" s="25" t="n">
        <f aca="false">I16+1</f>
        <v>8.5</v>
      </c>
      <c r="K16" s="25" t="n">
        <f aca="false">J16+1</f>
        <v>9.5</v>
      </c>
    </row>
    <row r="17" customFormat="false" ht="15" hidden="false" customHeight="false" outlineLevel="0" collapsed="false">
      <c r="A17" s="0" t="s">
        <v>132</v>
      </c>
      <c r="B17" s="0" t="n">
        <v>0</v>
      </c>
      <c r="C17" s="0" t="n">
        <v>0</v>
      </c>
      <c r="D17" s="0" t="n">
        <v>0</v>
      </c>
      <c r="E17" s="0" t="n">
        <v>0</v>
      </c>
      <c r="F17" s="0" t="n">
        <v>0</v>
      </c>
      <c r="G17" s="0" t="n">
        <v>1</v>
      </c>
      <c r="H17" s="0" t="n">
        <v>2</v>
      </c>
      <c r="I17" s="0" t="n">
        <v>3</v>
      </c>
      <c r="J17" s="0" t="n">
        <v>4</v>
      </c>
      <c r="K17" s="0" t="n">
        <v>5</v>
      </c>
    </row>
    <row r="19" customFormat="false" ht="15" hidden="false" customHeight="false" outlineLevel="0" collapsed="false">
      <c r="A19" s="12" t="s">
        <v>133</v>
      </c>
      <c r="B19" s="26"/>
      <c r="C19" s="26"/>
      <c r="D19" s="26"/>
      <c r="E19" s="26"/>
      <c r="F19" s="26"/>
      <c r="G19" s="26"/>
      <c r="H19" s="26"/>
      <c r="I19" s="26"/>
      <c r="J19" s="26"/>
      <c r="K19" s="26"/>
      <c r="L19" s="26"/>
    </row>
    <row r="20" customFormat="false" ht="15" hidden="false" customHeight="false" outlineLevel="0" collapsed="false">
      <c r="A20" s="0" t="s">
        <v>134</v>
      </c>
      <c r="B20" s="22" t="n">
        <v>20.2</v>
      </c>
      <c r="C20" s="22" t="n">
        <v>19.6</v>
      </c>
      <c r="D20" s="22" t="n">
        <v>19</v>
      </c>
      <c r="E20" s="22" t="n">
        <v>18.4</v>
      </c>
      <c r="F20" s="22" t="n">
        <v>17.8</v>
      </c>
      <c r="G20" s="27" t="n">
        <f aca="false">F20*(1+$F21+($L21-$F21)*G$17/5)</f>
        <v>17.246652173913</v>
      </c>
      <c r="H20" s="27" t="n">
        <f aca="false">G20*(1+$F21+($L21-$F21)*H$17/5)</f>
        <v>16.7367511531191</v>
      </c>
      <c r="I20" s="27" t="n">
        <f aca="false">H20*(1+$F21+($L21-$F21)*I$17/5)</f>
        <v>16.267394435999</v>
      </c>
      <c r="J20" s="27" t="n">
        <f aca="false">I20*(1+$F21+($L21-$F21)*J$17/5)</f>
        <v>15.8359548444356</v>
      </c>
      <c r="K20" s="27" t="n">
        <f aca="false">J20*(1+$F21+($L21-$F21)*K$17/5)</f>
        <v>15.4400559733247</v>
      </c>
      <c r="L20" s="27" t="n">
        <f aca="false">K20*(1+L21)</f>
        <v>15.0540545739916</v>
      </c>
    </row>
    <row r="21" customFormat="false" ht="15" hidden="false" customHeight="false" outlineLevel="0" collapsed="false">
      <c r="A21" s="0" t="s">
        <v>135</v>
      </c>
      <c r="B21" s="6" t="n">
        <f aca="false">B20/$B$12-1</f>
        <v>-0.0194174757281554</v>
      </c>
      <c r="C21" s="6" t="n">
        <f aca="false">C20/B20-1</f>
        <v>-0.0297029702970296</v>
      </c>
      <c r="D21" s="6" t="n">
        <f aca="false">D20/C20-1</f>
        <v>-0.0306122448979592</v>
      </c>
      <c r="E21" s="6" t="n">
        <f aca="false">E20/D20-1</f>
        <v>-0.0315789473684212</v>
      </c>
      <c r="F21" s="6" t="n">
        <f aca="false">F20/E20-1</f>
        <v>-0.0326086956521738</v>
      </c>
      <c r="G21" s="6" t="n">
        <f aca="false">G20/F20-1</f>
        <v>-0.0310869565217391</v>
      </c>
      <c r="H21" s="6" t="n">
        <f aca="false">H20/G20-1</f>
        <v>-0.0295652173913044</v>
      </c>
      <c r="I21" s="6" t="n">
        <f aca="false">I20/H20-1</f>
        <v>-0.0280434782608695</v>
      </c>
      <c r="J21" s="6" t="n">
        <f aca="false">J20/I20-1</f>
        <v>-0.0265217391304348</v>
      </c>
      <c r="K21" s="6" t="n">
        <f aca="false">K20/J20-1</f>
        <v>-0.025</v>
      </c>
      <c r="L21" s="28" t="n">
        <v>-0.025</v>
      </c>
    </row>
    <row r="22" customFormat="false" ht="15" hidden="false" customHeight="false" outlineLevel="0" collapsed="false">
      <c r="A22" s="0" t="s">
        <v>136</v>
      </c>
      <c r="B22" s="29" t="n">
        <v>0.6</v>
      </c>
      <c r="C22" s="29" t="n">
        <v>0.59</v>
      </c>
      <c r="D22" s="29" t="n">
        <v>0.58</v>
      </c>
      <c r="E22" s="29" t="n">
        <v>0.57</v>
      </c>
      <c r="F22" s="29" t="n">
        <v>0.56</v>
      </c>
      <c r="G22" s="6" t="n">
        <f aca="false">$F22+($L22-$F22)*G$17/5</f>
        <v>0.554</v>
      </c>
      <c r="H22" s="6" t="n">
        <f aca="false">$F22+($L22-$F22)*H$17/5</f>
        <v>0.548</v>
      </c>
      <c r="I22" s="6" t="n">
        <f aca="false">$F22+($L22-$F22)*I$17/5</f>
        <v>0.542</v>
      </c>
      <c r="J22" s="6" t="n">
        <f aca="false">$F22+($L22-$F22)*J$17/5</f>
        <v>0.536</v>
      </c>
      <c r="K22" s="6" t="n">
        <f aca="false">$F22+($L22-$F22)*K$17/5</f>
        <v>0.53</v>
      </c>
      <c r="L22" s="28" t="n">
        <v>0.53</v>
      </c>
    </row>
    <row r="23" customFormat="false" ht="15" hidden="false" customHeight="false" outlineLevel="0" collapsed="false">
      <c r="A23" s="0" t="s">
        <v>137</v>
      </c>
      <c r="B23" s="27" t="n">
        <f aca="false">B20*B22</f>
        <v>12.12</v>
      </c>
      <c r="C23" s="27" t="n">
        <f aca="false">C20*C22</f>
        <v>11.564</v>
      </c>
      <c r="D23" s="27" t="n">
        <f aca="false">D20*D22</f>
        <v>11.02</v>
      </c>
      <c r="E23" s="27" t="n">
        <f aca="false">E20*E22</f>
        <v>10.488</v>
      </c>
      <c r="F23" s="27" t="n">
        <f aca="false">F20*F22</f>
        <v>9.968</v>
      </c>
      <c r="G23" s="27" t="n">
        <f aca="false">G20*G22</f>
        <v>9.55464530434783</v>
      </c>
      <c r="H23" s="27" t="n">
        <f aca="false">H20*H22</f>
        <v>9.17173963190927</v>
      </c>
      <c r="I23" s="27" t="n">
        <f aca="false">I20*I22</f>
        <v>8.81692778431147</v>
      </c>
      <c r="J23" s="27" t="n">
        <f aca="false">J20*J22</f>
        <v>8.48807179661746</v>
      </c>
      <c r="K23" s="27" t="n">
        <f aca="false">K20*K22</f>
        <v>8.18322966586208</v>
      </c>
      <c r="L23" s="27" t="n">
        <f aca="false">L20*L22</f>
        <v>7.97864892421553</v>
      </c>
    </row>
    <row r="24" customFormat="false" ht="15" hidden="false" customHeight="false" outlineLevel="0" collapsed="false">
      <c r="A24" s="0" t="s">
        <v>138</v>
      </c>
      <c r="B24" s="27" t="n">
        <f aca="false">B23*(1-$B$9)</f>
        <v>9.2718</v>
      </c>
      <c r="C24" s="27" t="n">
        <f aca="false">C23*(1-$B$9)</f>
        <v>8.84646</v>
      </c>
      <c r="D24" s="27" t="n">
        <f aca="false">D23*(1-$B$9)</f>
        <v>8.4303</v>
      </c>
      <c r="E24" s="27" t="n">
        <f aca="false">E23*(1-$B$9)</f>
        <v>8.02332</v>
      </c>
      <c r="F24" s="27" t="n">
        <f aca="false">F23*(1-$B$9)</f>
        <v>7.62552</v>
      </c>
      <c r="G24" s="27" t="n">
        <f aca="false">G23*(1-$B$9)</f>
        <v>7.30930365782609</v>
      </c>
      <c r="H24" s="27" t="n">
        <f aca="false">H23*(1-$B$9)</f>
        <v>7.01638081841059</v>
      </c>
      <c r="I24" s="27" t="n">
        <f aca="false">I23*(1-$B$9)</f>
        <v>6.74494975499827</v>
      </c>
      <c r="J24" s="27" t="n">
        <f aca="false">J23*(1-$B$9)</f>
        <v>6.49337492441236</v>
      </c>
      <c r="K24" s="27" t="n">
        <f aca="false">K23*(1-$B$9)</f>
        <v>6.26017069438449</v>
      </c>
      <c r="L24" s="27" t="n">
        <f aca="false">L23*(1-$B$9)</f>
        <v>6.10366642702488</v>
      </c>
    </row>
    <row r="25" customFormat="false" ht="15" hidden="false" customHeight="false" outlineLevel="0" collapsed="false">
      <c r="A25" s="0" t="s">
        <v>139</v>
      </c>
      <c r="B25" s="29" t="n">
        <v>0.005</v>
      </c>
      <c r="C25" s="29" t="n">
        <v>0.005</v>
      </c>
      <c r="D25" s="29" t="n">
        <v>0.005</v>
      </c>
      <c r="E25" s="29" t="n">
        <v>0.005</v>
      </c>
      <c r="F25" s="29" t="n">
        <v>0.005</v>
      </c>
      <c r="G25" s="6" t="n">
        <f aca="false">$F25+($L25-$F25)*G$17/5</f>
        <v>0.005</v>
      </c>
      <c r="H25" s="6" t="n">
        <f aca="false">$F25+($L25-$F25)*H$17/5</f>
        <v>0.005</v>
      </c>
      <c r="I25" s="6" t="n">
        <f aca="false">$F25+($L25-$F25)*I$17/5</f>
        <v>0.005</v>
      </c>
      <c r="J25" s="6" t="n">
        <f aca="false">$F25+($L25-$F25)*J$17/5</f>
        <v>0.005</v>
      </c>
      <c r="K25" s="6" t="n">
        <f aca="false">$F25+($L25-$F25)*K$17/5</f>
        <v>0.005</v>
      </c>
      <c r="L25" s="28" t="n">
        <v>0.005</v>
      </c>
    </row>
    <row r="26" customFormat="false" ht="15" hidden="false" customHeight="false" outlineLevel="0" collapsed="false">
      <c r="A26" s="0" t="s">
        <v>140</v>
      </c>
      <c r="B26" s="27" t="n">
        <f aca="false">B20*B25</f>
        <v>0.101</v>
      </c>
      <c r="C26" s="27" t="n">
        <f aca="false">C20*C25</f>
        <v>0.098</v>
      </c>
      <c r="D26" s="27" t="n">
        <f aca="false">D20*D25</f>
        <v>0.095</v>
      </c>
      <c r="E26" s="27" t="n">
        <f aca="false">E20*E25</f>
        <v>0.092</v>
      </c>
      <c r="F26" s="27" t="n">
        <f aca="false">F20*F25</f>
        <v>0.089</v>
      </c>
      <c r="G26" s="27" t="n">
        <f aca="false">G20*G25</f>
        <v>0.0862332608695652</v>
      </c>
      <c r="H26" s="27" t="n">
        <f aca="false">H20*H25</f>
        <v>0.0836837557655955</v>
      </c>
      <c r="I26" s="27" t="n">
        <f aca="false">I20*I25</f>
        <v>0.0813369721799951</v>
      </c>
      <c r="J26" s="27" t="n">
        <f aca="false">J20*J25</f>
        <v>0.0791797742221778</v>
      </c>
      <c r="K26" s="27" t="n">
        <f aca="false">K20*K25</f>
        <v>0.0772002798666234</v>
      </c>
      <c r="L26" s="27" t="n">
        <f aca="false">L20*L25</f>
        <v>0.0752702728699578</v>
      </c>
    </row>
    <row r="27" customFormat="false" ht="15" hidden="false" customHeight="false" outlineLevel="0" collapsed="false">
      <c r="A27" s="0" t="s">
        <v>141</v>
      </c>
      <c r="B27" s="27" t="n">
        <f aca="false">$B$11*(B20-$B$12)</f>
        <v>-0</v>
      </c>
      <c r="C27" s="27" t="n">
        <f aca="false">$B$11*(C20-B20)</f>
        <v>-0</v>
      </c>
      <c r="D27" s="27" t="n">
        <f aca="false">$B$11*(D20-C20)</f>
        <v>-0</v>
      </c>
      <c r="E27" s="27" t="n">
        <f aca="false">$B$11*(E20-D20)</f>
        <v>-0</v>
      </c>
      <c r="F27" s="27" t="n">
        <f aca="false">$B$11*(F20-E20)</f>
        <v>-0</v>
      </c>
      <c r="G27" s="27" t="n">
        <f aca="false">$B$11*(G20-F20)</f>
        <v>-0</v>
      </c>
      <c r="H27" s="27" t="n">
        <f aca="false">$B$11*(H20-G20)</f>
        <v>-0</v>
      </c>
      <c r="I27" s="27" t="n">
        <f aca="false">$B$11*(I20-H20)</f>
        <v>-0</v>
      </c>
      <c r="J27" s="27" t="n">
        <f aca="false">$B$11*(J20-I20)</f>
        <v>-0</v>
      </c>
      <c r="K27" s="27" t="n">
        <f aca="false">$B$11*(K20-J20)</f>
        <v>-0</v>
      </c>
      <c r="L27" s="27" t="n">
        <f aca="false">$B$11*(L20-K20)</f>
        <v>-0</v>
      </c>
    </row>
    <row r="28" customFormat="false" ht="15" hidden="false" customHeight="false" outlineLevel="0" collapsed="false">
      <c r="A28" s="0" t="s">
        <v>142</v>
      </c>
      <c r="B28" s="27" t="n">
        <f aca="false">B24-B26-B27</f>
        <v>9.1708</v>
      </c>
      <c r="C28" s="27" t="n">
        <f aca="false">C24-C26-C27</f>
        <v>8.74846</v>
      </c>
      <c r="D28" s="27" t="n">
        <f aca="false">D24-D26-D27</f>
        <v>8.3353</v>
      </c>
      <c r="E28" s="27" t="n">
        <f aca="false">E24-E26-E27</f>
        <v>7.93132</v>
      </c>
      <c r="F28" s="27" t="n">
        <f aca="false">F24-F26-F27</f>
        <v>7.53652</v>
      </c>
      <c r="G28" s="27" t="n">
        <f aca="false">G24-G26-G27</f>
        <v>7.22307039695652</v>
      </c>
      <c r="H28" s="27" t="n">
        <f aca="false">H24-H26-H27</f>
        <v>6.93269706264499</v>
      </c>
      <c r="I28" s="27" t="n">
        <f aca="false">I24-I26-I27</f>
        <v>6.66361278281828</v>
      </c>
      <c r="J28" s="27" t="n">
        <f aca="false">J24-J26-J27</f>
        <v>6.41419515019018</v>
      </c>
      <c r="K28" s="27" t="n">
        <f aca="false">K24-K26-K27</f>
        <v>6.18297041451787</v>
      </c>
      <c r="L28" s="27" t="n">
        <f aca="false">L24-L26-L27</f>
        <v>6.02839615415492</v>
      </c>
    </row>
    <row r="29" customFormat="false" ht="15" hidden="false" customHeight="false" outlineLevel="0" collapsed="false">
      <c r="A29" s="0" t="s">
        <v>143</v>
      </c>
      <c r="B29" s="30" t="n">
        <f aca="false">1/(1+$B$10)^B$16</f>
        <v>0.962250448649376</v>
      </c>
      <c r="C29" s="30" t="n">
        <f aca="false">1/(1+$B$10)^C$16</f>
        <v>0.890972637638311</v>
      </c>
      <c r="D29" s="30" t="n">
        <f aca="false">1/(1+$B$10)^D$16</f>
        <v>0.824974664479918</v>
      </c>
      <c r="E29" s="30" t="n">
        <f aca="false">1/(1+$B$10)^E$16</f>
        <v>0.763865430073998</v>
      </c>
      <c r="F29" s="30" t="n">
        <f aca="false">1/(1+$B$10)^F$16</f>
        <v>0.707282805624072</v>
      </c>
      <c r="G29" s="30" t="n">
        <f aca="false">1/(1+$B$10)^G$16</f>
        <v>0.654891486688956</v>
      </c>
      <c r="H29" s="30" t="n">
        <f aca="false">1/(1+$B$10)^H$16</f>
        <v>0.606381006193477</v>
      </c>
      <c r="I29" s="30" t="n">
        <f aca="false">1/(1+$B$10)^I$16</f>
        <v>0.56146389462359</v>
      </c>
      <c r="J29" s="30" t="n">
        <f aca="false">1/(1+$B$10)^J$16</f>
        <v>0.519873976503324</v>
      </c>
      <c r="K29" s="30" t="n">
        <f aca="false">1/(1+$B$10)^K$16</f>
        <v>0.481364793058633</v>
      </c>
    </row>
    <row r="30" customFormat="false" ht="15" hidden="false" customHeight="false" outlineLevel="0" collapsed="false">
      <c r="A30" s="0" t="s">
        <v>144</v>
      </c>
      <c r="B30" s="27" t="n">
        <f aca="false">B28*B29</f>
        <v>8.8246064144737</v>
      </c>
      <c r="C30" s="27" t="n">
        <f aca="false">C28*C29</f>
        <v>7.79463848147326</v>
      </c>
      <c r="D30" s="27" t="n">
        <f aca="false">D28*D29</f>
        <v>6.87641132083946</v>
      </c>
      <c r="E30" s="27" t="n">
        <f aca="false">E28*E29</f>
        <v>6.0584611628545</v>
      </c>
      <c r="F30" s="27" t="n">
        <f aca="false">F28*F29</f>
        <v>5.33045101024193</v>
      </c>
      <c r="G30" s="27" t="n">
        <f aca="false">G28*G29</f>
        <v>4.73032731072184</v>
      </c>
      <c r="H30" s="27" t="n">
        <f aca="false">H28*H29</f>
        <v>4.20385582048124</v>
      </c>
      <c r="I30" s="27" t="n">
        <f aca="false">I28*I29</f>
        <v>3.74137798530469</v>
      </c>
      <c r="J30" s="27" t="n">
        <f aca="false">J28*J29</f>
        <v>3.33457313879771</v>
      </c>
      <c r="K30" s="27" t="n">
        <f aca="false">K28*K29</f>
        <v>2.97626427407205</v>
      </c>
      <c r="L30" s="27"/>
    </row>
    <row r="31" customFormat="false" ht="15" hidden="false" customHeight="false" outlineLevel="0" collapsed="false">
      <c r="A31" s="0" t="s">
        <v>145</v>
      </c>
      <c r="B31" s="27" t="n">
        <f aca="false">L28/($B$10-L21)</f>
        <v>57.4132967062373</v>
      </c>
      <c r="C31" s="0" t="str">
        <f aca="false">IF($B$10&gt;L21,"","Discount rate must exceed terminal growth")</f>
        <v/>
      </c>
    </row>
    <row r="32" customFormat="false" ht="15" hidden="false" customHeight="false" outlineLevel="0" collapsed="false">
      <c r="A32" s="0" t="s">
        <v>146</v>
      </c>
      <c r="B32" s="27" t="n">
        <f aca="false">B31/(1+$B$10)^$K$16</f>
        <v>27.6367396878119</v>
      </c>
    </row>
    <row r="33" customFormat="false" ht="15" hidden="false" customHeight="false" outlineLevel="0" collapsed="false">
      <c r="A33" s="0" t="s">
        <v>147</v>
      </c>
      <c r="B33" s="27" t="n">
        <f aca="false">SUM(B30:K30)+B32+$B$7+$B$8</f>
        <v>70.1077066070722</v>
      </c>
    </row>
    <row r="34" customFormat="false" ht="15" hidden="false" customHeight="false" outlineLevel="0" collapsed="false">
      <c r="A34" s="0" t="s">
        <v>148</v>
      </c>
      <c r="B34" s="31" t="n">
        <f aca="false">B33/$B$6</f>
        <v>41.9806626389654</v>
      </c>
    </row>
    <row r="35" customFormat="false" ht="15" hidden="false" customHeight="false" outlineLevel="0" collapsed="false">
      <c r="A35" s="0" t="s">
        <v>149</v>
      </c>
      <c r="B35" s="6" t="n">
        <f aca="false">B34/$B$4-1</f>
        <v>-0.439959143023407</v>
      </c>
    </row>
    <row r="37" customFormat="false" ht="15" hidden="false" customHeight="false" outlineLevel="0" collapsed="false">
      <c r="A37" s="12" t="s">
        <v>150</v>
      </c>
      <c r="B37" s="26"/>
      <c r="C37" s="26"/>
      <c r="D37" s="26"/>
      <c r="E37" s="26"/>
      <c r="F37" s="26"/>
      <c r="G37" s="26"/>
      <c r="H37" s="26"/>
      <c r="I37" s="26"/>
      <c r="J37" s="26"/>
      <c r="K37" s="26"/>
      <c r="L37" s="26"/>
    </row>
    <row r="38" customFormat="false" ht="15" hidden="false" customHeight="false" outlineLevel="0" collapsed="false">
      <c r="A38" s="0" t="s">
        <v>134</v>
      </c>
      <c r="B38" s="22" t="n">
        <v>20.7</v>
      </c>
      <c r="C38" s="22" t="n">
        <v>20.7</v>
      </c>
      <c r="D38" s="22" t="n">
        <v>20.7</v>
      </c>
      <c r="E38" s="22" t="n">
        <v>20.6</v>
      </c>
      <c r="F38" s="22" t="n">
        <v>20.6</v>
      </c>
      <c r="G38" s="27" t="n">
        <f aca="false">F38*(1+$F39+($L39-$F39)*G$17/5)</f>
        <v>20.5794</v>
      </c>
      <c r="H38" s="27" t="n">
        <f aca="false">G38*(1+$F39+($L39-$F39)*H$17/5)</f>
        <v>20.5382412</v>
      </c>
      <c r="I38" s="27" t="n">
        <f aca="false">H38*(1+$F39+($L39-$F39)*I$17/5)</f>
        <v>20.4766264764</v>
      </c>
      <c r="J38" s="27" t="n">
        <f aca="false">I38*(1+$F39+($L39-$F39)*J$17/5)</f>
        <v>20.3947199704944</v>
      </c>
      <c r="K38" s="27" t="n">
        <f aca="false">J38*(1+$F39+($L39-$F39)*K$17/5)</f>
        <v>20.2927463706419</v>
      </c>
      <c r="L38" s="27" t="n">
        <f aca="false">K38*(1+L39)</f>
        <v>20.1912826387887</v>
      </c>
    </row>
    <row r="39" customFormat="false" ht="15" hidden="false" customHeight="false" outlineLevel="0" collapsed="false">
      <c r="A39" s="0" t="s">
        <v>135</v>
      </c>
      <c r="B39" s="6" t="n">
        <f aca="false">B38/$B$12-1</f>
        <v>0.00485436893203883</v>
      </c>
      <c r="C39" s="6" t="n">
        <f aca="false">C38/B38-1</f>
        <v>0</v>
      </c>
      <c r="D39" s="6" t="n">
        <f aca="false">D38/C38-1</f>
        <v>0</v>
      </c>
      <c r="E39" s="6" t="n">
        <f aca="false">E38/D38-1</f>
        <v>-0.00483091787439605</v>
      </c>
      <c r="F39" s="6" t="n">
        <f aca="false">F38/E38-1</f>
        <v>0</v>
      </c>
      <c r="G39" s="6" t="n">
        <f aca="false">G38/F38-1</f>
        <v>-0.00100000000000011</v>
      </c>
      <c r="H39" s="6" t="n">
        <f aca="false">H38/G38-1</f>
        <v>-0.00200000000000011</v>
      </c>
      <c r="I39" s="6" t="n">
        <f aca="false">I38/H38-1</f>
        <v>-0.00300000000000011</v>
      </c>
      <c r="J39" s="6" t="n">
        <f aca="false">J38/I38-1</f>
        <v>-0.004</v>
      </c>
      <c r="K39" s="6" t="n">
        <f aca="false">K38/J38-1</f>
        <v>-0.00499999999999989</v>
      </c>
      <c r="L39" s="28" t="n">
        <v>-0.005</v>
      </c>
    </row>
    <row r="40" customFormat="false" ht="15" hidden="false" customHeight="false" outlineLevel="0" collapsed="false">
      <c r="A40" s="0" t="s">
        <v>136</v>
      </c>
      <c r="B40" s="29" t="n">
        <v>0.61</v>
      </c>
      <c r="C40" s="29" t="n">
        <v>0.61</v>
      </c>
      <c r="D40" s="29" t="n">
        <v>0.61</v>
      </c>
      <c r="E40" s="29" t="n">
        <v>0.61</v>
      </c>
      <c r="F40" s="29" t="n">
        <v>0.61</v>
      </c>
      <c r="G40" s="6" t="n">
        <f aca="false">$F40+($L40-$F40)*G$17/5</f>
        <v>0.606</v>
      </c>
      <c r="H40" s="6" t="n">
        <f aca="false">$F40+($L40-$F40)*H$17/5</f>
        <v>0.602</v>
      </c>
      <c r="I40" s="6" t="n">
        <f aca="false">$F40+($L40-$F40)*I$17/5</f>
        <v>0.598</v>
      </c>
      <c r="J40" s="6" t="n">
        <f aca="false">$F40+($L40-$F40)*J$17/5</f>
        <v>0.594</v>
      </c>
      <c r="K40" s="6" t="n">
        <f aca="false">$F40+($L40-$F40)*K$17/5</f>
        <v>0.59</v>
      </c>
      <c r="L40" s="28" t="n">
        <v>0.59</v>
      </c>
    </row>
    <row r="41" customFormat="false" ht="15" hidden="false" customHeight="false" outlineLevel="0" collapsed="false">
      <c r="A41" s="0" t="s">
        <v>137</v>
      </c>
      <c r="B41" s="27" t="n">
        <f aca="false">B38*B40</f>
        <v>12.627</v>
      </c>
      <c r="C41" s="27" t="n">
        <f aca="false">C38*C40</f>
        <v>12.627</v>
      </c>
      <c r="D41" s="27" t="n">
        <f aca="false">D38*D40</f>
        <v>12.627</v>
      </c>
      <c r="E41" s="27" t="n">
        <f aca="false">E38*E40</f>
        <v>12.566</v>
      </c>
      <c r="F41" s="27" t="n">
        <f aca="false">F38*F40</f>
        <v>12.566</v>
      </c>
      <c r="G41" s="27" t="n">
        <f aca="false">G38*G40</f>
        <v>12.4711164</v>
      </c>
      <c r="H41" s="27" t="n">
        <f aca="false">H38*H40</f>
        <v>12.3640212024</v>
      </c>
      <c r="I41" s="27" t="n">
        <f aca="false">I38*I40</f>
        <v>12.2450226328872</v>
      </c>
      <c r="J41" s="27" t="n">
        <f aca="false">J38*J40</f>
        <v>12.1144636624737</v>
      </c>
      <c r="K41" s="27" t="n">
        <f aca="false">K38*K40</f>
        <v>11.9727203586787</v>
      </c>
      <c r="L41" s="27" t="n">
        <f aca="false">L38*L40</f>
        <v>11.9128567568853</v>
      </c>
    </row>
    <row r="42" customFormat="false" ht="15" hidden="false" customHeight="false" outlineLevel="0" collapsed="false">
      <c r="A42" s="0" t="s">
        <v>138</v>
      </c>
      <c r="B42" s="27" t="n">
        <f aca="false">B41*(1-$B$9)</f>
        <v>9.659655</v>
      </c>
      <c r="C42" s="27" t="n">
        <f aca="false">C41*(1-$B$9)</f>
        <v>9.659655</v>
      </c>
      <c r="D42" s="27" t="n">
        <f aca="false">D41*(1-$B$9)</f>
        <v>9.659655</v>
      </c>
      <c r="E42" s="27" t="n">
        <f aca="false">E41*(1-$B$9)</f>
        <v>9.61299</v>
      </c>
      <c r="F42" s="27" t="n">
        <f aca="false">F41*(1-$B$9)</f>
        <v>9.61299</v>
      </c>
      <c r="G42" s="27" t="n">
        <f aca="false">G41*(1-$B$9)</f>
        <v>9.540404046</v>
      </c>
      <c r="H42" s="27" t="n">
        <f aca="false">H41*(1-$B$9)</f>
        <v>9.458476219836</v>
      </c>
      <c r="I42" s="27" t="n">
        <f aca="false">I41*(1-$B$9)</f>
        <v>9.36744231415871</v>
      </c>
      <c r="J42" s="27" t="n">
        <f aca="false">J41*(1-$B$9)</f>
        <v>9.26756470179236</v>
      </c>
      <c r="K42" s="27" t="n">
        <f aca="false">K41*(1-$B$9)</f>
        <v>9.15913107438923</v>
      </c>
      <c r="L42" s="27" t="n">
        <f aca="false">L41*(1-$B$9)</f>
        <v>9.11333541901729</v>
      </c>
    </row>
    <row r="43" customFormat="false" ht="15" hidden="false" customHeight="false" outlineLevel="0" collapsed="false">
      <c r="A43" s="0" t="s">
        <v>139</v>
      </c>
      <c r="B43" s="29" t="n">
        <v>0.005</v>
      </c>
      <c r="C43" s="29" t="n">
        <v>0.005</v>
      </c>
      <c r="D43" s="29" t="n">
        <v>0.005</v>
      </c>
      <c r="E43" s="29" t="n">
        <v>0.005</v>
      </c>
      <c r="F43" s="29" t="n">
        <v>0.005</v>
      </c>
      <c r="G43" s="6" t="n">
        <f aca="false">$F43+($L43-$F43)*G$17/5</f>
        <v>0.005</v>
      </c>
      <c r="H43" s="6" t="n">
        <f aca="false">$F43+($L43-$F43)*H$17/5</f>
        <v>0.005</v>
      </c>
      <c r="I43" s="6" t="n">
        <f aca="false">$F43+($L43-$F43)*I$17/5</f>
        <v>0.005</v>
      </c>
      <c r="J43" s="6" t="n">
        <f aca="false">$F43+($L43-$F43)*J$17/5</f>
        <v>0.005</v>
      </c>
      <c r="K43" s="6" t="n">
        <f aca="false">$F43+($L43-$F43)*K$17/5</f>
        <v>0.005</v>
      </c>
      <c r="L43" s="28" t="n">
        <v>0.005</v>
      </c>
    </row>
    <row r="44" customFormat="false" ht="15" hidden="false" customHeight="false" outlineLevel="0" collapsed="false">
      <c r="A44" s="0" t="s">
        <v>140</v>
      </c>
      <c r="B44" s="27" t="n">
        <f aca="false">B38*B43</f>
        <v>0.1035</v>
      </c>
      <c r="C44" s="27" t="n">
        <f aca="false">C38*C43</f>
        <v>0.1035</v>
      </c>
      <c r="D44" s="27" t="n">
        <f aca="false">D38*D43</f>
        <v>0.1035</v>
      </c>
      <c r="E44" s="27" t="n">
        <f aca="false">E38*E43</f>
        <v>0.103</v>
      </c>
      <c r="F44" s="27" t="n">
        <f aca="false">F38*F43</f>
        <v>0.103</v>
      </c>
      <c r="G44" s="27" t="n">
        <f aca="false">G38*G43</f>
        <v>0.102897</v>
      </c>
      <c r="H44" s="27" t="n">
        <f aca="false">H38*H43</f>
        <v>0.102691206</v>
      </c>
      <c r="I44" s="27" t="n">
        <f aca="false">I38*I43</f>
        <v>0.102383132382</v>
      </c>
      <c r="J44" s="27" t="n">
        <f aca="false">J38*J43</f>
        <v>0.101973599852472</v>
      </c>
      <c r="K44" s="27" t="n">
        <f aca="false">K38*K43</f>
        <v>0.10146373185321</v>
      </c>
      <c r="L44" s="27" t="n">
        <f aca="false">L38*L43</f>
        <v>0.100956413193944</v>
      </c>
    </row>
    <row r="45" customFormat="false" ht="15" hidden="false" customHeight="false" outlineLevel="0" collapsed="false">
      <c r="A45" s="0" t="s">
        <v>141</v>
      </c>
      <c r="B45" s="27" t="n">
        <f aca="false">$B$11*(B38-$B$12)</f>
        <v>0</v>
      </c>
      <c r="C45" s="27" t="n">
        <f aca="false">$B$11*(C38-B38)</f>
        <v>0</v>
      </c>
      <c r="D45" s="27" t="n">
        <f aca="false">$B$11*(D38-C38)</f>
        <v>0</v>
      </c>
      <c r="E45" s="27" t="n">
        <f aca="false">$B$11*(E38-D38)</f>
        <v>-0</v>
      </c>
      <c r="F45" s="27" t="n">
        <f aca="false">$B$11*(F38-E38)</f>
        <v>0</v>
      </c>
      <c r="G45" s="27" t="n">
        <f aca="false">$B$11*(G38-F38)</f>
        <v>-0</v>
      </c>
      <c r="H45" s="27" t="n">
        <f aca="false">$B$11*(H38-G38)</f>
        <v>-0</v>
      </c>
      <c r="I45" s="27" t="n">
        <f aca="false">$B$11*(I38-H38)</f>
        <v>-0</v>
      </c>
      <c r="J45" s="27" t="n">
        <f aca="false">$B$11*(J38-I38)</f>
        <v>-0</v>
      </c>
      <c r="K45" s="27" t="n">
        <f aca="false">$B$11*(K38-J38)</f>
        <v>-0</v>
      </c>
      <c r="L45" s="27" t="n">
        <f aca="false">$B$11*(L38-K38)</f>
        <v>-0</v>
      </c>
    </row>
    <row r="46" customFormat="false" ht="15" hidden="false" customHeight="false" outlineLevel="0" collapsed="false">
      <c r="A46" s="0" t="s">
        <v>142</v>
      </c>
      <c r="B46" s="27" t="n">
        <f aca="false">B42-B44-B45</f>
        <v>9.556155</v>
      </c>
      <c r="C46" s="27" t="n">
        <f aca="false">C42-C44-C45</f>
        <v>9.556155</v>
      </c>
      <c r="D46" s="27" t="n">
        <f aca="false">D42-D44-D45</f>
        <v>9.556155</v>
      </c>
      <c r="E46" s="27" t="n">
        <f aca="false">E42-E44-E45</f>
        <v>9.50999</v>
      </c>
      <c r="F46" s="27" t="n">
        <f aca="false">F42-F44-F45</f>
        <v>9.50999</v>
      </c>
      <c r="G46" s="27" t="n">
        <f aca="false">G42-G44-G45</f>
        <v>9.437507046</v>
      </c>
      <c r="H46" s="27" t="n">
        <f aca="false">H42-H44-H45</f>
        <v>9.355785013836</v>
      </c>
      <c r="I46" s="27" t="n">
        <f aca="false">I42-I44-I45</f>
        <v>9.26505918177671</v>
      </c>
      <c r="J46" s="27" t="n">
        <f aca="false">J42-J44-J45</f>
        <v>9.16559110193989</v>
      </c>
      <c r="K46" s="27" t="n">
        <f aca="false">K42-K44-K45</f>
        <v>9.05766734253602</v>
      </c>
      <c r="L46" s="27" t="n">
        <f aca="false">L42-L44-L45</f>
        <v>9.01237900582335</v>
      </c>
    </row>
    <row r="47" customFormat="false" ht="15" hidden="false" customHeight="false" outlineLevel="0" collapsed="false">
      <c r="A47" s="0" t="s">
        <v>143</v>
      </c>
      <c r="B47" s="30" t="n">
        <f aca="false">1/(1+$B$10)^B$16</f>
        <v>0.962250448649376</v>
      </c>
      <c r="C47" s="30" t="n">
        <f aca="false">1/(1+$B$10)^C$16</f>
        <v>0.890972637638311</v>
      </c>
      <c r="D47" s="30" t="n">
        <f aca="false">1/(1+$B$10)^D$16</f>
        <v>0.824974664479918</v>
      </c>
      <c r="E47" s="30" t="n">
        <f aca="false">1/(1+$B$10)^E$16</f>
        <v>0.763865430073998</v>
      </c>
      <c r="F47" s="30" t="n">
        <f aca="false">1/(1+$B$10)^F$16</f>
        <v>0.707282805624072</v>
      </c>
      <c r="G47" s="30" t="n">
        <f aca="false">1/(1+$B$10)^G$16</f>
        <v>0.654891486688956</v>
      </c>
      <c r="H47" s="30" t="n">
        <f aca="false">1/(1+$B$10)^H$16</f>
        <v>0.606381006193477</v>
      </c>
      <c r="I47" s="30" t="n">
        <f aca="false">1/(1+$B$10)^I$16</f>
        <v>0.56146389462359</v>
      </c>
      <c r="J47" s="30" t="n">
        <f aca="false">1/(1+$B$10)^J$16</f>
        <v>0.519873976503324</v>
      </c>
      <c r="K47" s="30" t="n">
        <f aca="false">1/(1+$B$10)^K$16</f>
        <v>0.481364793058633</v>
      </c>
    </row>
    <row r="48" customFormat="false" ht="15" hidden="false" customHeight="false" outlineLevel="0" collapsed="false">
      <c r="A48" s="0" t="s">
        <v>144</v>
      </c>
      <c r="B48" s="27" t="n">
        <f aca="false">B46*B47</f>
        <v>9.19541443611298</v>
      </c>
      <c r="C48" s="27" t="n">
        <f aca="false">C46*C47</f>
        <v>8.51427262603054</v>
      </c>
      <c r="D48" s="27" t="n">
        <f aca="false">D46*D47</f>
        <v>7.88358576484309</v>
      </c>
      <c r="E48" s="27" t="n">
        <f aca="false">E46*E47</f>
        <v>7.26435260134942</v>
      </c>
      <c r="F48" s="27" t="n">
        <f aca="false">F46*F47</f>
        <v>6.72625240865687</v>
      </c>
      <c r="G48" s="27" t="n">
        <f aca="false">G46*G47</f>
        <v>6.18054301999243</v>
      </c>
      <c r="H48" s="27" t="n">
        <f aca="false">H46*H47</f>
        <v>5.67317033041973</v>
      </c>
      <c r="I48" s="27" t="n">
        <f aca="false">I46*I47</f>
        <v>5.2019962121184</v>
      </c>
      <c r="J48" s="27" t="n">
        <f aca="false">J46*J47</f>
        <v>4.76495229316897</v>
      </c>
      <c r="K48" s="27" t="n">
        <f aca="false">K46*K47</f>
        <v>4.3600421659338</v>
      </c>
      <c r="L48" s="27"/>
    </row>
    <row r="49" customFormat="false" ht="15" hidden="false" customHeight="false" outlineLevel="0" collapsed="false">
      <c r="A49" s="0" t="s">
        <v>145</v>
      </c>
      <c r="B49" s="27" t="n">
        <f aca="false">L46/($B$10-L39)</f>
        <v>106.027988303804</v>
      </c>
      <c r="C49" s="0" t="str">
        <f aca="false">IF($B$10&gt;L39,"","Discount rate must exceed terminal growth")</f>
        <v/>
      </c>
    </row>
    <row r="50" customFormat="false" ht="15" hidden="false" customHeight="false" outlineLevel="0" collapsed="false">
      <c r="A50" s="0" t="s">
        <v>146</v>
      </c>
      <c r="B50" s="27" t="n">
        <f aca="false">B49/(1+$B$10)^$K$16</f>
        <v>51.0381406482838</v>
      </c>
    </row>
    <row r="51" customFormat="false" ht="15" hidden="false" customHeight="false" outlineLevel="0" collapsed="false">
      <c r="A51" s="0" t="s">
        <v>147</v>
      </c>
      <c r="B51" s="27" t="n">
        <f aca="false">SUM(B48:K48)+B50+$B$7+$B$8</f>
        <v>105.40272250691</v>
      </c>
    </row>
    <row r="52" customFormat="false" ht="15" hidden="false" customHeight="false" outlineLevel="0" collapsed="false">
      <c r="A52" s="0" t="s">
        <v>148</v>
      </c>
      <c r="B52" s="31" t="n">
        <f aca="false">B51/$B$6</f>
        <v>63.1154026987486</v>
      </c>
    </row>
    <row r="53" customFormat="false" ht="15" hidden="false" customHeight="false" outlineLevel="0" collapsed="false">
      <c r="A53" s="0" t="s">
        <v>149</v>
      </c>
      <c r="B53" s="6" t="n">
        <f aca="false">B52/$B$4-1</f>
        <v>-0.158012237209865</v>
      </c>
    </row>
    <row r="55" customFormat="false" ht="15" hidden="false" customHeight="false" outlineLevel="0" collapsed="false">
      <c r="A55" s="12" t="s">
        <v>151</v>
      </c>
      <c r="B55" s="26"/>
      <c r="C55" s="26"/>
      <c r="D55" s="26"/>
      <c r="E55" s="26"/>
      <c r="F55" s="26"/>
      <c r="G55" s="26"/>
      <c r="H55" s="26"/>
      <c r="I55" s="26"/>
      <c r="J55" s="26"/>
      <c r="K55" s="26"/>
      <c r="L55" s="26"/>
    </row>
    <row r="56" customFormat="false" ht="15" hidden="false" customHeight="false" outlineLevel="0" collapsed="false">
      <c r="A56" s="0" t="s">
        <v>134</v>
      </c>
      <c r="B56" s="22" t="n">
        <v>20.9</v>
      </c>
      <c r="C56" s="22" t="n">
        <v>21.3</v>
      </c>
      <c r="D56" s="22" t="n">
        <v>21.7</v>
      </c>
      <c r="E56" s="22" t="n">
        <v>22.1</v>
      </c>
      <c r="F56" s="22" t="n">
        <v>22.5</v>
      </c>
      <c r="G56" s="27" t="n">
        <f aca="false">F56*(1+$F57+($L57-$F57)*G$17/5)</f>
        <v>22.8707918552036</v>
      </c>
      <c r="H56" s="27" t="n">
        <f aca="false">G56*(1+$F57+($L57-$F57)*H$17/5)</f>
        <v>23.2106456129072</v>
      </c>
      <c r="I56" s="27" t="n">
        <f aca="false">H56*(1+$F57+($L57-$F57)*I$17/5)</f>
        <v>23.5179503598003</v>
      </c>
      <c r="J56" s="27" t="n">
        <f aca="false">I56*(1+$F57+($L57-$F57)*J$17/5)</f>
        <v>23.7912268146598</v>
      </c>
      <c r="K56" s="27" t="n">
        <f aca="false">J56*(1+$F57+($L57-$F57)*K$17/5)</f>
        <v>24.0291390828064</v>
      </c>
      <c r="L56" s="27" t="n">
        <f aca="false">K56*(1+L57)</f>
        <v>24.2694304736345</v>
      </c>
    </row>
    <row r="57" customFormat="false" ht="15" hidden="false" customHeight="false" outlineLevel="0" collapsed="false">
      <c r="A57" s="0" t="s">
        <v>135</v>
      </c>
      <c r="B57" s="6" t="n">
        <f aca="false">B56/$B$12-1</f>
        <v>0.0145631067961163</v>
      </c>
      <c r="C57" s="6" t="n">
        <f aca="false">C56/B56-1</f>
        <v>0.0191387559808613</v>
      </c>
      <c r="D57" s="6" t="n">
        <f aca="false">D56/C56-1</f>
        <v>0.0187793427230045</v>
      </c>
      <c r="E57" s="6" t="n">
        <f aca="false">E56/D56-1</f>
        <v>0.0184331797235024</v>
      </c>
      <c r="F57" s="6" t="n">
        <f aca="false">F56/E56-1</f>
        <v>0.0180995475113122</v>
      </c>
      <c r="G57" s="6" t="n">
        <f aca="false">G56/F56-1</f>
        <v>0.0164796380090497</v>
      </c>
      <c r="H57" s="6" t="n">
        <f aca="false">H56/G56-1</f>
        <v>0.0148597285067873</v>
      </c>
      <c r="I57" s="6" t="n">
        <f aca="false">I56/H56-1</f>
        <v>0.0132398190045249</v>
      </c>
      <c r="J57" s="6" t="n">
        <f aca="false">J56/I56-1</f>
        <v>0.0116199095022624</v>
      </c>
      <c r="K57" s="6" t="n">
        <f aca="false">K56/J56-1</f>
        <v>0.01</v>
      </c>
      <c r="L57" s="28" t="n">
        <v>0.01</v>
      </c>
    </row>
    <row r="58" customFormat="false" ht="15" hidden="false" customHeight="false" outlineLevel="0" collapsed="false">
      <c r="A58" s="0" t="s">
        <v>136</v>
      </c>
      <c r="B58" s="29" t="n">
        <v>0.615</v>
      </c>
      <c r="C58" s="29" t="n">
        <v>0.62</v>
      </c>
      <c r="D58" s="29" t="n">
        <v>0.62</v>
      </c>
      <c r="E58" s="29" t="n">
        <v>0.62</v>
      </c>
      <c r="F58" s="29" t="n">
        <v>0.62</v>
      </c>
      <c r="G58" s="6" t="n">
        <f aca="false">$F58+($L58-$F58)*G$17/5</f>
        <v>0.618</v>
      </c>
      <c r="H58" s="6" t="n">
        <f aca="false">$F58+($L58-$F58)*H$17/5</f>
        <v>0.616</v>
      </c>
      <c r="I58" s="6" t="n">
        <f aca="false">$F58+($L58-$F58)*I$17/5</f>
        <v>0.614</v>
      </c>
      <c r="J58" s="6" t="n">
        <f aca="false">$F58+($L58-$F58)*J$17/5</f>
        <v>0.612</v>
      </c>
      <c r="K58" s="6" t="n">
        <f aca="false">$F58+($L58-$F58)*K$17/5</f>
        <v>0.61</v>
      </c>
      <c r="L58" s="28" t="n">
        <v>0.61</v>
      </c>
    </row>
    <row r="59" customFormat="false" ht="15" hidden="false" customHeight="false" outlineLevel="0" collapsed="false">
      <c r="A59" s="0" t="s">
        <v>137</v>
      </c>
      <c r="B59" s="27" t="n">
        <f aca="false">B56*B58</f>
        <v>12.8535</v>
      </c>
      <c r="C59" s="27" t="n">
        <f aca="false">C56*C58</f>
        <v>13.206</v>
      </c>
      <c r="D59" s="27" t="n">
        <f aca="false">D56*D58</f>
        <v>13.454</v>
      </c>
      <c r="E59" s="27" t="n">
        <f aca="false">E56*E58</f>
        <v>13.702</v>
      </c>
      <c r="F59" s="27" t="n">
        <f aca="false">F56*F58</f>
        <v>13.95</v>
      </c>
      <c r="G59" s="27" t="n">
        <f aca="false">G56*G58</f>
        <v>14.1341493665158</v>
      </c>
      <c r="H59" s="27" t="n">
        <f aca="false">H56*H58</f>
        <v>14.2977576975508</v>
      </c>
      <c r="I59" s="27" t="n">
        <f aca="false">I56*I58</f>
        <v>14.4400215209174</v>
      </c>
      <c r="J59" s="27" t="n">
        <f aca="false">J56*J58</f>
        <v>14.5602308105718</v>
      </c>
      <c r="K59" s="27" t="n">
        <f aca="false">K56*K58</f>
        <v>14.6577748405119</v>
      </c>
      <c r="L59" s="27" t="n">
        <f aca="false">L56*L58</f>
        <v>14.804352588917</v>
      </c>
    </row>
    <row r="60" customFormat="false" ht="15" hidden="false" customHeight="false" outlineLevel="0" collapsed="false">
      <c r="A60" s="0" t="s">
        <v>138</v>
      </c>
      <c r="B60" s="27" t="n">
        <f aca="false">B59*(1-$B$9)</f>
        <v>9.8329275</v>
      </c>
      <c r="C60" s="27" t="n">
        <f aca="false">C59*(1-$B$9)</f>
        <v>10.10259</v>
      </c>
      <c r="D60" s="27" t="n">
        <f aca="false">D59*(1-$B$9)</f>
        <v>10.29231</v>
      </c>
      <c r="E60" s="27" t="n">
        <f aca="false">E59*(1-$B$9)</f>
        <v>10.48203</v>
      </c>
      <c r="F60" s="27" t="n">
        <f aca="false">F59*(1-$B$9)</f>
        <v>10.67175</v>
      </c>
      <c r="G60" s="27" t="n">
        <f aca="false">G59*(1-$B$9)</f>
        <v>10.8126242653846</v>
      </c>
      <c r="H60" s="27" t="n">
        <f aca="false">H59*(1-$B$9)</f>
        <v>10.9377846386264</v>
      </c>
      <c r="I60" s="27" t="n">
        <f aca="false">I59*(1-$B$9)</f>
        <v>11.0466164635018</v>
      </c>
      <c r="J60" s="27" t="n">
        <f aca="false">J59*(1-$B$9)</f>
        <v>11.1385765700874</v>
      </c>
      <c r="K60" s="27" t="n">
        <f aca="false">K59*(1-$B$9)</f>
        <v>11.2131977529916</v>
      </c>
      <c r="L60" s="27" t="n">
        <f aca="false">L59*(1-$B$9)</f>
        <v>11.3253297305215</v>
      </c>
    </row>
    <row r="61" customFormat="false" ht="15" hidden="false" customHeight="false" outlineLevel="0" collapsed="false">
      <c r="A61" s="0" t="s">
        <v>139</v>
      </c>
      <c r="B61" s="29" t="n">
        <v>0.006</v>
      </c>
      <c r="C61" s="29" t="n">
        <v>0.006</v>
      </c>
      <c r="D61" s="29" t="n">
        <v>0.006</v>
      </c>
      <c r="E61" s="29" t="n">
        <v>0.006</v>
      </c>
      <c r="F61" s="29" t="n">
        <v>0.006</v>
      </c>
      <c r="G61" s="6" t="n">
        <f aca="false">$F61+($L61-$F61)*G$17/5</f>
        <v>0.006</v>
      </c>
      <c r="H61" s="6" t="n">
        <f aca="false">$F61+($L61-$F61)*H$17/5</f>
        <v>0.006</v>
      </c>
      <c r="I61" s="6" t="n">
        <f aca="false">$F61+($L61-$F61)*I$17/5</f>
        <v>0.006</v>
      </c>
      <c r="J61" s="6" t="n">
        <f aca="false">$F61+($L61-$F61)*J$17/5</f>
        <v>0.006</v>
      </c>
      <c r="K61" s="6" t="n">
        <f aca="false">$F61+($L61-$F61)*K$17/5</f>
        <v>0.006</v>
      </c>
      <c r="L61" s="28" t="n">
        <v>0.006</v>
      </c>
    </row>
    <row r="62" customFormat="false" ht="15" hidden="false" customHeight="false" outlineLevel="0" collapsed="false">
      <c r="A62" s="0" t="s">
        <v>140</v>
      </c>
      <c r="B62" s="27" t="n">
        <f aca="false">B56*B61</f>
        <v>0.1254</v>
      </c>
      <c r="C62" s="27" t="n">
        <f aca="false">C56*C61</f>
        <v>0.1278</v>
      </c>
      <c r="D62" s="27" t="n">
        <f aca="false">D56*D61</f>
        <v>0.1302</v>
      </c>
      <c r="E62" s="27" t="n">
        <f aca="false">E56*E61</f>
        <v>0.1326</v>
      </c>
      <c r="F62" s="27" t="n">
        <f aca="false">F56*F61</f>
        <v>0.135</v>
      </c>
      <c r="G62" s="27" t="n">
        <f aca="false">G56*G61</f>
        <v>0.137224751131222</v>
      </c>
      <c r="H62" s="27" t="n">
        <f aca="false">H56*H61</f>
        <v>0.139263873677443</v>
      </c>
      <c r="I62" s="27" t="n">
        <f aca="false">I56*I61</f>
        <v>0.141107702158802</v>
      </c>
      <c r="J62" s="27" t="n">
        <f aca="false">J56*J61</f>
        <v>0.142747360887959</v>
      </c>
      <c r="K62" s="27" t="n">
        <f aca="false">K56*K61</f>
        <v>0.144174834496839</v>
      </c>
      <c r="L62" s="27" t="n">
        <f aca="false">L56*L61</f>
        <v>0.145616582841807</v>
      </c>
    </row>
    <row r="63" customFormat="false" ht="15" hidden="false" customHeight="false" outlineLevel="0" collapsed="false">
      <c r="A63" s="0" t="s">
        <v>141</v>
      </c>
      <c r="B63" s="27" t="n">
        <f aca="false">$B$11*(B56-$B$12)</f>
        <v>0</v>
      </c>
      <c r="C63" s="27" t="n">
        <f aca="false">$B$11*(C56-B56)</f>
        <v>0</v>
      </c>
      <c r="D63" s="27" t="n">
        <f aca="false">$B$11*(D56-C56)</f>
        <v>0</v>
      </c>
      <c r="E63" s="27" t="n">
        <f aca="false">$B$11*(E56-D56)</f>
        <v>0</v>
      </c>
      <c r="F63" s="27" t="n">
        <f aca="false">$B$11*(F56-E56)</f>
        <v>0</v>
      </c>
      <c r="G63" s="27" t="n">
        <f aca="false">$B$11*(G56-F56)</f>
        <v>0</v>
      </c>
      <c r="H63" s="27" t="n">
        <f aca="false">$B$11*(H56-G56)</f>
        <v>0</v>
      </c>
      <c r="I63" s="27" t="n">
        <f aca="false">$B$11*(I56-H56)</f>
        <v>0</v>
      </c>
      <c r="J63" s="27" t="n">
        <f aca="false">$B$11*(J56-I56)</f>
        <v>0</v>
      </c>
      <c r="K63" s="27" t="n">
        <f aca="false">$B$11*(K56-J56)</f>
        <v>0</v>
      </c>
      <c r="L63" s="27" t="n">
        <f aca="false">$B$11*(L56-K56)</f>
        <v>0</v>
      </c>
    </row>
    <row r="64" customFormat="false" ht="15" hidden="false" customHeight="false" outlineLevel="0" collapsed="false">
      <c r="A64" s="0" t="s">
        <v>142</v>
      </c>
      <c r="B64" s="27" t="n">
        <f aca="false">B60-B62-B63</f>
        <v>9.7075275</v>
      </c>
      <c r="C64" s="27" t="n">
        <f aca="false">C60-C62-C63</f>
        <v>9.97479</v>
      </c>
      <c r="D64" s="27" t="n">
        <f aca="false">D60-D62-D63</f>
        <v>10.16211</v>
      </c>
      <c r="E64" s="27" t="n">
        <f aca="false">E60-E62-E63</f>
        <v>10.34943</v>
      </c>
      <c r="F64" s="27" t="n">
        <f aca="false">F60-F62-F63</f>
        <v>10.53675</v>
      </c>
      <c r="G64" s="27" t="n">
        <f aca="false">G60-G62-G63</f>
        <v>10.6753995142534</v>
      </c>
      <c r="H64" s="27" t="n">
        <f aca="false">H60-H62-H63</f>
        <v>10.7985207649489</v>
      </c>
      <c r="I64" s="27" t="n">
        <f aca="false">I60-I62-I63</f>
        <v>10.905508761343</v>
      </c>
      <c r="J64" s="27" t="n">
        <f aca="false">J60-J62-J63</f>
        <v>10.9958292091995</v>
      </c>
      <c r="K64" s="27" t="n">
        <f aca="false">K60-K62-K63</f>
        <v>11.0690229184948</v>
      </c>
      <c r="L64" s="27" t="n">
        <f aca="false">L60-L62-L63</f>
        <v>11.1797131476797</v>
      </c>
    </row>
    <row r="65" customFormat="false" ht="15" hidden="false" customHeight="false" outlineLevel="0" collapsed="false">
      <c r="A65" s="0" t="s">
        <v>143</v>
      </c>
      <c r="B65" s="30" t="n">
        <f aca="false">1/(1+$B$10)^B$16</f>
        <v>0.962250448649376</v>
      </c>
      <c r="C65" s="30" t="n">
        <f aca="false">1/(1+$B$10)^C$16</f>
        <v>0.890972637638311</v>
      </c>
      <c r="D65" s="30" t="n">
        <f aca="false">1/(1+$B$10)^D$16</f>
        <v>0.824974664479918</v>
      </c>
      <c r="E65" s="30" t="n">
        <f aca="false">1/(1+$B$10)^E$16</f>
        <v>0.763865430073998</v>
      </c>
      <c r="F65" s="30" t="n">
        <f aca="false">1/(1+$B$10)^F$16</f>
        <v>0.707282805624072</v>
      </c>
      <c r="G65" s="30" t="n">
        <f aca="false">1/(1+$B$10)^G$16</f>
        <v>0.654891486688956</v>
      </c>
      <c r="H65" s="30" t="n">
        <f aca="false">1/(1+$B$10)^H$16</f>
        <v>0.606381006193477</v>
      </c>
      <c r="I65" s="30" t="n">
        <f aca="false">1/(1+$B$10)^I$16</f>
        <v>0.56146389462359</v>
      </c>
      <c r="J65" s="30" t="n">
        <f aca="false">1/(1+$B$10)^J$16</f>
        <v>0.519873976503324</v>
      </c>
      <c r="K65" s="30" t="n">
        <f aca="false">1/(1+$B$10)^K$16</f>
        <v>0.481364793058633</v>
      </c>
    </row>
    <row r="66" customFormat="false" ht="15" hidden="false" customHeight="false" outlineLevel="0" collapsed="false">
      <c r="A66" s="0" t="s">
        <v>144</v>
      </c>
      <c r="B66" s="27" t="n">
        <f aca="false">B64*B65</f>
        <v>9.34107269215116</v>
      </c>
      <c r="C66" s="27" t="n">
        <f aca="false">C64*C65</f>
        <v>8.88726495618825</v>
      </c>
      <c r="D66" s="27" t="n">
        <f aca="false">D64*D65</f>
        <v>8.38348328765802</v>
      </c>
      <c r="E66" s="27" t="n">
        <f aca="false">E64*E65</f>
        <v>7.90557179797074</v>
      </c>
      <c r="F66" s="27" t="n">
        <f aca="false">F64*F65</f>
        <v>7.45246210215944</v>
      </c>
      <c r="G66" s="27" t="n">
        <f aca="false">G64*G65</f>
        <v>6.99122825888796</v>
      </c>
      <c r="H66" s="27" t="n">
        <f aca="false">H64*H65</f>
        <v>6.5480178868509</v>
      </c>
      <c r="I66" s="27" t="n">
        <f aca="false">I64*I65</f>
        <v>6.12304942199531</v>
      </c>
      <c r="J66" s="27" t="n">
        <f aca="false">J64*J65</f>
        <v>5.71644545593794</v>
      </c>
      <c r="K66" s="27" t="n">
        <f aca="false">K64*K65</f>
        <v>5.32823792652251</v>
      </c>
      <c r="L66" s="27"/>
    </row>
    <row r="67" customFormat="false" ht="15" hidden="false" customHeight="false" outlineLevel="0" collapsed="false">
      <c r="A67" s="0" t="s">
        <v>145</v>
      </c>
      <c r="B67" s="27" t="n">
        <f aca="false">L64/($B$10-L57)</f>
        <v>159.710187823996</v>
      </c>
      <c r="C67" s="0" t="str">
        <f aca="false">IF($B$10&gt;L57,"","Discount rate must exceed terminal growth")</f>
        <v/>
      </c>
    </row>
    <row r="68" customFormat="false" ht="15" hidden="false" customHeight="false" outlineLevel="0" collapsed="false">
      <c r="A68" s="0" t="s">
        <v>146</v>
      </c>
      <c r="B68" s="27" t="n">
        <f aca="false">B67/(1+$B$10)^$K$16</f>
        <v>76.8788615112534</v>
      </c>
    </row>
    <row r="69" customFormat="false" ht="15" hidden="false" customHeight="false" outlineLevel="0" collapsed="false">
      <c r="A69" s="0" t="s">
        <v>147</v>
      </c>
      <c r="B69" s="27" t="n">
        <f aca="false">SUM(B66:K66)+B68+$B$7+$B$8</f>
        <v>138.155695297576</v>
      </c>
    </row>
    <row r="70" customFormat="false" ht="15" hidden="false" customHeight="false" outlineLevel="0" collapsed="false">
      <c r="A70" s="0" t="s">
        <v>148</v>
      </c>
      <c r="B70" s="31" t="n">
        <f aca="false">B69/$B$6</f>
        <v>82.7279612560333</v>
      </c>
    </row>
    <row r="71" customFormat="false" ht="15" hidden="false" customHeight="false" outlineLevel="0" collapsed="false">
      <c r="A71" s="0" t="s">
        <v>149</v>
      </c>
      <c r="B71" s="6" t="n">
        <f aca="false">B70/$B$4-1</f>
        <v>0.103628085059142</v>
      </c>
    </row>
    <row r="74" customFormat="false" ht="15" hidden="false" customHeight="false" outlineLevel="0" collapsed="false">
      <c r="A74" s="12" t="s">
        <v>152</v>
      </c>
      <c r="B74" s="26"/>
      <c r="C74" s="12" t="s">
        <v>153</v>
      </c>
      <c r="D74" s="26"/>
      <c r="E74" s="26"/>
      <c r="F74" s="26"/>
      <c r="G74" s="26"/>
      <c r="H74" s="26"/>
      <c r="I74" s="26"/>
      <c r="J74" s="26"/>
      <c r="K74" s="26"/>
      <c r="L74" s="26"/>
    </row>
    <row r="75" customFormat="false" ht="15" hidden="false" customHeight="false" outlineLevel="0" collapsed="false">
      <c r="A75" s="0" t="s">
        <v>154</v>
      </c>
      <c r="B75" s="7" t="n">
        <f aca="false">B34</f>
        <v>41.9806626389654</v>
      </c>
      <c r="C75" s="6" t="n">
        <f aca="false">B75/$B$4-1</f>
        <v>-0.439959143023407</v>
      </c>
    </row>
    <row r="76" customFormat="false" ht="15" hidden="false" customHeight="false" outlineLevel="0" collapsed="false">
      <c r="A76" s="0" t="s">
        <v>155</v>
      </c>
      <c r="B76" s="7" t="n">
        <f aca="false">B52</f>
        <v>63.1154026987486</v>
      </c>
      <c r="C76" s="6" t="n">
        <f aca="false">B76/$B$4-1</f>
        <v>-0.158012237209865</v>
      </c>
    </row>
    <row r="77" customFormat="false" ht="15" hidden="false" customHeight="false" outlineLevel="0" collapsed="false">
      <c r="A77" s="0" t="s">
        <v>156</v>
      </c>
      <c r="B77" s="7" t="n">
        <f aca="false">B70</f>
        <v>82.7279612560333</v>
      </c>
      <c r="C77" s="6" t="n">
        <f aca="false">B77/$B$4-1</f>
        <v>0.103628085059142</v>
      </c>
    </row>
    <row r="78" customFormat="false" ht="15" hidden="false" customHeight="false" outlineLevel="0" collapsed="false">
      <c r="A78" s="0" t="s">
        <v>157</v>
      </c>
      <c r="B78" s="7" t="n">
        <f aca="false">INDEX(B34:B70,1+($B$13-1)*18)</f>
        <v>63.1154026987486</v>
      </c>
      <c r="C78" s="6" t="n">
        <f aca="false">B78/$B$4-1</f>
        <v>-0.158012237209865</v>
      </c>
    </row>
    <row r="79" customFormat="false" ht="15" hidden="false" customHeight="false" outlineLevel="0" collapsed="false">
      <c r="A79" s="0" t="s">
        <v>158</v>
      </c>
      <c r="B79" s="8" t="n">
        <f aca="false">B50/(SUM(B48:K48)+B50)</f>
        <v>0.436960197098697</v>
      </c>
    </row>
    <row r="81" customFormat="false" ht="15" hidden="false" customHeight="false" outlineLevel="0" collapsed="false">
      <c r="A81" s="9" t="s">
        <v>159</v>
      </c>
    </row>
    <row r="82" customFormat="false" ht="15" hidden="false" customHeight="false" outlineLevel="0" collapsed="false">
      <c r="A82" s="0" t="s">
        <v>5</v>
      </c>
      <c r="B82" s="11" t="n">
        <v>0.05</v>
      </c>
      <c r="C82" s="11" t="n">
        <v>0.06</v>
      </c>
      <c r="D82" s="11" t="n">
        <v>0.07</v>
      </c>
      <c r="E82" s="11" t="n">
        <v>0.08</v>
      </c>
      <c r="F82" s="11" t="n">
        <v>0.09</v>
      </c>
      <c r="G82" s="11" t="n">
        <v>0.1</v>
      </c>
      <c r="H82" s="11" t="n">
        <v>0.11</v>
      </c>
      <c r="I82" s="11" t="n">
        <v>0.12</v>
      </c>
      <c r="J82" s="11" t="n">
        <v>0.13</v>
      </c>
      <c r="K82" s="11" t="n">
        <v>0.14</v>
      </c>
    </row>
    <row r="83" customFormat="false" ht="15" hidden="false" customHeight="false" outlineLevel="0" collapsed="false">
      <c r="A83" s="0" t="s">
        <v>155</v>
      </c>
      <c r="B83" s="7" t="n">
        <f aca="false">IF(B82&gt;$L39,(SUMPRODUCT($B46:$K46/(1+B82)^$B$16:$K$16)+$L46/(B82-$L39)/(1+B82)^$K$16+$B$7+$B$8)/$B$6,"n/a")</f>
        <v>99.5252830010042</v>
      </c>
      <c r="C83" s="7" t="n">
        <f aca="false">IF(C82&gt;$L39,(SUMPRODUCT($B46:$K46/(1+C82)^$B$16:$K$16)+$L46/(C82-$L39)/(1+C82)^$K$16+$B$7+$B$8)/$B$6,"n/a")</f>
        <v>83.6620993679368</v>
      </c>
      <c r="D83" s="7" t="n">
        <f aca="false">IF(D82&gt;$L39,(SUMPRODUCT($B46:$K46/(1+D82)^$B$16:$K$16)+$L46/(D82-$L39)/(1+D82)^$K$16+$B$7+$B$8)/$B$6,"n/a")</f>
        <v>72.0221874782705</v>
      </c>
      <c r="E83" s="7" t="n">
        <f aca="false">IF(E82&gt;$L39,(SUMPRODUCT($B46:$K46/(1+E82)^$B$16:$K$16)+$L46/(E82-$L39)/(1+E82)^$K$16+$B$7+$B$8)/$B$6,"n/a")</f>
        <v>63.1154026987486</v>
      </c>
      <c r="F83" s="7" t="n">
        <f aca="false">IF(F82&gt;$L39,(SUMPRODUCT($B46:$K46/(1+F82)^$B$16:$K$16)+$L46/(F82-$L39)/(1+F82)^$K$16+$B$7+$B$8)/$B$6,"n/a")</f>
        <v>56.0789951634797</v>
      </c>
      <c r="G83" s="7" t="n">
        <f aca="false">IF(G82&gt;$L39,(SUMPRODUCT($B46:$K46/(1+G82)^$B$16:$K$16)+$L46/(G82-$L39)/(1+G82)^$K$16+$B$7+$B$8)/$B$6,"n/a")</f>
        <v>50.3788535623888</v>
      </c>
      <c r="H83" s="7" t="n">
        <f aca="false">IF(H82&gt;$L39,(SUMPRODUCT($B46:$K46/(1+H82)^$B$16:$K$16)+$L46/(H82-$L39)/(1+H82)^$K$16+$B$7+$B$8)/$B$6,"n/a")</f>
        <v>45.666621410567</v>
      </c>
      <c r="I83" s="7" t="n">
        <f aca="false">IF(I82&gt;$L39,(SUMPRODUCT($B46:$K46/(1+I82)^$B$16:$K$16)+$L46/(I82-$L39)/(1+I82)^$K$16+$B$7+$B$8)/$B$6,"n/a")</f>
        <v>41.7053972449586</v>
      </c>
      <c r="J83" s="7" t="n">
        <f aca="false">IF(J82&gt;$L39,(SUMPRODUCT($B46:$K46/(1+J82)^$B$16:$K$16)+$L46/(J82-$L39)/(1+J82)^$K$16+$B$7+$B$8)/$B$6,"n/a")</f>
        <v>38.3284567408634</v>
      </c>
      <c r="K83" s="7" t="n">
        <f aca="false">IF(K82&gt;$L39,(SUMPRODUCT($B46:$K46/(1+K82)^$B$16:$K$16)+$L46/(K82-$L39)/(1+K82)^$K$16+$B$7+$B$8)/$B$6,"n/a")</f>
        <v>35.4150551552775</v>
      </c>
    </row>
    <row r="84" customFormat="false" ht="15" hidden="false" customHeight="false" outlineLevel="0" collapsed="false">
      <c r="A84" s="0" t="s">
        <v>160</v>
      </c>
      <c r="B84" s="6" t="n">
        <f aca="false">IFERROR(B83/$B$4-1,"n/a")</f>
        <v>0.327711886352778</v>
      </c>
      <c r="C84" s="6" t="n">
        <f aca="false">IFERROR(C83/$B$4-1,"n/a")</f>
        <v>0.116089906189125</v>
      </c>
      <c r="D84" s="6" t="n">
        <f aca="false">IFERROR(D83/$B$4-1,"n/a")</f>
        <v>-0.0391917358821974</v>
      </c>
      <c r="E84" s="6" t="n">
        <f aca="false">IFERROR(E83/$B$4-1,"n/a")</f>
        <v>-0.158012237209865</v>
      </c>
      <c r="F84" s="6" t="n">
        <f aca="false">IFERROR(F83/$B$4-1,"n/a")</f>
        <v>-0.251881067723056</v>
      </c>
      <c r="G84" s="6" t="n">
        <f aca="false">IFERROR(G83/$B$4-1,"n/a")</f>
        <v>-0.327923511707726</v>
      </c>
      <c r="H84" s="6" t="n">
        <f aca="false">IFERROR(H83/$B$4-1,"n/a")</f>
        <v>-0.390786800819544</v>
      </c>
      <c r="I84" s="6" t="n">
        <f aca="false">IFERROR(I83/$B$4-1,"n/a")</f>
        <v>-0.443631306764159</v>
      </c>
      <c r="J84" s="6" t="n">
        <f aca="false">IFERROR(J83/$B$4-1,"n/a")</f>
        <v>-0.488681206765429</v>
      </c>
      <c r="K84" s="6" t="n">
        <f aca="false">IFERROR(K83/$B$4-1,"n/a")</f>
        <v>-0.527547289817536</v>
      </c>
    </row>
    <row r="86" customFormat="false" ht="15" hidden="false" customHeight="false" outlineLevel="0" collapsed="false">
      <c r="A86" s="9" t="s">
        <v>161</v>
      </c>
      <c r="B86" s="18" t="n">
        <f aca="false">IFERROR(IF(MATCH($B$4,$B$83:$K$83,-1)=10,"above 14%",INDEX($B$82:$K$82,MATCH($B$4,$B$83:$K$83,-1))+(INDEX($B$83:$K$83,MATCH($B$4,$B$83:$K$83,-1))-$B$4)/(INDEX($B$83:$K$83,MATCH($B$4,$B$83:$K$83,-1))-INDEX($B$83:$K$83,MATCH($B$4,$B$83:$K$83,-1)+1))*(INDEX($B$82:$K$82,MATCH($B$4,$B$83:$K$83,-1)+1)-INDEX($B$82:$K$82,MATCH($B$4,$B$83:$K$83,-1)))),"below 5%")</f>
        <v>0.0674760869759352</v>
      </c>
      <c r="C86"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1"/>
    <col collapsed="false" customWidth="true" hidden="false" outlineLevel="0" max="3" min="3" style="0" width="12"/>
    <col collapsed="false" customWidth="true" hidden="false" outlineLevel="0" max="12" min="4" style="0" width="11"/>
  </cols>
  <sheetData>
    <row r="1" customFormat="false" ht="16.15" hidden="false" customHeight="false" outlineLevel="0" collapsed="false">
      <c r="A1" s="1" t="s">
        <v>163</v>
      </c>
    </row>
    <row r="2" customFormat="false" ht="15" hidden="false" customHeight="false" outlineLevel="0" collapsed="false">
      <c r="A2" s="2" t="s">
        <v>100</v>
      </c>
    </row>
    <row r="4" customFormat="false" ht="15" hidden="false" customHeight="false" outlineLevel="0" collapsed="false">
      <c r="A4" s="0" t="s">
        <v>101</v>
      </c>
      <c r="B4" s="19" t="n">
        <v>93.27</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106</v>
      </c>
      <c r="B6" s="21" t="n">
        <v>4.3</v>
      </c>
      <c r="C6" s="2" t="s">
        <v>61</v>
      </c>
    </row>
    <row r="7" customFormat="false" ht="15" hidden="false" customHeight="false" outlineLevel="0" collapsed="false">
      <c r="A7" s="0" t="s">
        <v>107</v>
      </c>
      <c r="B7" s="22" t="n">
        <v>-27.89</v>
      </c>
      <c r="C7" s="2" t="s">
        <v>108</v>
      </c>
    </row>
    <row r="8" customFormat="false" ht="15" hidden="false" customHeight="false" outlineLevel="0" collapsed="false">
      <c r="A8" s="0" t="s">
        <v>109</v>
      </c>
      <c r="B8" s="22" t="n">
        <v>20.78</v>
      </c>
      <c r="C8" s="2" t="s">
        <v>164</v>
      </c>
    </row>
    <row r="9" customFormat="false" ht="15" hidden="false" customHeight="false" outlineLevel="0" collapsed="false">
      <c r="A9" s="0" t="s">
        <v>72</v>
      </c>
      <c r="B9" s="11" t="n">
        <v>0.19</v>
      </c>
      <c r="C9" s="2" t="s">
        <v>111</v>
      </c>
    </row>
    <row r="10" customFormat="false" ht="15" hidden="false" customHeight="false" outlineLevel="0" collapsed="false">
      <c r="A10" s="0" t="s">
        <v>112</v>
      </c>
      <c r="B10" s="23" t="n">
        <f aca="false">WACC!C29</f>
        <v>0.075</v>
      </c>
      <c r="C10" s="2" t="s">
        <v>113</v>
      </c>
    </row>
    <row r="11" customFormat="false" ht="15" hidden="false" customHeight="false" outlineLevel="0" collapsed="false">
      <c r="A11" s="0" t="s">
        <v>114</v>
      </c>
      <c r="B11" s="11" t="n">
        <v>0</v>
      </c>
      <c r="C11" s="2" t="s">
        <v>45</v>
      </c>
    </row>
    <row r="12" customFormat="false" ht="15" hidden="false" customHeight="false" outlineLevel="0" collapsed="false">
      <c r="A12" s="0" t="s">
        <v>115</v>
      </c>
      <c r="B12" s="22" t="n">
        <v>49.8</v>
      </c>
      <c r="C12" s="2" t="s">
        <v>165</v>
      </c>
    </row>
    <row r="13" customFormat="false" ht="15" hidden="false" customHeight="false" outlineLevel="0" collapsed="false">
      <c r="A13" s="0" t="s">
        <v>117</v>
      </c>
      <c r="B13" s="10" t="n">
        <v>2</v>
      </c>
      <c r="C13" s="2" t="s">
        <v>118</v>
      </c>
    </row>
    <row r="15" customFormat="false" ht="15" hidden="false" customHeight="false" outlineLevel="0" collapsed="false">
      <c r="A15" s="9" t="s">
        <v>119</v>
      </c>
      <c r="B15" s="24" t="s">
        <v>120</v>
      </c>
      <c r="C15" s="24" t="s">
        <v>121</v>
      </c>
      <c r="D15" s="24" t="s">
        <v>122</v>
      </c>
      <c r="E15" s="24" t="s">
        <v>123</v>
      </c>
      <c r="F15" s="24" t="s">
        <v>124</v>
      </c>
      <c r="G15" s="24" t="s">
        <v>125</v>
      </c>
      <c r="H15" s="24" t="s">
        <v>126</v>
      </c>
      <c r="I15" s="24" t="s">
        <v>127</v>
      </c>
      <c r="J15" s="24" t="s">
        <v>128</v>
      </c>
      <c r="K15" s="24" t="s">
        <v>129</v>
      </c>
      <c r="L15" s="9" t="s">
        <v>130</v>
      </c>
    </row>
    <row r="16" customFormat="false" ht="15" hidden="false" customHeight="false" outlineLevel="0" collapsed="false">
      <c r="A16" s="0" t="s">
        <v>131</v>
      </c>
      <c r="B16" s="20" t="n">
        <v>0.5</v>
      </c>
      <c r="C16" s="25" t="n">
        <f aca="false">B16+1</f>
        <v>1.5</v>
      </c>
      <c r="D16" s="25" t="n">
        <f aca="false">C16+1</f>
        <v>2.5</v>
      </c>
      <c r="E16" s="25" t="n">
        <f aca="false">D16+1</f>
        <v>3.5</v>
      </c>
      <c r="F16" s="25" t="n">
        <f aca="false">E16+1</f>
        <v>4.5</v>
      </c>
      <c r="G16" s="25" t="n">
        <f aca="false">F16+1</f>
        <v>5.5</v>
      </c>
      <c r="H16" s="25" t="n">
        <f aca="false">G16+1</f>
        <v>6.5</v>
      </c>
      <c r="I16" s="25" t="n">
        <f aca="false">H16+1</f>
        <v>7.5</v>
      </c>
      <c r="J16" s="25" t="n">
        <f aca="false">I16+1</f>
        <v>8.5</v>
      </c>
      <c r="K16" s="25" t="n">
        <f aca="false">J16+1</f>
        <v>9.5</v>
      </c>
    </row>
    <row r="17" customFormat="false" ht="15" hidden="false" customHeight="false" outlineLevel="0" collapsed="false">
      <c r="A17" s="0" t="s">
        <v>132</v>
      </c>
      <c r="B17" s="0" t="n">
        <v>0</v>
      </c>
      <c r="C17" s="0" t="n">
        <v>0</v>
      </c>
      <c r="D17" s="0" t="n">
        <v>0</v>
      </c>
      <c r="E17" s="0" t="n">
        <v>0</v>
      </c>
      <c r="F17" s="0" t="n">
        <v>0</v>
      </c>
      <c r="G17" s="0" t="n">
        <v>1</v>
      </c>
      <c r="H17" s="0" t="n">
        <v>2</v>
      </c>
      <c r="I17" s="0" t="n">
        <v>3</v>
      </c>
      <c r="J17" s="0" t="n">
        <v>4</v>
      </c>
      <c r="K17" s="0" t="n">
        <v>5</v>
      </c>
    </row>
    <row r="19" customFormat="false" ht="15" hidden="false" customHeight="false" outlineLevel="0" collapsed="false">
      <c r="A19" s="12" t="s">
        <v>166</v>
      </c>
      <c r="B19" s="26"/>
      <c r="C19" s="26"/>
      <c r="D19" s="26"/>
      <c r="E19" s="26"/>
      <c r="F19" s="26"/>
      <c r="G19" s="26"/>
      <c r="H19" s="26"/>
      <c r="I19" s="26"/>
      <c r="J19" s="26"/>
      <c r="K19" s="26"/>
      <c r="L19" s="26"/>
    </row>
    <row r="20" customFormat="false" ht="15" hidden="false" customHeight="false" outlineLevel="0" collapsed="false">
      <c r="A20" s="0" t="s">
        <v>134</v>
      </c>
      <c r="B20" s="22" t="n">
        <v>51</v>
      </c>
      <c r="C20" s="22" t="n">
        <v>52.3</v>
      </c>
      <c r="D20" s="22" t="n">
        <v>53.6</v>
      </c>
      <c r="E20" s="22" t="n">
        <v>54.9</v>
      </c>
      <c r="F20" s="22" t="n">
        <v>56.2</v>
      </c>
      <c r="G20" s="27" t="n">
        <f aca="false">F20*(1+$F21+($L21-$F21)*G$17/5)</f>
        <v>57.5456265938069</v>
      </c>
      <c r="H20" s="27" t="n">
        <f aca="false">G20*(1+$F21+($L21-$F21)*H$17/5)</f>
        <v>58.9386709971434</v>
      </c>
      <c r="I20" s="27" t="n">
        <f aca="false">H20*(1+$F21+($L21-$F21)*I$17/5)</f>
        <v>60.3810044121645</v>
      </c>
      <c r="J20" s="27" t="n">
        <f aca="false">I20*(1+$F21+($L21-$F21)*J$17/5)</f>
        <v>61.8745818983525</v>
      </c>
      <c r="K20" s="27" t="n">
        <f aca="false">J20*(1+$F21+($L21-$F21)*K$17/5)</f>
        <v>63.4214464458113</v>
      </c>
      <c r="L20" s="27" t="n">
        <f aca="false">K20*(1+L21)</f>
        <v>65.0069826069566</v>
      </c>
    </row>
    <row r="21" customFormat="false" ht="15" hidden="false" customHeight="false" outlineLevel="0" collapsed="false">
      <c r="A21" s="0" t="s">
        <v>135</v>
      </c>
      <c r="B21" s="6" t="n">
        <f aca="false">B20/$B$12-1</f>
        <v>0.0240963855421688</v>
      </c>
      <c r="C21" s="6" t="n">
        <f aca="false">C20/B20-1</f>
        <v>0.0254901960784313</v>
      </c>
      <c r="D21" s="6" t="n">
        <f aca="false">D20/C20-1</f>
        <v>0.0248565965583174</v>
      </c>
      <c r="E21" s="6" t="n">
        <f aca="false">E20/D20-1</f>
        <v>0.0242537313432836</v>
      </c>
      <c r="F21" s="6" t="n">
        <f aca="false">F20/E20-1</f>
        <v>0.0236794171220402</v>
      </c>
      <c r="G21" s="6" t="n">
        <f aca="false">G20/F20-1</f>
        <v>0.0239435336976321</v>
      </c>
      <c r="H21" s="6" t="n">
        <f aca="false">H20/G20-1</f>
        <v>0.0242076502732242</v>
      </c>
      <c r="I21" s="6" t="n">
        <f aca="false">I20/H20-1</f>
        <v>0.0244717668488161</v>
      </c>
      <c r="J21" s="6" t="n">
        <f aca="false">J20/I20-1</f>
        <v>0.024735883424408</v>
      </c>
      <c r="K21" s="6" t="n">
        <f aca="false">K20/J20-1</f>
        <v>0.0249999999999999</v>
      </c>
      <c r="L21" s="28" t="n">
        <v>0.025</v>
      </c>
    </row>
    <row r="22" customFormat="false" ht="15" hidden="false" customHeight="false" outlineLevel="0" collapsed="false">
      <c r="A22" s="0" t="s">
        <v>136</v>
      </c>
      <c r="B22" s="29" t="n">
        <v>0.31</v>
      </c>
      <c r="C22" s="29" t="n">
        <v>0.31</v>
      </c>
      <c r="D22" s="29" t="n">
        <v>0.31</v>
      </c>
      <c r="E22" s="29" t="n">
        <v>0.31</v>
      </c>
      <c r="F22" s="29" t="n">
        <v>0.31</v>
      </c>
      <c r="G22" s="6" t="n">
        <f aca="false">$F22+($L22-$F22)*G$17/5</f>
        <v>0.308</v>
      </c>
      <c r="H22" s="6" t="n">
        <f aca="false">$F22+($L22-$F22)*H$17/5</f>
        <v>0.306</v>
      </c>
      <c r="I22" s="6" t="n">
        <f aca="false">$F22+($L22-$F22)*I$17/5</f>
        <v>0.304</v>
      </c>
      <c r="J22" s="6" t="n">
        <f aca="false">$F22+($L22-$F22)*J$17/5</f>
        <v>0.302</v>
      </c>
      <c r="K22" s="6" t="n">
        <f aca="false">$F22+($L22-$F22)*K$17/5</f>
        <v>0.3</v>
      </c>
      <c r="L22" s="28" t="n">
        <v>0.3</v>
      </c>
    </row>
    <row r="23" customFormat="false" ht="15" hidden="false" customHeight="false" outlineLevel="0" collapsed="false">
      <c r="A23" s="0" t="s">
        <v>137</v>
      </c>
      <c r="B23" s="27" t="n">
        <f aca="false">B20*B22</f>
        <v>15.81</v>
      </c>
      <c r="C23" s="27" t="n">
        <f aca="false">C20*C22</f>
        <v>16.213</v>
      </c>
      <c r="D23" s="27" t="n">
        <f aca="false">D20*D22</f>
        <v>16.616</v>
      </c>
      <c r="E23" s="27" t="n">
        <f aca="false">E20*E22</f>
        <v>17.019</v>
      </c>
      <c r="F23" s="27" t="n">
        <f aca="false">F20*F22</f>
        <v>17.422</v>
      </c>
      <c r="G23" s="27" t="n">
        <f aca="false">G20*G22</f>
        <v>17.7240529908925</v>
      </c>
      <c r="H23" s="27" t="n">
        <f aca="false">H20*H22</f>
        <v>18.0352333251259</v>
      </c>
      <c r="I23" s="27" t="n">
        <f aca="false">I20*I22</f>
        <v>18.355825341298</v>
      </c>
      <c r="J23" s="27" t="n">
        <f aca="false">J20*J22</f>
        <v>18.6861237333025</v>
      </c>
      <c r="K23" s="27" t="n">
        <f aca="false">K20*K22</f>
        <v>19.0264339337434</v>
      </c>
      <c r="L23" s="27" t="n">
        <f aca="false">L20*L22</f>
        <v>19.502094782087</v>
      </c>
    </row>
    <row r="24" customFormat="false" ht="15" hidden="false" customHeight="false" outlineLevel="0" collapsed="false">
      <c r="A24" s="0" t="s">
        <v>138</v>
      </c>
      <c r="B24" s="27" t="n">
        <f aca="false">B23*(1-$B$9)</f>
        <v>12.8061</v>
      </c>
      <c r="C24" s="27" t="n">
        <f aca="false">C23*(1-$B$9)</f>
        <v>13.13253</v>
      </c>
      <c r="D24" s="27" t="n">
        <f aca="false">D23*(1-$B$9)</f>
        <v>13.45896</v>
      </c>
      <c r="E24" s="27" t="n">
        <f aca="false">E23*(1-$B$9)</f>
        <v>13.78539</v>
      </c>
      <c r="F24" s="27" t="n">
        <f aca="false">F23*(1-$B$9)</f>
        <v>14.11182</v>
      </c>
      <c r="G24" s="27" t="n">
        <f aca="false">G23*(1-$B$9)</f>
        <v>14.356482922623</v>
      </c>
      <c r="H24" s="27" t="n">
        <f aca="false">H23*(1-$B$9)</f>
        <v>14.608538993352</v>
      </c>
      <c r="I24" s="27" t="n">
        <f aca="false">I23*(1-$B$9)</f>
        <v>14.8682185264514</v>
      </c>
      <c r="J24" s="27" t="n">
        <f aca="false">J23*(1-$B$9)</f>
        <v>15.135760223975</v>
      </c>
      <c r="K24" s="27" t="n">
        <f aca="false">K23*(1-$B$9)</f>
        <v>15.4114114863322</v>
      </c>
      <c r="L24" s="27" t="n">
        <f aca="false">L23*(1-$B$9)</f>
        <v>15.7966967734905</v>
      </c>
    </row>
    <row r="25" customFormat="false" ht="15" hidden="false" customHeight="false" outlineLevel="0" collapsed="false">
      <c r="A25" s="0" t="s">
        <v>139</v>
      </c>
      <c r="B25" s="29" t="n">
        <v>0.02</v>
      </c>
      <c r="C25" s="29" t="n">
        <v>0.02</v>
      </c>
      <c r="D25" s="29" t="n">
        <v>0.02</v>
      </c>
      <c r="E25" s="29" t="n">
        <v>0.02</v>
      </c>
      <c r="F25" s="29" t="n">
        <v>0.02</v>
      </c>
      <c r="G25" s="6" t="n">
        <f aca="false">$F25+($L25-$F25)*G$17/5</f>
        <v>0.02</v>
      </c>
      <c r="H25" s="6" t="n">
        <f aca="false">$F25+($L25-$F25)*H$17/5</f>
        <v>0.02</v>
      </c>
      <c r="I25" s="6" t="n">
        <f aca="false">$F25+($L25-$F25)*I$17/5</f>
        <v>0.02</v>
      </c>
      <c r="J25" s="6" t="n">
        <f aca="false">$F25+($L25-$F25)*J$17/5</f>
        <v>0.02</v>
      </c>
      <c r="K25" s="6" t="n">
        <f aca="false">$F25+($L25-$F25)*K$17/5</f>
        <v>0.02</v>
      </c>
      <c r="L25" s="28" t="n">
        <v>0.02</v>
      </c>
    </row>
    <row r="26" customFormat="false" ht="15" hidden="false" customHeight="false" outlineLevel="0" collapsed="false">
      <c r="A26" s="0" t="s">
        <v>140</v>
      </c>
      <c r="B26" s="27" t="n">
        <f aca="false">B20*B25</f>
        <v>1.02</v>
      </c>
      <c r="C26" s="27" t="n">
        <f aca="false">C20*C25</f>
        <v>1.046</v>
      </c>
      <c r="D26" s="27" t="n">
        <f aca="false">D20*D25</f>
        <v>1.072</v>
      </c>
      <c r="E26" s="27" t="n">
        <f aca="false">E20*E25</f>
        <v>1.098</v>
      </c>
      <c r="F26" s="27" t="n">
        <f aca="false">F20*F25</f>
        <v>1.124</v>
      </c>
      <c r="G26" s="27" t="n">
        <f aca="false">G20*G25</f>
        <v>1.15091253187614</v>
      </c>
      <c r="H26" s="27" t="n">
        <f aca="false">H20*H25</f>
        <v>1.17877341994287</v>
      </c>
      <c r="I26" s="27" t="n">
        <f aca="false">I20*I25</f>
        <v>1.20762008824329</v>
      </c>
      <c r="J26" s="27" t="n">
        <f aca="false">J20*J25</f>
        <v>1.23749163796705</v>
      </c>
      <c r="K26" s="27" t="n">
        <f aca="false">K20*K25</f>
        <v>1.26842892891623</v>
      </c>
      <c r="L26" s="27" t="n">
        <f aca="false">L20*L25</f>
        <v>1.30013965213913</v>
      </c>
    </row>
    <row r="27" customFormat="false" ht="15" hidden="false" customHeight="false" outlineLevel="0" collapsed="false">
      <c r="A27" s="0" t="s">
        <v>141</v>
      </c>
      <c r="B27" s="27" t="n">
        <f aca="false">$B$11*(B20-$B$12)</f>
        <v>0</v>
      </c>
      <c r="C27" s="27" t="n">
        <f aca="false">$B$11*(C20-B20)</f>
        <v>0</v>
      </c>
      <c r="D27" s="27" t="n">
        <f aca="false">$B$11*(D20-C20)</f>
        <v>0</v>
      </c>
      <c r="E27" s="27" t="n">
        <f aca="false">$B$11*(E20-D20)</f>
        <v>0</v>
      </c>
      <c r="F27" s="27" t="n">
        <f aca="false">$B$11*(F20-E20)</f>
        <v>0</v>
      </c>
      <c r="G27" s="27" t="n">
        <f aca="false">$B$11*(G20-F20)</f>
        <v>0</v>
      </c>
      <c r="H27" s="27" t="n">
        <f aca="false">$B$11*(H20-G20)</f>
        <v>0</v>
      </c>
      <c r="I27" s="27" t="n">
        <f aca="false">$B$11*(I20-H20)</f>
        <v>0</v>
      </c>
      <c r="J27" s="27" t="n">
        <f aca="false">$B$11*(J20-I20)</f>
        <v>0</v>
      </c>
      <c r="K27" s="27" t="n">
        <f aca="false">$B$11*(K20-J20)</f>
        <v>0</v>
      </c>
      <c r="L27" s="27" t="n">
        <f aca="false">$B$11*(L20-K20)</f>
        <v>0</v>
      </c>
    </row>
    <row r="28" customFormat="false" ht="15" hidden="false" customHeight="false" outlineLevel="0" collapsed="false">
      <c r="A28" s="0" t="s">
        <v>142</v>
      </c>
      <c r="B28" s="27" t="n">
        <f aca="false">B24-B26-B27</f>
        <v>11.7861</v>
      </c>
      <c r="C28" s="27" t="n">
        <f aca="false">C24-C26-C27</f>
        <v>12.08653</v>
      </c>
      <c r="D28" s="27" t="n">
        <f aca="false">D24-D26-D27</f>
        <v>12.38696</v>
      </c>
      <c r="E28" s="27" t="n">
        <f aca="false">E24-E26-E27</f>
        <v>12.68739</v>
      </c>
      <c r="F28" s="27" t="n">
        <f aca="false">F24-F26-F27</f>
        <v>12.98782</v>
      </c>
      <c r="G28" s="27" t="n">
        <f aca="false">G24-G26-G27</f>
        <v>13.2055703907468</v>
      </c>
      <c r="H28" s="27" t="n">
        <f aca="false">H24-H26-H27</f>
        <v>13.4297655734091</v>
      </c>
      <c r="I28" s="27" t="n">
        <f aca="false">I24-I26-I27</f>
        <v>13.6605984382081</v>
      </c>
      <c r="J28" s="27" t="n">
        <f aca="false">J24-J26-J27</f>
        <v>13.8982685860079</v>
      </c>
      <c r="K28" s="27" t="n">
        <f aca="false">K24-K26-K27</f>
        <v>14.1429825574159</v>
      </c>
      <c r="L28" s="27" t="n">
        <f aca="false">L24-L26-L27</f>
        <v>14.4965571213513</v>
      </c>
    </row>
    <row r="29" customFormat="false" ht="15" hidden="false" customHeight="false" outlineLevel="0" collapsed="false">
      <c r="A29" s="0" t="s">
        <v>143</v>
      </c>
      <c r="B29" s="30" t="n">
        <f aca="false">1/(1+$B$10)^B$16</f>
        <v>0.964485644340824</v>
      </c>
      <c r="C29" s="30" t="n">
        <f aca="false">1/(1+$B$10)^C$16</f>
        <v>0.897195948224023</v>
      </c>
      <c r="D29" s="30" t="n">
        <f aca="false">1/(1+$B$10)^D$16</f>
        <v>0.834600882068858</v>
      </c>
      <c r="E29" s="30" t="n">
        <f aca="false">1/(1+$B$10)^E$16</f>
        <v>0.776372913552426</v>
      </c>
      <c r="F29" s="30" t="n">
        <f aca="false">1/(1+$B$10)^F$16</f>
        <v>0.722207361444118</v>
      </c>
      <c r="G29" s="30" t="n">
        <f aca="false">1/(1+$B$10)^G$16</f>
        <v>0.671820801343365</v>
      </c>
      <c r="H29" s="30" t="n">
        <f aca="false">1/(1+$B$10)^H$16</f>
        <v>0.624949582644991</v>
      </c>
      <c r="I29" s="30" t="n">
        <f aca="false">1/(1+$B$10)^I$16</f>
        <v>0.581348448972085</v>
      </c>
      <c r="J29" s="30" t="n">
        <f aca="false">1/(1+$B$10)^J$16</f>
        <v>0.540789254857753</v>
      </c>
      <c r="K29" s="30" t="n">
        <f aca="false">1/(1+$B$10)^K$16</f>
        <v>0.503059771960701</v>
      </c>
    </row>
    <row r="30" customFormat="false" ht="15" hidden="false" customHeight="false" outlineLevel="0" collapsed="false">
      <c r="A30" s="0" t="s">
        <v>144</v>
      </c>
      <c r="B30" s="27" t="n">
        <f aca="false">B28*B29</f>
        <v>11.3675242527654</v>
      </c>
      <c r="C30" s="27" t="n">
        <f aca="false">C28*C29</f>
        <v>10.8439857440881</v>
      </c>
      <c r="D30" s="27" t="n">
        <f aca="false">D28*D29</f>
        <v>10.3381677421517</v>
      </c>
      <c r="E30" s="27" t="n">
        <f aca="false">E28*E29</f>
        <v>9.85014593967592</v>
      </c>
      <c r="F30" s="27" t="n">
        <f aca="false">F28*F29</f>
        <v>9.37989921311114</v>
      </c>
      <c r="G30" s="27" t="n">
        <f aca="false">G28*G29</f>
        <v>8.87177688210774</v>
      </c>
      <c r="H30" s="27" t="n">
        <f aca="false">H28*H29</f>
        <v>8.39292639012208</v>
      </c>
      <c r="I30" s="27" t="n">
        <f aca="false">I28*I29</f>
        <v>7.94156771408276</v>
      </c>
      <c r="J30" s="27" t="n">
        <f aca="false">J28*J29</f>
        <v>7.51603431244015</v>
      </c>
      <c r="K30" s="27" t="n">
        <f aca="false">K28*K29</f>
        <v>7.11476558017782</v>
      </c>
      <c r="L30" s="27"/>
    </row>
    <row r="31" customFormat="false" ht="15" hidden="false" customHeight="false" outlineLevel="0" collapsed="false">
      <c r="A31" s="0" t="s">
        <v>145</v>
      </c>
      <c r="B31" s="27" t="n">
        <f aca="false">L28/($B$10-L21)</f>
        <v>289.931142427026</v>
      </c>
      <c r="C31" s="0" t="str">
        <f aca="false">IF($B$10&gt;L21,"","Discount rate must exceed terminal growth")</f>
        <v/>
      </c>
    </row>
    <row r="32" customFormat="false" ht="15" hidden="false" customHeight="false" outlineLevel="0" collapsed="false">
      <c r="A32" s="0" t="s">
        <v>146</v>
      </c>
      <c r="B32" s="27" t="n">
        <f aca="false">B31/(1+$B$10)^$K$16</f>
        <v>145.852694393645</v>
      </c>
    </row>
    <row r="33" customFormat="false" ht="15" hidden="false" customHeight="false" outlineLevel="0" collapsed="false">
      <c r="A33" s="0" t="s">
        <v>147</v>
      </c>
      <c r="B33" s="27" t="n">
        <f aca="false">SUM(B30:K30)+B32+$B$7+$B$8</f>
        <v>230.359488164368</v>
      </c>
    </row>
    <row r="34" customFormat="false" ht="15" hidden="false" customHeight="false" outlineLevel="0" collapsed="false">
      <c r="A34" s="0" t="s">
        <v>148</v>
      </c>
      <c r="B34" s="31" t="n">
        <f aca="false">B33/$B$6</f>
        <v>53.5719739917135</v>
      </c>
    </row>
    <row r="35" customFormat="false" ht="15" hidden="false" customHeight="false" outlineLevel="0" collapsed="false">
      <c r="A35" s="0" t="s">
        <v>149</v>
      </c>
      <c r="B35" s="6" t="n">
        <f aca="false">B34/$B$4-1</f>
        <v>-0.425624809781135</v>
      </c>
    </row>
    <row r="37" customFormat="false" ht="15" hidden="false" customHeight="false" outlineLevel="0" collapsed="false">
      <c r="A37" s="12" t="s">
        <v>167</v>
      </c>
      <c r="B37" s="26"/>
      <c r="C37" s="26"/>
      <c r="D37" s="26"/>
      <c r="E37" s="26"/>
      <c r="F37" s="26"/>
      <c r="G37" s="26"/>
      <c r="H37" s="26"/>
      <c r="I37" s="26"/>
      <c r="J37" s="26"/>
      <c r="K37" s="26"/>
      <c r="L37" s="26"/>
    </row>
    <row r="38" customFormat="false" ht="15" hidden="false" customHeight="false" outlineLevel="0" collapsed="false">
      <c r="A38" s="0" t="s">
        <v>134</v>
      </c>
      <c r="B38" s="22" t="n">
        <v>52.3</v>
      </c>
      <c r="C38" s="22" t="n">
        <v>54.9</v>
      </c>
      <c r="D38" s="22" t="n">
        <v>57.6</v>
      </c>
      <c r="E38" s="22" t="n">
        <v>60.3</v>
      </c>
      <c r="F38" s="22" t="n">
        <v>63.1</v>
      </c>
      <c r="G38" s="27" t="n">
        <f aca="false">F38*(1+$F39+($L39-$F39)*G$17/5)</f>
        <v>65.8226132669984</v>
      </c>
      <c r="H38" s="27" t="n">
        <f aca="false">G38*(1+$F39+($L39-$F39)*H$17/5)</f>
        <v>68.4463484784172</v>
      </c>
      <c r="I38" s="27" t="n">
        <f aca="false">H38*(1+$F39+($L39-$F39)*I$17/5)</f>
        <v>70.9496913794836</v>
      </c>
      <c r="J38" s="27" t="n">
        <f aca="false">I38*(1+$F39+($L39-$F39)*J$17/5)</f>
        <v>73.3113865791005</v>
      </c>
      <c r="K38" s="27" t="n">
        <f aca="false">J38*(1+$F39+($L39-$F39)*K$17/5)</f>
        <v>75.5107281764735</v>
      </c>
      <c r="L38" s="27" t="n">
        <f aca="false">K38*(1+L39)</f>
        <v>77.7760500217677</v>
      </c>
    </row>
    <row r="39" customFormat="false" ht="15" hidden="false" customHeight="false" outlineLevel="0" collapsed="false">
      <c r="A39" s="0" t="s">
        <v>135</v>
      </c>
      <c r="B39" s="6" t="n">
        <f aca="false">B38/$B$12-1</f>
        <v>0.0502008032128514</v>
      </c>
      <c r="C39" s="6" t="n">
        <f aca="false">C38/B38-1</f>
        <v>0.0497131931166348</v>
      </c>
      <c r="D39" s="6" t="n">
        <f aca="false">D38/C38-1</f>
        <v>0.0491803278688525</v>
      </c>
      <c r="E39" s="6" t="n">
        <f aca="false">E38/D38-1</f>
        <v>0.046875</v>
      </c>
      <c r="F39" s="6" t="n">
        <f aca="false">F38/E38-1</f>
        <v>0.0464344941956882</v>
      </c>
      <c r="G39" s="6" t="n">
        <f aca="false">G38/F38-1</f>
        <v>0.0431475953565506</v>
      </c>
      <c r="H39" s="6" t="n">
        <f aca="false">H38/G38-1</f>
        <v>0.0398606965174129</v>
      </c>
      <c r="I39" s="6" t="n">
        <f aca="false">I38/H38-1</f>
        <v>0.0365737976782754</v>
      </c>
      <c r="J39" s="6" t="n">
        <f aca="false">J38/I38-1</f>
        <v>0.0332868988391377</v>
      </c>
      <c r="K39" s="6" t="n">
        <f aca="false">K38/J38-1</f>
        <v>0.03</v>
      </c>
      <c r="L39" s="28" t="n">
        <v>0.03</v>
      </c>
    </row>
    <row r="40" customFormat="false" ht="15" hidden="false" customHeight="false" outlineLevel="0" collapsed="false">
      <c r="A40" s="0" t="s">
        <v>136</v>
      </c>
      <c r="B40" s="29" t="n">
        <v>0.32</v>
      </c>
      <c r="C40" s="29" t="n">
        <v>0.325</v>
      </c>
      <c r="D40" s="29" t="n">
        <v>0.33</v>
      </c>
      <c r="E40" s="29" t="n">
        <v>0.33</v>
      </c>
      <c r="F40" s="29" t="n">
        <v>0.33</v>
      </c>
      <c r="G40" s="6" t="n">
        <f aca="false">$F40+($L40-$F40)*G$17/5</f>
        <v>0.328</v>
      </c>
      <c r="H40" s="6" t="n">
        <f aca="false">$F40+($L40-$F40)*H$17/5</f>
        <v>0.326</v>
      </c>
      <c r="I40" s="6" t="n">
        <f aca="false">$F40+($L40-$F40)*I$17/5</f>
        <v>0.324</v>
      </c>
      <c r="J40" s="6" t="n">
        <f aca="false">$F40+($L40-$F40)*J$17/5</f>
        <v>0.322</v>
      </c>
      <c r="K40" s="6" t="n">
        <f aca="false">$F40+($L40-$F40)*K$17/5</f>
        <v>0.32</v>
      </c>
      <c r="L40" s="28" t="n">
        <v>0.32</v>
      </c>
    </row>
    <row r="41" customFormat="false" ht="15" hidden="false" customHeight="false" outlineLevel="0" collapsed="false">
      <c r="A41" s="0" t="s">
        <v>137</v>
      </c>
      <c r="B41" s="27" t="n">
        <f aca="false">B38*B40</f>
        <v>16.736</v>
      </c>
      <c r="C41" s="27" t="n">
        <f aca="false">C38*C40</f>
        <v>17.8425</v>
      </c>
      <c r="D41" s="27" t="n">
        <f aca="false">D38*D40</f>
        <v>19.008</v>
      </c>
      <c r="E41" s="27" t="n">
        <f aca="false">E38*E40</f>
        <v>19.899</v>
      </c>
      <c r="F41" s="27" t="n">
        <f aca="false">F38*F40</f>
        <v>20.823</v>
      </c>
      <c r="G41" s="27" t="n">
        <f aca="false">G38*G40</f>
        <v>21.5898171515755</v>
      </c>
      <c r="H41" s="27" t="n">
        <f aca="false">H38*H40</f>
        <v>22.313509603964</v>
      </c>
      <c r="I41" s="27" t="n">
        <f aca="false">I38*I40</f>
        <v>22.9877000069527</v>
      </c>
      <c r="J41" s="27" t="n">
        <f aca="false">J38*J40</f>
        <v>23.6062664784704</v>
      </c>
      <c r="K41" s="27" t="n">
        <f aca="false">K38*K40</f>
        <v>24.1634330164715</v>
      </c>
      <c r="L41" s="27" t="n">
        <f aca="false">L38*L40</f>
        <v>24.8883360069657</v>
      </c>
    </row>
    <row r="42" customFormat="false" ht="15" hidden="false" customHeight="false" outlineLevel="0" collapsed="false">
      <c r="A42" s="0" t="s">
        <v>138</v>
      </c>
      <c r="B42" s="27" t="n">
        <f aca="false">B41*(1-$B$9)</f>
        <v>13.55616</v>
      </c>
      <c r="C42" s="27" t="n">
        <f aca="false">C41*(1-$B$9)</f>
        <v>14.452425</v>
      </c>
      <c r="D42" s="27" t="n">
        <f aca="false">D41*(1-$B$9)</f>
        <v>15.39648</v>
      </c>
      <c r="E42" s="27" t="n">
        <f aca="false">E41*(1-$B$9)</f>
        <v>16.11819</v>
      </c>
      <c r="F42" s="27" t="n">
        <f aca="false">F41*(1-$B$9)</f>
        <v>16.86663</v>
      </c>
      <c r="G42" s="27" t="n">
        <f aca="false">G41*(1-$B$9)</f>
        <v>17.4877518927761</v>
      </c>
      <c r="H42" s="27" t="n">
        <f aca="false">H41*(1-$B$9)</f>
        <v>18.0739427792109</v>
      </c>
      <c r="I42" s="27" t="n">
        <f aca="false">I41*(1-$B$9)</f>
        <v>18.6200370056317</v>
      </c>
      <c r="J42" s="27" t="n">
        <f aca="false">J41*(1-$B$9)</f>
        <v>19.121075847561</v>
      </c>
      <c r="K42" s="27" t="n">
        <f aca="false">K41*(1-$B$9)</f>
        <v>19.5723807433419</v>
      </c>
      <c r="L42" s="27" t="n">
        <f aca="false">L41*(1-$B$9)</f>
        <v>20.1595521656422</v>
      </c>
    </row>
    <row r="43" customFormat="false" ht="15" hidden="false" customHeight="false" outlineLevel="0" collapsed="false">
      <c r="A43" s="0" t="s">
        <v>139</v>
      </c>
      <c r="B43" s="29" t="n">
        <v>0.02</v>
      </c>
      <c r="C43" s="29" t="n">
        <v>0.02</v>
      </c>
      <c r="D43" s="29" t="n">
        <v>0.02</v>
      </c>
      <c r="E43" s="29" t="n">
        <v>0.02</v>
      </c>
      <c r="F43" s="29" t="n">
        <v>0.02</v>
      </c>
      <c r="G43" s="6" t="n">
        <f aca="false">$F43+($L43-$F43)*G$17/5</f>
        <v>0.02</v>
      </c>
      <c r="H43" s="6" t="n">
        <f aca="false">$F43+($L43-$F43)*H$17/5</f>
        <v>0.02</v>
      </c>
      <c r="I43" s="6" t="n">
        <f aca="false">$F43+($L43-$F43)*I$17/5</f>
        <v>0.02</v>
      </c>
      <c r="J43" s="6" t="n">
        <f aca="false">$F43+($L43-$F43)*J$17/5</f>
        <v>0.02</v>
      </c>
      <c r="K43" s="6" t="n">
        <f aca="false">$F43+($L43-$F43)*K$17/5</f>
        <v>0.02</v>
      </c>
      <c r="L43" s="28" t="n">
        <v>0.02</v>
      </c>
    </row>
    <row r="44" customFormat="false" ht="15" hidden="false" customHeight="false" outlineLevel="0" collapsed="false">
      <c r="A44" s="0" t="s">
        <v>140</v>
      </c>
      <c r="B44" s="27" t="n">
        <f aca="false">B38*B43</f>
        <v>1.046</v>
      </c>
      <c r="C44" s="27" t="n">
        <f aca="false">C38*C43</f>
        <v>1.098</v>
      </c>
      <c r="D44" s="27" t="n">
        <f aca="false">D38*D43</f>
        <v>1.152</v>
      </c>
      <c r="E44" s="27" t="n">
        <f aca="false">E38*E43</f>
        <v>1.206</v>
      </c>
      <c r="F44" s="27" t="n">
        <f aca="false">F38*F43</f>
        <v>1.262</v>
      </c>
      <c r="G44" s="27" t="n">
        <f aca="false">G38*G43</f>
        <v>1.31645226533997</v>
      </c>
      <c r="H44" s="27" t="n">
        <f aca="false">H38*H43</f>
        <v>1.36892696956834</v>
      </c>
      <c r="I44" s="27" t="n">
        <f aca="false">I38*I43</f>
        <v>1.41899382758967</v>
      </c>
      <c r="J44" s="27" t="n">
        <f aca="false">J38*J43</f>
        <v>1.46622773158201</v>
      </c>
      <c r="K44" s="27" t="n">
        <f aca="false">K38*K43</f>
        <v>1.51021456352947</v>
      </c>
      <c r="L44" s="27" t="n">
        <f aca="false">L38*L43</f>
        <v>1.55552100043535</v>
      </c>
    </row>
    <row r="45" customFormat="false" ht="15" hidden="false" customHeight="false" outlineLevel="0" collapsed="false">
      <c r="A45" s="0" t="s">
        <v>141</v>
      </c>
      <c r="B45" s="27" t="n">
        <f aca="false">$B$11*(B38-$B$12)</f>
        <v>0</v>
      </c>
      <c r="C45" s="27" t="n">
        <f aca="false">$B$11*(C38-B38)</f>
        <v>0</v>
      </c>
      <c r="D45" s="27" t="n">
        <f aca="false">$B$11*(D38-C38)</f>
        <v>0</v>
      </c>
      <c r="E45" s="27" t="n">
        <f aca="false">$B$11*(E38-D38)</f>
        <v>0</v>
      </c>
      <c r="F45" s="27" t="n">
        <f aca="false">$B$11*(F38-E38)</f>
        <v>0</v>
      </c>
      <c r="G45" s="27" t="n">
        <f aca="false">$B$11*(G38-F38)</f>
        <v>0</v>
      </c>
      <c r="H45" s="27" t="n">
        <f aca="false">$B$11*(H38-G38)</f>
        <v>0</v>
      </c>
      <c r="I45" s="27" t="n">
        <f aca="false">$B$11*(I38-H38)</f>
        <v>0</v>
      </c>
      <c r="J45" s="27" t="n">
        <f aca="false">$B$11*(J38-I38)</f>
        <v>0</v>
      </c>
      <c r="K45" s="27" t="n">
        <f aca="false">$B$11*(K38-J38)</f>
        <v>0</v>
      </c>
      <c r="L45" s="27" t="n">
        <f aca="false">$B$11*(L38-K38)</f>
        <v>0</v>
      </c>
    </row>
    <row r="46" customFormat="false" ht="15" hidden="false" customHeight="false" outlineLevel="0" collapsed="false">
      <c r="A46" s="0" t="s">
        <v>142</v>
      </c>
      <c r="B46" s="27" t="n">
        <f aca="false">B42-B44-B45</f>
        <v>12.51016</v>
      </c>
      <c r="C46" s="27" t="n">
        <f aca="false">C42-C44-C45</f>
        <v>13.354425</v>
      </c>
      <c r="D46" s="27" t="n">
        <f aca="false">D42-D44-D45</f>
        <v>14.24448</v>
      </c>
      <c r="E46" s="27" t="n">
        <f aca="false">E42-E44-E45</f>
        <v>14.91219</v>
      </c>
      <c r="F46" s="27" t="n">
        <f aca="false">F42-F44-F45</f>
        <v>15.60463</v>
      </c>
      <c r="G46" s="27" t="n">
        <f aca="false">G42-G44-G45</f>
        <v>16.1712996274362</v>
      </c>
      <c r="H46" s="27" t="n">
        <f aca="false">H42-H44-H45</f>
        <v>16.7050158096425</v>
      </c>
      <c r="I46" s="27" t="n">
        <f aca="false">I42-I44-I45</f>
        <v>17.201043178042</v>
      </c>
      <c r="J46" s="27" t="n">
        <f aca="false">J42-J44-J45</f>
        <v>17.654848115979</v>
      </c>
      <c r="K46" s="27" t="n">
        <f aca="false">K42-K44-K45</f>
        <v>18.0621661798125</v>
      </c>
      <c r="L46" s="27" t="n">
        <f aca="false">L42-L44-L45</f>
        <v>18.6040311652068</v>
      </c>
    </row>
    <row r="47" customFormat="false" ht="15" hidden="false" customHeight="false" outlineLevel="0" collapsed="false">
      <c r="A47" s="0" t="s">
        <v>143</v>
      </c>
      <c r="B47" s="30" t="n">
        <f aca="false">1/(1+$B$10)^B$16</f>
        <v>0.964485644340824</v>
      </c>
      <c r="C47" s="30" t="n">
        <f aca="false">1/(1+$B$10)^C$16</f>
        <v>0.897195948224023</v>
      </c>
      <c r="D47" s="30" t="n">
        <f aca="false">1/(1+$B$10)^D$16</f>
        <v>0.834600882068858</v>
      </c>
      <c r="E47" s="30" t="n">
        <f aca="false">1/(1+$B$10)^E$16</f>
        <v>0.776372913552426</v>
      </c>
      <c r="F47" s="30" t="n">
        <f aca="false">1/(1+$B$10)^F$16</f>
        <v>0.722207361444118</v>
      </c>
      <c r="G47" s="30" t="n">
        <f aca="false">1/(1+$B$10)^G$16</f>
        <v>0.671820801343365</v>
      </c>
      <c r="H47" s="30" t="n">
        <f aca="false">1/(1+$B$10)^H$16</f>
        <v>0.624949582644991</v>
      </c>
      <c r="I47" s="30" t="n">
        <f aca="false">1/(1+$B$10)^I$16</f>
        <v>0.581348448972085</v>
      </c>
      <c r="J47" s="30" t="n">
        <f aca="false">1/(1+$B$10)^J$16</f>
        <v>0.540789254857753</v>
      </c>
      <c r="K47" s="30" t="n">
        <f aca="false">1/(1+$B$10)^K$16</f>
        <v>0.503059771960701</v>
      </c>
    </row>
    <row r="48" customFormat="false" ht="15" hidden="false" customHeight="false" outlineLevel="0" collapsed="false">
      <c r="A48" s="0" t="s">
        <v>144</v>
      </c>
      <c r="B48" s="27" t="n">
        <f aca="false">B46*B47</f>
        <v>12.0658697284068</v>
      </c>
      <c r="C48" s="27" t="n">
        <f aca="false">C46*C47</f>
        <v>11.9815360008616</v>
      </c>
      <c r="D48" s="27" t="n">
        <f aca="false">D46*D47</f>
        <v>11.8884555726122</v>
      </c>
      <c r="E48" s="27" t="n">
        <f aca="false">E46*E47</f>
        <v>11.5774203977474</v>
      </c>
      <c r="F48" s="27" t="n">
        <f aca="false">F46*F47</f>
        <v>11.2697786586117</v>
      </c>
      <c r="G48" s="27" t="n">
        <f aca="false">G46*G47</f>
        <v>10.8642154744678</v>
      </c>
      <c r="H48" s="27" t="n">
        <f aca="false">H46*H47</f>
        <v>10.4397926583141</v>
      </c>
      <c r="I48" s="27" t="n">
        <f aca="false">I46*I47</f>
        <v>9.99979977225657</v>
      </c>
      <c r="J48" s="27" t="n">
        <f aca="false">J46*J47</f>
        <v>9.54755215726708</v>
      </c>
      <c r="K48" s="27" t="n">
        <f aca="false">K46*K47</f>
        <v>9.08634919953274</v>
      </c>
      <c r="L48" s="27"/>
    </row>
    <row r="49" customFormat="false" ht="15" hidden="false" customHeight="false" outlineLevel="0" collapsed="false">
      <c r="A49" s="0" t="s">
        <v>145</v>
      </c>
      <c r="B49" s="27" t="n">
        <f aca="false">L46/($B$10-L39)</f>
        <v>413.422914782374</v>
      </c>
      <c r="C49" s="0" t="str">
        <f aca="false">IF($B$10&gt;L39,"","Discount rate must exceed terminal growth")</f>
        <v/>
      </c>
    </row>
    <row r="50" customFormat="false" ht="15" hidden="false" customHeight="false" outlineLevel="0" collapsed="false">
      <c r="A50" s="0" t="s">
        <v>146</v>
      </c>
      <c r="B50" s="27" t="n">
        <f aca="false">B49/(1+$B$10)^$K$16</f>
        <v>207.976437233749</v>
      </c>
    </row>
    <row r="51" customFormat="false" ht="15" hidden="false" customHeight="false" outlineLevel="0" collapsed="false">
      <c r="A51" s="0" t="s">
        <v>147</v>
      </c>
      <c r="B51" s="27" t="n">
        <f aca="false">SUM(B48:K48)+B50+$B$7+$B$8</f>
        <v>309.587206853827</v>
      </c>
    </row>
    <row r="52" customFormat="false" ht="15" hidden="false" customHeight="false" outlineLevel="0" collapsed="false">
      <c r="A52" s="0" t="s">
        <v>148</v>
      </c>
      <c r="B52" s="31" t="n">
        <f aca="false">B51/$B$6</f>
        <v>71.9970248497273</v>
      </c>
    </row>
    <row r="53" customFormat="false" ht="15" hidden="false" customHeight="false" outlineLevel="0" collapsed="false">
      <c r="A53" s="0" t="s">
        <v>149</v>
      </c>
      <c r="B53" s="6" t="n">
        <f aca="false">B52/$B$4-1</f>
        <v>-0.228079501986413</v>
      </c>
    </row>
    <row r="55" customFormat="false" ht="15" hidden="false" customHeight="false" outlineLevel="0" collapsed="false">
      <c r="A55" s="12" t="s">
        <v>168</v>
      </c>
      <c r="B55" s="26"/>
      <c r="C55" s="26"/>
      <c r="D55" s="26"/>
      <c r="E55" s="26"/>
      <c r="F55" s="26"/>
      <c r="G55" s="26"/>
      <c r="H55" s="26"/>
      <c r="I55" s="26"/>
      <c r="J55" s="26"/>
      <c r="K55" s="26"/>
      <c r="L55" s="26"/>
    </row>
    <row r="56" customFormat="false" ht="15" hidden="false" customHeight="false" outlineLevel="0" collapsed="false">
      <c r="A56" s="0" t="s">
        <v>134</v>
      </c>
      <c r="B56" s="22" t="n">
        <v>52.8</v>
      </c>
      <c r="C56" s="22" t="n">
        <v>56.2</v>
      </c>
      <c r="D56" s="22" t="n">
        <v>59.8</v>
      </c>
      <c r="E56" s="22" t="n">
        <v>63.6</v>
      </c>
      <c r="F56" s="22" t="n">
        <v>67.6</v>
      </c>
      <c r="G56" s="27" t="n">
        <f aca="false">F56*(1+$F57+($L57-$F57)*G$17/5)</f>
        <v>71.4744578616352</v>
      </c>
      <c r="H56" s="27" t="n">
        <f aca="false">G56*(1+$F57+($L57-$F57)*H$17/5)</f>
        <v>75.1722496249674</v>
      </c>
      <c r="I56" s="27" t="n">
        <f aca="false">H56*(1+$F57+($L57-$F57)*I$17/5)</f>
        <v>78.6419926438204</v>
      </c>
      <c r="J56" s="27" t="n">
        <f aca="false">I56*(1+$F57+($L57-$F57)*J$17/5)</f>
        <v>81.8331758924866</v>
      </c>
      <c r="K56" s="27" t="n">
        <f aca="false">J56*(1+$F57+($L57-$F57)*K$17/5)</f>
        <v>84.6973370487237</v>
      </c>
      <c r="L56" s="27" t="n">
        <f aca="false">K56*(1+L57)</f>
        <v>87.661743845429</v>
      </c>
    </row>
    <row r="57" customFormat="false" ht="15" hidden="false" customHeight="false" outlineLevel="0" collapsed="false">
      <c r="A57" s="0" t="s">
        <v>135</v>
      </c>
      <c r="B57" s="6" t="n">
        <f aca="false">B56/$B$12-1</f>
        <v>0.0602409638554218</v>
      </c>
      <c r="C57" s="6" t="n">
        <f aca="false">C56/B56-1</f>
        <v>0.0643939393939395</v>
      </c>
      <c r="D57" s="6" t="n">
        <f aca="false">D56/C56-1</f>
        <v>0.0640569395017792</v>
      </c>
      <c r="E57" s="6" t="n">
        <f aca="false">E56/D56-1</f>
        <v>0.0635451505016724</v>
      </c>
      <c r="F57" s="6" t="n">
        <f aca="false">F56/E56-1</f>
        <v>0.0628930817610063</v>
      </c>
      <c r="G57" s="6" t="n">
        <f aca="false">G56/F56-1</f>
        <v>0.0573144654088049</v>
      </c>
      <c r="H57" s="6" t="n">
        <f aca="false">H56/G56-1</f>
        <v>0.0517358490566038</v>
      </c>
      <c r="I57" s="6" t="n">
        <f aca="false">I56/H56-1</f>
        <v>0.0461572327044024</v>
      </c>
      <c r="J57" s="6" t="n">
        <f aca="false">J56/I56-1</f>
        <v>0.0405786163522013</v>
      </c>
      <c r="K57" s="6" t="n">
        <f aca="false">K56/J56-1</f>
        <v>0.0349999999999999</v>
      </c>
      <c r="L57" s="28" t="n">
        <v>0.035</v>
      </c>
    </row>
    <row r="58" customFormat="false" ht="15" hidden="false" customHeight="false" outlineLevel="0" collapsed="false">
      <c r="A58" s="0" t="s">
        <v>136</v>
      </c>
      <c r="B58" s="29" t="n">
        <v>0.33</v>
      </c>
      <c r="C58" s="29" t="n">
        <v>0.335</v>
      </c>
      <c r="D58" s="29" t="n">
        <v>0.34</v>
      </c>
      <c r="E58" s="29" t="n">
        <v>0.345</v>
      </c>
      <c r="F58" s="29" t="n">
        <v>0.35</v>
      </c>
      <c r="G58" s="6" t="n">
        <f aca="false">$F58+($L58-$F58)*G$17/5</f>
        <v>0.348</v>
      </c>
      <c r="H58" s="6" t="n">
        <f aca="false">$F58+($L58-$F58)*H$17/5</f>
        <v>0.346</v>
      </c>
      <c r="I58" s="6" t="n">
        <f aca="false">$F58+($L58-$F58)*I$17/5</f>
        <v>0.344</v>
      </c>
      <c r="J58" s="6" t="n">
        <f aca="false">$F58+($L58-$F58)*J$17/5</f>
        <v>0.342</v>
      </c>
      <c r="K58" s="6" t="n">
        <f aca="false">$F58+($L58-$F58)*K$17/5</f>
        <v>0.34</v>
      </c>
      <c r="L58" s="28" t="n">
        <v>0.34</v>
      </c>
    </row>
    <row r="59" customFormat="false" ht="15" hidden="false" customHeight="false" outlineLevel="0" collapsed="false">
      <c r="A59" s="0" t="s">
        <v>137</v>
      </c>
      <c r="B59" s="27" t="n">
        <f aca="false">B56*B58</f>
        <v>17.424</v>
      </c>
      <c r="C59" s="27" t="n">
        <f aca="false">C56*C58</f>
        <v>18.827</v>
      </c>
      <c r="D59" s="27" t="n">
        <f aca="false">D56*D58</f>
        <v>20.332</v>
      </c>
      <c r="E59" s="27" t="n">
        <f aca="false">E56*E58</f>
        <v>21.942</v>
      </c>
      <c r="F59" s="27" t="n">
        <f aca="false">F56*F58</f>
        <v>23.66</v>
      </c>
      <c r="G59" s="27" t="n">
        <f aca="false">G56*G58</f>
        <v>24.8731113358491</v>
      </c>
      <c r="H59" s="27" t="n">
        <f aca="false">H56*H58</f>
        <v>26.0095983702387</v>
      </c>
      <c r="I59" s="27" t="n">
        <f aca="false">I56*I58</f>
        <v>27.0528454694742</v>
      </c>
      <c r="J59" s="27" t="n">
        <f aca="false">J56*J58</f>
        <v>27.9869461552304</v>
      </c>
      <c r="K59" s="27" t="n">
        <f aca="false">K56*K58</f>
        <v>28.797094596566</v>
      </c>
      <c r="L59" s="27" t="n">
        <f aca="false">L56*L58</f>
        <v>29.8049929074459</v>
      </c>
    </row>
    <row r="60" customFormat="false" ht="15" hidden="false" customHeight="false" outlineLevel="0" collapsed="false">
      <c r="A60" s="0" t="s">
        <v>138</v>
      </c>
      <c r="B60" s="27" t="n">
        <f aca="false">B59*(1-$B$9)</f>
        <v>14.11344</v>
      </c>
      <c r="C60" s="27" t="n">
        <f aca="false">C59*(1-$B$9)</f>
        <v>15.24987</v>
      </c>
      <c r="D60" s="27" t="n">
        <f aca="false">D59*(1-$B$9)</f>
        <v>16.46892</v>
      </c>
      <c r="E60" s="27" t="n">
        <f aca="false">E59*(1-$B$9)</f>
        <v>17.77302</v>
      </c>
      <c r="F60" s="27" t="n">
        <f aca="false">F59*(1-$B$9)</f>
        <v>19.1646</v>
      </c>
      <c r="G60" s="27" t="n">
        <f aca="false">G59*(1-$B$9)</f>
        <v>20.1472201820377</v>
      </c>
      <c r="H60" s="27" t="n">
        <f aca="false">H59*(1-$B$9)</f>
        <v>21.0677746798934</v>
      </c>
      <c r="I60" s="27" t="n">
        <f aca="false">I59*(1-$B$9)</f>
        <v>21.9128048302741</v>
      </c>
      <c r="J60" s="27" t="n">
        <f aca="false">J59*(1-$B$9)</f>
        <v>22.6694263857366</v>
      </c>
      <c r="K60" s="27" t="n">
        <f aca="false">K59*(1-$B$9)</f>
        <v>23.3256466232185</v>
      </c>
      <c r="L60" s="27" t="n">
        <f aca="false">L59*(1-$B$9)</f>
        <v>24.1420442550311</v>
      </c>
    </row>
    <row r="61" customFormat="false" ht="15" hidden="false" customHeight="false" outlineLevel="0" collapsed="false">
      <c r="A61" s="0" t="s">
        <v>139</v>
      </c>
      <c r="B61" s="29" t="n">
        <v>0.02</v>
      </c>
      <c r="C61" s="29" t="n">
        <v>0.02</v>
      </c>
      <c r="D61" s="29" t="n">
        <v>0.02</v>
      </c>
      <c r="E61" s="29" t="n">
        <v>0.02</v>
      </c>
      <c r="F61" s="29" t="n">
        <v>0.02</v>
      </c>
      <c r="G61" s="6" t="n">
        <f aca="false">$F61+($L61-$F61)*G$17/5</f>
        <v>0.02</v>
      </c>
      <c r="H61" s="6" t="n">
        <f aca="false">$F61+($L61-$F61)*H$17/5</f>
        <v>0.02</v>
      </c>
      <c r="I61" s="6" t="n">
        <f aca="false">$F61+($L61-$F61)*I$17/5</f>
        <v>0.02</v>
      </c>
      <c r="J61" s="6" t="n">
        <f aca="false">$F61+($L61-$F61)*J$17/5</f>
        <v>0.02</v>
      </c>
      <c r="K61" s="6" t="n">
        <f aca="false">$F61+($L61-$F61)*K$17/5</f>
        <v>0.02</v>
      </c>
      <c r="L61" s="28" t="n">
        <v>0.02</v>
      </c>
    </row>
    <row r="62" customFormat="false" ht="15" hidden="false" customHeight="false" outlineLevel="0" collapsed="false">
      <c r="A62" s="0" t="s">
        <v>140</v>
      </c>
      <c r="B62" s="27" t="n">
        <f aca="false">B56*B61</f>
        <v>1.056</v>
      </c>
      <c r="C62" s="27" t="n">
        <f aca="false">C56*C61</f>
        <v>1.124</v>
      </c>
      <c r="D62" s="27" t="n">
        <f aca="false">D56*D61</f>
        <v>1.196</v>
      </c>
      <c r="E62" s="27" t="n">
        <f aca="false">E56*E61</f>
        <v>1.272</v>
      </c>
      <c r="F62" s="27" t="n">
        <f aca="false">F56*F61</f>
        <v>1.352</v>
      </c>
      <c r="G62" s="27" t="n">
        <f aca="false">G56*G61</f>
        <v>1.4294891572327</v>
      </c>
      <c r="H62" s="27" t="n">
        <f aca="false">H56*H61</f>
        <v>1.50344499249935</v>
      </c>
      <c r="I62" s="27" t="n">
        <f aca="false">I56*I61</f>
        <v>1.57283985287641</v>
      </c>
      <c r="J62" s="27" t="n">
        <f aca="false">J56*J61</f>
        <v>1.63666351784973</v>
      </c>
      <c r="K62" s="27" t="n">
        <f aca="false">K56*K61</f>
        <v>1.69394674097447</v>
      </c>
      <c r="L62" s="27" t="n">
        <f aca="false">L56*L61</f>
        <v>1.75323487690858</v>
      </c>
    </row>
    <row r="63" customFormat="false" ht="15" hidden="false" customHeight="false" outlineLevel="0" collapsed="false">
      <c r="A63" s="0" t="s">
        <v>141</v>
      </c>
      <c r="B63" s="27" t="n">
        <f aca="false">$B$11*(B56-$B$12)</f>
        <v>0</v>
      </c>
      <c r="C63" s="27" t="n">
        <f aca="false">$B$11*(C56-B56)</f>
        <v>0</v>
      </c>
      <c r="D63" s="27" t="n">
        <f aca="false">$B$11*(D56-C56)</f>
        <v>0</v>
      </c>
      <c r="E63" s="27" t="n">
        <f aca="false">$B$11*(E56-D56)</f>
        <v>0</v>
      </c>
      <c r="F63" s="27" t="n">
        <f aca="false">$B$11*(F56-E56)</f>
        <v>0</v>
      </c>
      <c r="G63" s="27" t="n">
        <f aca="false">$B$11*(G56-F56)</f>
        <v>0</v>
      </c>
      <c r="H63" s="27" t="n">
        <f aca="false">$B$11*(H56-G56)</f>
        <v>0</v>
      </c>
      <c r="I63" s="27" t="n">
        <f aca="false">$B$11*(I56-H56)</f>
        <v>0</v>
      </c>
      <c r="J63" s="27" t="n">
        <f aca="false">$B$11*(J56-I56)</f>
        <v>0</v>
      </c>
      <c r="K63" s="27" t="n">
        <f aca="false">$B$11*(K56-J56)</f>
        <v>0</v>
      </c>
      <c r="L63" s="27" t="n">
        <f aca="false">$B$11*(L56-K56)</f>
        <v>0</v>
      </c>
    </row>
    <row r="64" customFormat="false" ht="15" hidden="false" customHeight="false" outlineLevel="0" collapsed="false">
      <c r="A64" s="0" t="s">
        <v>142</v>
      </c>
      <c r="B64" s="27" t="n">
        <f aca="false">B60-B62-B63</f>
        <v>13.05744</v>
      </c>
      <c r="C64" s="27" t="n">
        <f aca="false">C60-C62-C63</f>
        <v>14.12587</v>
      </c>
      <c r="D64" s="27" t="n">
        <f aca="false">D60-D62-D63</f>
        <v>15.27292</v>
      </c>
      <c r="E64" s="27" t="n">
        <f aca="false">E60-E62-E63</f>
        <v>16.50102</v>
      </c>
      <c r="F64" s="27" t="n">
        <f aca="false">F60-F62-F63</f>
        <v>17.8126</v>
      </c>
      <c r="G64" s="27" t="n">
        <f aca="false">G60-G62-G63</f>
        <v>18.717731024805</v>
      </c>
      <c r="H64" s="27" t="n">
        <f aca="false">H60-H62-H63</f>
        <v>19.564329687394</v>
      </c>
      <c r="I64" s="27" t="n">
        <f aca="false">I60-I62-I63</f>
        <v>20.3399649773977</v>
      </c>
      <c r="J64" s="27" t="n">
        <f aca="false">J60-J62-J63</f>
        <v>21.0327628678869</v>
      </c>
      <c r="K64" s="27" t="n">
        <f aca="false">K60-K62-K63</f>
        <v>21.631699882244</v>
      </c>
      <c r="L64" s="27" t="n">
        <f aca="false">L60-L62-L63</f>
        <v>22.3888093781226</v>
      </c>
    </row>
    <row r="65" customFormat="false" ht="15" hidden="false" customHeight="false" outlineLevel="0" collapsed="false">
      <c r="A65" s="0" t="s">
        <v>143</v>
      </c>
      <c r="B65" s="30" t="n">
        <f aca="false">1/(1+$B$10)^B$16</f>
        <v>0.964485644340824</v>
      </c>
      <c r="C65" s="30" t="n">
        <f aca="false">1/(1+$B$10)^C$16</f>
        <v>0.897195948224023</v>
      </c>
      <c r="D65" s="30" t="n">
        <f aca="false">1/(1+$B$10)^D$16</f>
        <v>0.834600882068858</v>
      </c>
      <c r="E65" s="30" t="n">
        <f aca="false">1/(1+$B$10)^E$16</f>
        <v>0.776372913552426</v>
      </c>
      <c r="F65" s="30" t="n">
        <f aca="false">1/(1+$B$10)^F$16</f>
        <v>0.722207361444118</v>
      </c>
      <c r="G65" s="30" t="n">
        <f aca="false">1/(1+$B$10)^G$16</f>
        <v>0.671820801343365</v>
      </c>
      <c r="H65" s="30" t="n">
        <f aca="false">1/(1+$B$10)^H$16</f>
        <v>0.624949582644991</v>
      </c>
      <c r="I65" s="30" t="n">
        <f aca="false">1/(1+$B$10)^I$16</f>
        <v>0.581348448972085</v>
      </c>
      <c r="J65" s="30" t="n">
        <f aca="false">1/(1+$B$10)^J$16</f>
        <v>0.540789254857753</v>
      </c>
      <c r="K65" s="30" t="n">
        <f aca="false">1/(1+$B$10)^K$16</f>
        <v>0.503059771960701</v>
      </c>
    </row>
    <row r="66" customFormat="false" ht="15" hidden="false" customHeight="false" outlineLevel="0" collapsed="false">
      <c r="A66" s="0" t="s">
        <v>144</v>
      </c>
      <c r="B66" s="27" t="n">
        <f aca="false">B64*B65</f>
        <v>12.5937134318417</v>
      </c>
      <c r="C66" s="27" t="n">
        <f aca="false">C64*C65</f>
        <v>12.6736733291393</v>
      </c>
      <c r="D66" s="27" t="n">
        <f aca="false">D64*D65</f>
        <v>12.7467925037671</v>
      </c>
      <c r="E66" s="27" t="n">
        <f aca="false">E64*E65</f>
        <v>12.8109449739869</v>
      </c>
      <c r="F66" s="27" t="n">
        <f aca="false">F64*F65</f>
        <v>12.8643908464595</v>
      </c>
      <c r="G66" s="27" t="n">
        <f aca="false">G64*G65</f>
        <v>12.5749610564141</v>
      </c>
      <c r="H66" s="27" t="n">
        <f aca="false">H64*H65</f>
        <v>12.2267196728659</v>
      </c>
      <c r="I66" s="27" t="n">
        <f aca="false">I64*I65</f>
        <v>11.8246070917567</v>
      </c>
      <c r="J66" s="27" t="n">
        <f aca="false">J64*J65</f>
        <v>11.3742921589244</v>
      </c>
      <c r="K66" s="27" t="n">
        <f aca="false">K64*K65</f>
        <v>10.882038009884</v>
      </c>
      <c r="L66" s="27"/>
    </row>
    <row r="67" customFormat="false" ht="15" hidden="false" customHeight="false" outlineLevel="0" collapsed="false">
      <c r="A67" s="0" t="s">
        <v>145</v>
      </c>
      <c r="B67" s="27" t="n">
        <f aca="false">L64/($B$10-L57)</f>
        <v>559.720234453064</v>
      </c>
      <c r="C67" s="0" t="str">
        <f aca="false">IF($B$10&gt;L57,"","Discount rate must exceed terminal growth")</f>
        <v/>
      </c>
    </row>
    <row r="68" customFormat="false" ht="15" hidden="false" customHeight="false" outlineLevel="0" collapsed="false">
      <c r="A68" s="0" t="s">
        <v>146</v>
      </c>
      <c r="B68" s="27" t="n">
        <f aca="false">B67/(1+$B$10)^$K$16</f>
        <v>281.572733505748</v>
      </c>
    </row>
    <row r="69" customFormat="false" ht="15" hidden="false" customHeight="false" outlineLevel="0" collapsed="false">
      <c r="A69" s="0" t="s">
        <v>147</v>
      </c>
      <c r="B69" s="27" t="n">
        <f aca="false">SUM(B66:K66)+B68+$B$7+$B$8</f>
        <v>397.034866580788</v>
      </c>
    </row>
    <row r="70" customFormat="false" ht="15" hidden="false" customHeight="false" outlineLevel="0" collapsed="false">
      <c r="A70" s="0" t="s">
        <v>148</v>
      </c>
      <c r="B70" s="31" t="n">
        <f aca="false">B69/$B$6</f>
        <v>92.3336899025088</v>
      </c>
    </row>
    <row r="71" customFormat="false" ht="15" hidden="false" customHeight="false" outlineLevel="0" collapsed="false">
      <c r="A71" s="0" t="s">
        <v>149</v>
      </c>
      <c r="B71" s="6" t="n">
        <f aca="false">B70/$B$4-1</f>
        <v>-0.0100387058806819</v>
      </c>
    </row>
    <row r="74" customFormat="false" ht="15" hidden="false" customHeight="false" outlineLevel="0" collapsed="false">
      <c r="A74" s="12" t="s">
        <v>152</v>
      </c>
      <c r="B74" s="26"/>
      <c r="C74" s="12" t="s">
        <v>153</v>
      </c>
      <c r="D74" s="26"/>
      <c r="E74" s="26"/>
      <c r="F74" s="26"/>
      <c r="G74" s="26"/>
      <c r="H74" s="26"/>
      <c r="I74" s="26"/>
      <c r="J74" s="26"/>
      <c r="K74" s="26"/>
      <c r="L74" s="26"/>
    </row>
    <row r="75" customFormat="false" ht="15" hidden="false" customHeight="false" outlineLevel="0" collapsed="false">
      <c r="A75" s="0" t="s">
        <v>154</v>
      </c>
      <c r="B75" s="7" t="n">
        <f aca="false">B34</f>
        <v>53.5719739917135</v>
      </c>
      <c r="C75" s="6" t="n">
        <f aca="false">B75/$B$4-1</f>
        <v>-0.425624809781135</v>
      </c>
    </row>
    <row r="76" customFormat="false" ht="15" hidden="false" customHeight="false" outlineLevel="0" collapsed="false">
      <c r="A76" s="0" t="s">
        <v>155</v>
      </c>
      <c r="B76" s="7" t="n">
        <f aca="false">B52</f>
        <v>71.9970248497273</v>
      </c>
      <c r="C76" s="6" t="n">
        <f aca="false">B76/$B$4-1</f>
        <v>-0.228079501986413</v>
      </c>
    </row>
    <row r="77" customFormat="false" ht="15" hidden="false" customHeight="false" outlineLevel="0" collapsed="false">
      <c r="A77" s="0" t="s">
        <v>156</v>
      </c>
      <c r="B77" s="7" t="n">
        <f aca="false">B70</f>
        <v>92.3336899025088</v>
      </c>
      <c r="C77" s="6" t="n">
        <f aca="false">B77/$B$4-1</f>
        <v>-0.0100387058806819</v>
      </c>
    </row>
    <row r="78" customFormat="false" ht="15" hidden="false" customHeight="false" outlineLevel="0" collapsed="false">
      <c r="A78" s="0" t="s">
        <v>157</v>
      </c>
      <c r="B78" s="7" t="n">
        <f aca="false">INDEX(B34:B70,1+($B$13-1)*18)</f>
        <v>71.9970248497273</v>
      </c>
      <c r="C78" s="6" t="n">
        <f aca="false">B78/$B$4-1</f>
        <v>-0.228079501986413</v>
      </c>
    </row>
    <row r="79" customFormat="false" ht="15" hidden="false" customHeight="false" outlineLevel="0" collapsed="false">
      <c r="A79" s="0" t="s">
        <v>158</v>
      </c>
      <c r="B79" s="8" t="n">
        <f aca="false">B50/(SUM(B48:K48)+B50)</f>
        <v>0.65670436218827</v>
      </c>
    </row>
    <row r="81" customFormat="false" ht="15" hidden="false" customHeight="false" outlineLevel="0" collapsed="false">
      <c r="A81" s="9" t="s">
        <v>159</v>
      </c>
    </row>
    <row r="82" customFormat="false" ht="15" hidden="false" customHeight="false" outlineLevel="0" collapsed="false">
      <c r="A82" s="0" t="s">
        <v>5</v>
      </c>
      <c r="B82" s="11" t="n">
        <v>0.05</v>
      </c>
      <c r="C82" s="11" t="n">
        <v>0.06</v>
      </c>
      <c r="D82" s="11" t="n">
        <v>0.07</v>
      </c>
      <c r="E82" s="11" t="n">
        <v>0.08</v>
      </c>
      <c r="F82" s="11" t="n">
        <v>0.09</v>
      </c>
      <c r="G82" s="11" t="n">
        <v>0.1</v>
      </c>
      <c r="H82" s="11" t="n">
        <v>0.11</v>
      </c>
      <c r="I82" s="11" t="n">
        <v>0.12</v>
      </c>
      <c r="J82" s="11" t="n">
        <v>0.13</v>
      </c>
      <c r="K82" s="11" t="n">
        <v>0.14</v>
      </c>
    </row>
    <row r="83" customFormat="false" ht="15" hidden="false" customHeight="false" outlineLevel="0" collapsed="false">
      <c r="A83" s="0" t="s">
        <v>155</v>
      </c>
      <c r="B83" s="7" t="n">
        <f aca="false">IF(B82&gt;$L39,(SUMPRODUCT($B46:$K46/(1+B82)^$B$16:$K$16)+$L46/(B82-$L39)/(1+B82)^$K$16+$B$7+$B$8)/$B$6,"n/a")</f>
        <v>162.760229224031</v>
      </c>
      <c r="C83" s="7" t="n">
        <f aca="false">IF(C82&gt;$L39,(SUMPRODUCT($B46:$K46/(1+C82)^$B$16:$K$16)+$L46/(C82-$L39)/(1+C82)^$K$16+$B$7+$B$8)/$B$6,"n/a")</f>
        <v>108.303234135257</v>
      </c>
      <c r="D83" s="7" t="n">
        <f aca="false">IF(D82&gt;$L39,(SUMPRODUCT($B46:$K46/(1+D82)^$B$16:$K$16)+$L46/(D82-$L39)/(1+D82)^$K$16+$B$7+$B$8)/$B$6,"n/a")</f>
        <v>81.0737783155576</v>
      </c>
      <c r="E83" s="7" t="n">
        <f aca="false">IF(E82&gt;$L39,(SUMPRODUCT($B46:$K46/(1+E82)^$B$16:$K$16)+$L46/(E82-$L39)/(1+E82)^$K$16+$B$7+$B$8)/$B$6,"n/a")</f>
        <v>64.7354830289816</v>
      </c>
      <c r="F83" s="7" t="n">
        <f aca="false">IF(F82&gt;$L39,(SUMPRODUCT($B46:$K46/(1+F82)^$B$16:$K$16)+$L46/(F82-$L39)/(1+F82)^$K$16+$B$7+$B$8)/$B$6,"n/a")</f>
        <v>53.842871240812</v>
      </c>
      <c r="G83" s="7" t="n">
        <f aca="false">IF(G82&gt;$L39,(SUMPRODUCT($B46:$K46/(1+G82)^$B$16:$K$16)+$L46/(G82-$L39)/(1+G82)^$K$16+$B$7+$B$8)/$B$6,"n/a")</f>
        <v>46.0621540229501</v>
      </c>
      <c r="H83" s="7" t="n">
        <f aca="false">IF(H82&gt;$L39,(SUMPRODUCT($B46:$K46/(1+H82)^$B$16:$K$16)+$L46/(H82-$L39)/(1+H82)^$K$16+$B$7+$B$8)/$B$6,"n/a")</f>
        <v>40.2264269445897</v>
      </c>
      <c r="I83" s="7" t="n">
        <f aca="false">IF(I82&gt;$L39,(SUMPRODUCT($B46:$K46/(1+I82)^$B$16:$K$16)+$L46/(I82-$L39)/(1+I82)^$K$16+$B$7+$B$8)/$B$6,"n/a")</f>
        <v>35.6874020395061</v>
      </c>
      <c r="J83" s="7" t="n">
        <f aca="false">IF(J82&gt;$L39,(SUMPRODUCT($B46:$K46/(1+J82)^$B$16:$K$16)+$L46/(J82-$L39)/(1+J82)^$K$16+$B$7+$B$8)/$B$6,"n/a")</f>
        <v>32.0561004652622</v>
      </c>
      <c r="K83" s="7" t="n">
        <f aca="false">IF(K82&gt;$L39,(SUMPRODUCT($B46:$K46/(1+K82)^$B$16:$K$16)+$L46/(K82-$L39)/(1+K82)^$K$16+$B$7+$B$8)/$B$6,"n/a")</f>
        <v>29.0849854289181</v>
      </c>
    </row>
    <row r="84" customFormat="false" ht="15" hidden="false" customHeight="false" outlineLevel="0" collapsed="false">
      <c r="A84" s="0" t="s">
        <v>160</v>
      </c>
      <c r="B84" s="6" t="n">
        <f aca="false">IFERROR(B83/$B$4-1,"n/a")</f>
        <v>0.745043735649521</v>
      </c>
      <c r="C84" s="6" t="n">
        <f aca="false">IFERROR(C83/$B$4-1,"n/a")</f>
        <v>0.161179737699761</v>
      </c>
      <c r="D84" s="6" t="n">
        <f aca="false">IFERROR(D83/$B$4-1,"n/a")</f>
        <v>-0.130762535482389</v>
      </c>
      <c r="E84" s="6" t="n">
        <f aca="false">IFERROR(E83/$B$4-1,"n/a")</f>
        <v>-0.305934566002128</v>
      </c>
      <c r="F84" s="6" t="n">
        <f aca="false">IFERROR(F83/$B$4-1,"n/a")</f>
        <v>-0.422720368384132</v>
      </c>
      <c r="G84" s="6" t="n">
        <f aca="false">IFERROR(G83/$B$4-1,"n/a")</f>
        <v>-0.506141803120509</v>
      </c>
      <c r="H84" s="6" t="n">
        <f aca="false">IFERROR(H83/$B$4-1,"n/a")</f>
        <v>-0.568709907316504</v>
      </c>
      <c r="I84" s="6" t="n">
        <f aca="false">IFERROR(I83/$B$4-1,"n/a")</f>
        <v>-0.617375339985996</v>
      </c>
      <c r="J84" s="6" t="n">
        <f aca="false">IFERROR(J83/$B$4-1,"n/a")</f>
        <v>-0.65630856153895</v>
      </c>
      <c r="K84" s="6" t="n">
        <f aca="false">IFERROR(K83/$B$4-1,"n/a")</f>
        <v>-0.688163552815288</v>
      </c>
    </row>
    <row r="86" customFormat="false" ht="15" hidden="false" customHeight="false" outlineLevel="0" collapsed="false">
      <c r="A86" s="9" t="s">
        <v>161</v>
      </c>
      <c r="B86" s="18" t="n">
        <f aca="false">IFERROR(IF(MATCH($B$4,$B$83:$K$83,-1)=10,"above 14%",INDEX($B$82:$K$82,MATCH($B$4,$B$83:$K$83,-1))+(INDEX($B$83:$K$83,MATCH($B$4,$B$83:$K$83,-1))-$B$4)/(INDEX($B$83:$K$83,MATCH($B$4,$B$83:$K$83,-1))-INDEX($B$83:$K$83,MATCH($B$4,$B$83:$K$83,-1)+1))*(INDEX($B$82:$K$82,MATCH($B$4,$B$83:$K$83,-1)+1)-INDEX($B$82:$K$82,MATCH($B$4,$B$83:$K$83,-1)))),"below 5%")</f>
        <v>0.0655209454918232</v>
      </c>
      <c r="C86"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1"/>
    <col collapsed="false" customWidth="true" hidden="false" outlineLevel="0" max="3" min="3" style="0" width="12"/>
    <col collapsed="false" customWidth="true" hidden="false" outlineLevel="0" max="12" min="4" style="0" width="11"/>
  </cols>
  <sheetData>
    <row r="1" customFormat="false" ht="16.15" hidden="false" customHeight="false" outlineLevel="0" collapsed="false">
      <c r="A1" s="1" t="s">
        <v>169</v>
      </c>
    </row>
    <row r="2" customFormat="false" ht="15" hidden="false" customHeight="false" outlineLevel="0" collapsed="false">
      <c r="A2" s="2" t="s">
        <v>100</v>
      </c>
    </row>
    <row r="4" customFormat="false" ht="15" hidden="false" customHeight="false" outlineLevel="0" collapsed="false">
      <c r="A4" s="0" t="s">
        <v>101</v>
      </c>
      <c r="B4" s="19" t="n">
        <v>320.47</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106</v>
      </c>
      <c r="B6" s="21" t="n">
        <v>12.23</v>
      </c>
      <c r="C6" s="2" t="s">
        <v>61</v>
      </c>
    </row>
    <row r="7" customFormat="false" ht="15" hidden="false" customHeight="false" outlineLevel="0" collapsed="false">
      <c r="A7" s="0" t="s">
        <v>107</v>
      </c>
      <c r="B7" s="22" t="n">
        <v>121.68</v>
      </c>
      <c r="C7" s="2" t="s">
        <v>108</v>
      </c>
    </row>
    <row r="8" customFormat="false" ht="15" hidden="false" customHeight="false" outlineLevel="0" collapsed="false">
      <c r="A8" s="0" t="s">
        <v>109</v>
      </c>
      <c r="B8" s="22" t="n">
        <v>0</v>
      </c>
      <c r="C8" s="2" t="s">
        <v>170</v>
      </c>
    </row>
    <row r="9" customFormat="false" ht="15" hidden="false" customHeight="false" outlineLevel="0" collapsed="false">
      <c r="A9" s="0" t="s">
        <v>72</v>
      </c>
      <c r="B9" s="11" t="n">
        <v>0.17</v>
      </c>
      <c r="C9" s="2" t="s">
        <v>111</v>
      </c>
    </row>
    <row r="10" customFormat="false" ht="15" hidden="false" customHeight="false" outlineLevel="0" collapsed="false">
      <c r="A10" s="0" t="s">
        <v>112</v>
      </c>
      <c r="B10" s="23" t="n">
        <f aca="false">WACC!D29</f>
        <v>0.095</v>
      </c>
      <c r="C10" s="2" t="s">
        <v>113</v>
      </c>
    </row>
    <row r="11" customFormat="false" ht="15" hidden="false" customHeight="false" outlineLevel="0" collapsed="false">
      <c r="A11" s="0" t="s">
        <v>114</v>
      </c>
      <c r="B11" s="11" t="n">
        <v>0</v>
      </c>
      <c r="C11" s="2" t="s">
        <v>45</v>
      </c>
    </row>
    <row r="12" customFormat="false" ht="15" hidden="false" customHeight="false" outlineLevel="0" collapsed="false">
      <c r="A12" s="0" t="s">
        <v>115</v>
      </c>
      <c r="B12" s="22" t="n">
        <v>499.6</v>
      </c>
      <c r="C12" s="2" t="s">
        <v>171</v>
      </c>
    </row>
    <row r="13" customFormat="false" ht="15" hidden="false" customHeight="false" outlineLevel="0" collapsed="false">
      <c r="A13" s="0" t="s">
        <v>117</v>
      </c>
      <c r="B13" s="10" t="n">
        <v>2</v>
      </c>
      <c r="C13" s="2" t="s">
        <v>118</v>
      </c>
    </row>
    <row r="15" customFormat="false" ht="15" hidden="false" customHeight="false" outlineLevel="0" collapsed="false">
      <c r="A15" s="9" t="s">
        <v>119</v>
      </c>
      <c r="B15" s="24" t="s">
        <v>120</v>
      </c>
      <c r="C15" s="24" t="s">
        <v>121</v>
      </c>
      <c r="D15" s="24" t="s">
        <v>122</v>
      </c>
      <c r="E15" s="24" t="s">
        <v>123</v>
      </c>
      <c r="F15" s="24" t="s">
        <v>124</v>
      </c>
      <c r="G15" s="24" t="s">
        <v>125</v>
      </c>
      <c r="H15" s="24" t="s">
        <v>126</v>
      </c>
      <c r="I15" s="24" t="s">
        <v>127</v>
      </c>
      <c r="J15" s="24" t="s">
        <v>128</v>
      </c>
      <c r="K15" s="24" t="s">
        <v>129</v>
      </c>
      <c r="L15" s="9" t="s">
        <v>130</v>
      </c>
    </row>
    <row r="16" customFormat="false" ht="15" hidden="false" customHeight="false" outlineLevel="0" collapsed="false">
      <c r="A16" s="0" t="s">
        <v>131</v>
      </c>
      <c r="B16" s="20" t="n">
        <v>0.5</v>
      </c>
      <c r="C16" s="25" t="n">
        <f aca="false">B16+1</f>
        <v>1.5</v>
      </c>
      <c r="D16" s="25" t="n">
        <f aca="false">C16+1</f>
        <v>2.5</v>
      </c>
      <c r="E16" s="25" t="n">
        <f aca="false">D16+1</f>
        <v>3.5</v>
      </c>
      <c r="F16" s="25" t="n">
        <f aca="false">E16+1</f>
        <v>4.5</v>
      </c>
      <c r="G16" s="25" t="n">
        <f aca="false">F16+1</f>
        <v>5.5</v>
      </c>
      <c r="H16" s="25" t="n">
        <f aca="false">G16+1</f>
        <v>6.5</v>
      </c>
      <c r="I16" s="25" t="n">
        <f aca="false">H16+1</f>
        <v>7.5</v>
      </c>
      <c r="J16" s="25" t="n">
        <f aca="false">I16+1</f>
        <v>8.5</v>
      </c>
      <c r="K16" s="25" t="n">
        <f aca="false">J16+1</f>
        <v>9.5</v>
      </c>
    </row>
    <row r="17" customFormat="false" ht="15" hidden="false" customHeight="false" outlineLevel="0" collapsed="false">
      <c r="A17" s="0" t="s">
        <v>132</v>
      </c>
      <c r="B17" s="0" t="n">
        <v>0</v>
      </c>
      <c r="C17" s="0" t="n">
        <v>0</v>
      </c>
      <c r="D17" s="0" t="n">
        <v>0</v>
      </c>
      <c r="E17" s="0" t="n">
        <v>0</v>
      </c>
      <c r="F17" s="0" t="n">
        <v>0</v>
      </c>
      <c r="G17" s="0" t="n">
        <v>1</v>
      </c>
      <c r="H17" s="0" t="n">
        <v>2</v>
      </c>
      <c r="I17" s="0" t="n">
        <v>3</v>
      </c>
      <c r="J17" s="0" t="n">
        <v>4</v>
      </c>
      <c r="K17" s="0" t="n">
        <v>5</v>
      </c>
    </row>
    <row r="19" customFormat="false" ht="15" hidden="false" customHeight="false" outlineLevel="0" collapsed="false">
      <c r="A19" s="12" t="s">
        <v>172</v>
      </c>
      <c r="B19" s="26"/>
      <c r="C19" s="26"/>
      <c r="D19" s="26"/>
      <c r="E19" s="26"/>
      <c r="F19" s="26"/>
      <c r="G19" s="26"/>
      <c r="H19" s="26"/>
      <c r="I19" s="26"/>
      <c r="J19" s="26"/>
      <c r="K19" s="26"/>
      <c r="L19" s="26"/>
    </row>
    <row r="20" customFormat="false" ht="15" hidden="false" customHeight="false" outlineLevel="0" collapsed="false">
      <c r="A20" s="0" t="s">
        <v>134</v>
      </c>
      <c r="B20" s="22" t="n">
        <v>565</v>
      </c>
      <c r="C20" s="22" t="n">
        <v>610</v>
      </c>
      <c r="D20" s="22" t="n">
        <v>650</v>
      </c>
      <c r="E20" s="22" t="n">
        <v>690</v>
      </c>
      <c r="F20" s="22" t="n">
        <v>725</v>
      </c>
      <c r="G20" s="27" t="n">
        <f aca="false">F20*(1+$F21+($L21-$F21)*G$17/5)</f>
        <v>759.495289855073</v>
      </c>
      <c r="H20" s="27" t="n">
        <f aca="false">G20*(1+$F21+($L21-$F21)*H$17/5)</f>
        <v>793.243297952111</v>
      </c>
      <c r="I20" s="27" t="n">
        <f aca="false">H20*(1+$F21+($L21-$F21)*I$17/5)</f>
        <v>825.996198761757</v>
      </c>
      <c r="J20" s="27" t="n">
        <f aca="false">I20*(1+$F21+($L21-$F21)*J$17/5)</f>
        <v>857.503763908727</v>
      </c>
      <c r="K20" s="27" t="n">
        <f aca="false">J20*(1+$F21+($L21-$F21)*K$17/5)</f>
        <v>887.516395645532</v>
      </c>
      <c r="L20" s="27" t="n">
        <f aca="false">K20*(1+L21)</f>
        <v>918.579469493126</v>
      </c>
    </row>
    <row r="21" customFormat="false" ht="15" hidden="false" customHeight="false" outlineLevel="0" collapsed="false">
      <c r="A21" s="0" t="s">
        <v>135</v>
      </c>
      <c r="B21" s="6" t="n">
        <f aca="false">B20/$B$12-1</f>
        <v>0.130904723779023</v>
      </c>
      <c r="C21" s="6" t="n">
        <f aca="false">C20/B20-1</f>
        <v>0.079646017699115</v>
      </c>
      <c r="D21" s="6" t="n">
        <f aca="false">D20/C20-1</f>
        <v>0.0655737704918034</v>
      </c>
      <c r="E21" s="6" t="n">
        <f aca="false">E20/D20-1</f>
        <v>0.0615384615384615</v>
      </c>
      <c r="F21" s="6" t="n">
        <f aca="false">F20/E20-1</f>
        <v>0.0507246376811594</v>
      </c>
      <c r="G21" s="6" t="n">
        <f aca="false">G20/F20-1</f>
        <v>0.0475797101449276</v>
      </c>
      <c r="H21" s="6" t="n">
        <f aca="false">H20/G20-1</f>
        <v>0.0444347826086957</v>
      </c>
      <c r="I21" s="6" t="n">
        <f aca="false">I20/H20-1</f>
        <v>0.0412898550724639</v>
      </c>
      <c r="J21" s="6" t="n">
        <f aca="false">J20/I20-1</f>
        <v>0.0381449275362318</v>
      </c>
      <c r="K21" s="6" t="n">
        <f aca="false">K20/J20-1</f>
        <v>0.0349999999999999</v>
      </c>
      <c r="L21" s="28" t="n">
        <v>0.035</v>
      </c>
    </row>
    <row r="22" customFormat="false" ht="15" hidden="false" customHeight="false" outlineLevel="0" collapsed="false">
      <c r="A22" s="0" t="s">
        <v>136</v>
      </c>
      <c r="B22" s="29" t="n">
        <v>0.3</v>
      </c>
      <c r="C22" s="29" t="n">
        <v>0.29</v>
      </c>
      <c r="D22" s="29" t="n">
        <v>0.29</v>
      </c>
      <c r="E22" s="29" t="n">
        <v>0.29</v>
      </c>
      <c r="F22" s="29" t="n">
        <v>0.29</v>
      </c>
      <c r="G22" s="6" t="n">
        <f aca="false">$F22+($L22-$F22)*G$17/5</f>
        <v>0.286</v>
      </c>
      <c r="H22" s="6" t="n">
        <f aca="false">$F22+($L22-$F22)*H$17/5</f>
        <v>0.282</v>
      </c>
      <c r="I22" s="6" t="n">
        <f aca="false">$F22+($L22-$F22)*I$17/5</f>
        <v>0.278</v>
      </c>
      <c r="J22" s="6" t="n">
        <f aca="false">$F22+($L22-$F22)*J$17/5</f>
        <v>0.274</v>
      </c>
      <c r="K22" s="6" t="n">
        <f aca="false">$F22+($L22-$F22)*K$17/5</f>
        <v>0.27</v>
      </c>
      <c r="L22" s="28" t="n">
        <v>0.27</v>
      </c>
    </row>
    <row r="23" customFormat="false" ht="15" hidden="false" customHeight="false" outlineLevel="0" collapsed="false">
      <c r="A23" s="0" t="s">
        <v>137</v>
      </c>
      <c r="B23" s="27" t="n">
        <f aca="false">B20*B22</f>
        <v>169.5</v>
      </c>
      <c r="C23" s="27" t="n">
        <f aca="false">C20*C22</f>
        <v>176.9</v>
      </c>
      <c r="D23" s="27" t="n">
        <f aca="false">D20*D22</f>
        <v>188.5</v>
      </c>
      <c r="E23" s="27" t="n">
        <f aca="false">E20*E22</f>
        <v>200.1</v>
      </c>
      <c r="F23" s="27" t="n">
        <f aca="false">F20*F22</f>
        <v>210.25</v>
      </c>
      <c r="G23" s="27" t="n">
        <f aca="false">G20*G22</f>
        <v>217.215652898551</v>
      </c>
      <c r="H23" s="27" t="n">
        <f aca="false">H20*H22</f>
        <v>223.694610022495</v>
      </c>
      <c r="I23" s="27" t="n">
        <f aca="false">I20*I22</f>
        <v>229.626943255768</v>
      </c>
      <c r="J23" s="27" t="n">
        <f aca="false">J20*J22</f>
        <v>234.956031310991</v>
      </c>
      <c r="K23" s="27" t="n">
        <f aca="false">K20*K22</f>
        <v>239.629426824294</v>
      </c>
      <c r="L23" s="27" t="n">
        <f aca="false">L20*L22</f>
        <v>248.016456763144</v>
      </c>
    </row>
    <row r="24" customFormat="false" ht="15" hidden="false" customHeight="false" outlineLevel="0" collapsed="false">
      <c r="A24" s="0" t="s">
        <v>138</v>
      </c>
      <c r="B24" s="27" t="n">
        <f aca="false">B23*(1-$B$9)</f>
        <v>140.685</v>
      </c>
      <c r="C24" s="27" t="n">
        <f aca="false">C23*(1-$B$9)</f>
        <v>146.827</v>
      </c>
      <c r="D24" s="27" t="n">
        <f aca="false">D23*(1-$B$9)</f>
        <v>156.455</v>
      </c>
      <c r="E24" s="27" t="n">
        <f aca="false">E23*(1-$B$9)</f>
        <v>166.083</v>
      </c>
      <c r="F24" s="27" t="n">
        <f aca="false">F23*(1-$B$9)</f>
        <v>174.5075</v>
      </c>
      <c r="G24" s="27" t="n">
        <f aca="false">G23*(1-$B$9)</f>
        <v>180.288991905797</v>
      </c>
      <c r="H24" s="27" t="n">
        <f aca="false">H23*(1-$B$9)</f>
        <v>185.666526318671</v>
      </c>
      <c r="I24" s="27" t="n">
        <f aca="false">I23*(1-$B$9)</f>
        <v>190.590362902288</v>
      </c>
      <c r="J24" s="27" t="n">
        <f aca="false">J23*(1-$B$9)</f>
        <v>195.013505988123</v>
      </c>
      <c r="K24" s="27" t="n">
        <f aca="false">K23*(1-$B$9)</f>
        <v>198.892424264164</v>
      </c>
      <c r="L24" s="27" t="n">
        <f aca="false">L23*(1-$B$9)</f>
        <v>205.85365911341</v>
      </c>
    </row>
    <row r="25" customFormat="false" ht="15" hidden="false" customHeight="false" outlineLevel="0" collapsed="false">
      <c r="A25" s="0" t="s">
        <v>139</v>
      </c>
      <c r="B25" s="29" t="n">
        <v>0.24</v>
      </c>
      <c r="C25" s="29" t="n">
        <v>0.19</v>
      </c>
      <c r="D25" s="29" t="n">
        <v>0.14</v>
      </c>
      <c r="E25" s="29" t="n">
        <v>0.11</v>
      </c>
      <c r="F25" s="29" t="n">
        <v>0.09</v>
      </c>
      <c r="G25" s="6" t="n">
        <f aca="false">$F25+($L25-$F25)*G$17/5</f>
        <v>0.084</v>
      </c>
      <c r="H25" s="6" t="n">
        <f aca="false">$F25+($L25-$F25)*H$17/5</f>
        <v>0.078</v>
      </c>
      <c r="I25" s="6" t="n">
        <f aca="false">$F25+($L25-$F25)*I$17/5</f>
        <v>0.072</v>
      </c>
      <c r="J25" s="6" t="n">
        <f aca="false">$F25+($L25-$F25)*J$17/5</f>
        <v>0.066</v>
      </c>
      <c r="K25" s="6" t="n">
        <f aca="false">$F25+($L25-$F25)*K$17/5</f>
        <v>0.06</v>
      </c>
      <c r="L25" s="28" t="n">
        <v>0.06</v>
      </c>
    </row>
    <row r="26" customFormat="false" ht="15" hidden="false" customHeight="false" outlineLevel="0" collapsed="false">
      <c r="A26" s="0" t="s">
        <v>140</v>
      </c>
      <c r="B26" s="27" t="n">
        <f aca="false">B20*B25</f>
        <v>135.6</v>
      </c>
      <c r="C26" s="27" t="n">
        <f aca="false">C20*C25</f>
        <v>115.9</v>
      </c>
      <c r="D26" s="27" t="n">
        <f aca="false">D20*D25</f>
        <v>91</v>
      </c>
      <c r="E26" s="27" t="n">
        <f aca="false">E20*E25</f>
        <v>75.9</v>
      </c>
      <c r="F26" s="27" t="n">
        <f aca="false">F20*F25</f>
        <v>65.25</v>
      </c>
      <c r="G26" s="27" t="n">
        <f aca="false">G20*G25</f>
        <v>63.7976043478261</v>
      </c>
      <c r="H26" s="27" t="n">
        <f aca="false">H20*H25</f>
        <v>61.8729772402647</v>
      </c>
      <c r="I26" s="27" t="n">
        <f aca="false">I20*I25</f>
        <v>59.4717263108465</v>
      </c>
      <c r="J26" s="27" t="n">
        <f aca="false">J20*J25</f>
        <v>56.595248417976</v>
      </c>
      <c r="K26" s="27" t="n">
        <f aca="false">K20*K25</f>
        <v>53.2509837387319</v>
      </c>
      <c r="L26" s="27" t="n">
        <f aca="false">L20*L25</f>
        <v>55.1147681695876</v>
      </c>
    </row>
    <row r="27" customFormat="false" ht="15" hidden="false" customHeight="false" outlineLevel="0" collapsed="false">
      <c r="A27" s="0" t="s">
        <v>141</v>
      </c>
      <c r="B27" s="27" t="n">
        <f aca="false">$B$11*(B20-$B$12)</f>
        <v>0</v>
      </c>
      <c r="C27" s="27" t="n">
        <f aca="false">$B$11*(C20-B20)</f>
        <v>0</v>
      </c>
      <c r="D27" s="27" t="n">
        <f aca="false">$B$11*(D20-C20)</f>
        <v>0</v>
      </c>
      <c r="E27" s="27" t="n">
        <f aca="false">$B$11*(E20-D20)</f>
        <v>0</v>
      </c>
      <c r="F27" s="27" t="n">
        <f aca="false">$B$11*(F20-E20)</f>
        <v>0</v>
      </c>
      <c r="G27" s="27" t="n">
        <f aca="false">$B$11*(G20-F20)</f>
        <v>0</v>
      </c>
      <c r="H27" s="27" t="n">
        <f aca="false">$B$11*(H20-G20)</f>
        <v>0</v>
      </c>
      <c r="I27" s="27" t="n">
        <f aca="false">$B$11*(I20-H20)</f>
        <v>0</v>
      </c>
      <c r="J27" s="27" t="n">
        <f aca="false">$B$11*(J20-I20)</f>
        <v>0</v>
      </c>
      <c r="K27" s="27" t="n">
        <f aca="false">$B$11*(K20-J20)</f>
        <v>0</v>
      </c>
      <c r="L27" s="27" t="n">
        <f aca="false">$B$11*(L20-K20)</f>
        <v>0</v>
      </c>
    </row>
    <row r="28" customFormat="false" ht="15" hidden="false" customHeight="false" outlineLevel="0" collapsed="false">
      <c r="A28" s="0" t="s">
        <v>142</v>
      </c>
      <c r="B28" s="27" t="n">
        <f aca="false">B24-B26-B27</f>
        <v>5.08500000000001</v>
      </c>
      <c r="C28" s="27" t="n">
        <f aca="false">C24-C26-C27</f>
        <v>30.927</v>
      </c>
      <c r="D28" s="27" t="n">
        <f aca="false">D24-D26-D27</f>
        <v>65.455</v>
      </c>
      <c r="E28" s="27" t="n">
        <f aca="false">E24-E26-E27</f>
        <v>90.183</v>
      </c>
      <c r="F28" s="27" t="n">
        <f aca="false">F24-F26-F27</f>
        <v>109.2575</v>
      </c>
      <c r="G28" s="27" t="n">
        <f aca="false">G24-G26-G27</f>
        <v>116.491387557971</v>
      </c>
      <c r="H28" s="27" t="n">
        <f aca="false">H24-H26-H27</f>
        <v>123.793549078406</v>
      </c>
      <c r="I28" s="27" t="n">
        <f aca="false">I24-I26-I27</f>
        <v>131.118636591441</v>
      </c>
      <c r="J28" s="27" t="n">
        <f aca="false">J24-J26-J27</f>
        <v>138.418257570147</v>
      </c>
      <c r="K28" s="27" t="n">
        <f aca="false">K24-K26-K27</f>
        <v>145.641440525432</v>
      </c>
      <c r="L28" s="27" t="n">
        <f aca="false">L24-L26-L27</f>
        <v>150.738890943822</v>
      </c>
    </row>
    <row r="29" customFormat="false" ht="15" hidden="false" customHeight="false" outlineLevel="0" collapsed="false">
      <c r="A29" s="0" t="s">
        <v>143</v>
      </c>
      <c r="B29" s="30" t="n">
        <f aca="false">1/(1+$B$10)^B$16</f>
        <v>0.955636965134993</v>
      </c>
      <c r="C29" s="30" t="n">
        <f aca="false">1/(1+$B$10)^C$16</f>
        <v>0.87272782204109</v>
      </c>
      <c r="D29" s="30" t="n">
        <f aca="false">1/(1+$B$10)^D$16</f>
        <v>0.797011709626566</v>
      </c>
      <c r="E29" s="30" t="n">
        <f aca="false">1/(1+$B$10)^E$16</f>
        <v>0.72786457500143</v>
      </c>
      <c r="F29" s="30" t="n">
        <f aca="false">1/(1+$B$10)^F$16</f>
        <v>0.664716506850621</v>
      </c>
      <c r="G29" s="30" t="n">
        <f aca="false">1/(1+$B$10)^G$16</f>
        <v>0.607047038219745</v>
      </c>
      <c r="H29" s="30" t="n">
        <f aca="false">1/(1+$B$10)^H$16</f>
        <v>0.554380856821685</v>
      </c>
      <c r="I29" s="30" t="n">
        <f aca="false">1/(1+$B$10)^I$16</f>
        <v>0.506283887508388</v>
      </c>
      <c r="J29" s="30" t="n">
        <f aca="false">1/(1+$B$10)^J$16</f>
        <v>0.462359714619533</v>
      </c>
      <c r="K29" s="30" t="n">
        <f aca="false">1/(1+$B$10)^K$16</f>
        <v>0.422246314721034</v>
      </c>
    </row>
    <row r="30" customFormat="false" ht="15" hidden="false" customHeight="false" outlineLevel="0" collapsed="false">
      <c r="A30" s="0" t="s">
        <v>144</v>
      </c>
      <c r="B30" s="27" t="n">
        <f aca="false">B28*B29</f>
        <v>4.85941396771145</v>
      </c>
      <c r="C30" s="27" t="n">
        <f aca="false">C28*C29</f>
        <v>26.9908533522647</v>
      </c>
      <c r="D30" s="27" t="n">
        <f aca="false">D28*D29</f>
        <v>52.1684014536069</v>
      </c>
      <c r="E30" s="27" t="n">
        <f aca="false">E28*E29</f>
        <v>65.641010967354</v>
      </c>
      <c r="F30" s="27" t="n">
        <f aca="false">F28*F29</f>
        <v>72.6252637472317</v>
      </c>
      <c r="G30" s="27" t="n">
        <f aca="false">G28*G29</f>
        <v>70.7157517951748</v>
      </c>
      <c r="H30" s="27" t="n">
        <f aca="false">H28*H29</f>
        <v>68.6287738070843</v>
      </c>
      <c r="I30" s="27" t="n">
        <f aca="false">I28*I29</f>
        <v>66.3832530583145</v>
      </c>
      <c r="J30" s="27" t="n">
        <f aca="false">J28*J29</f>
        <v>63.999026068266</v>
      </c>
      <c r="K30" s="27" t="n">
        <f aca="false">K28*K29</f>
        <v>61.4965615325263</v>
      </c>
      <c r="L30" s="27"/>
    </row>
    <row r="31" customFormat="false" ht="15" hidden="false" customHeight="false" outlineLevel="0" collapsed="false">
      <c r="A31" s="0" t="s">
        <v>145</v>
      </c>
      <c r="B31" s="27" t="n">
        <f aca="false">L28/($B$10-L21)</f>
        <v>2512.3148490637</v>
      </c>
      <c r="C31" s="0" t="str">
        <f aca="false">IF($B$10&gt;L21,"","Discount rate must exceed terminal growth")</f>
        <v/>
      </c>
    </row>
    <row r="32" customFormat="false" ht="15" hidden="false" customHeight="false" outlineLevel="0" collapsed="false">
      <c r="A32" s="0" t="s">
        <v>146</v>
      </c>
      <c r="B32" s="27" t="n">
        <f aca="false">B31/(1+$B$10)^$K$16</f>
        <v>1060.81568643608</v>
      </c>
    </row>
    <row r="33" customFormat="false" ht="15" hidden="false" customHeight="false" outlineLevel="0" collapsed="false">
      <c r="A33" s="0" t="s">
        <v>147</v>
      </c>
      <c r="B33" s="27" t="n">
        <f aca="false">SUM(B30:K30)+B32+$B$7+$B$8</f>
        <v>1736.00399618561</v>
      </c>
    </row>
    <row r="34" customFormat="false" ht="15" hidden="false" customHeight="false" outlineLevel="0" collapsed="false">
      <c r="A34" s="0" t="s">
        <v>148</v>
      </c>
      <c r="B34" s="31" t="n">
        <f aca="false">B33/$B$6</f>
        <v>141.94636109449</v>
      </c>
    </row>
    <row r="35" customFormat="false" ht="15" hidden="false" customHeight="false" outlineLevel="0" collapsed="false">
      <c r="A35" s="0" t="s">
        <v>149</v>
      </c>
      <c r="B35" s="6" t="n">
        <f aca="false">B34/$B$4-1</f>
        <v>-0.557068177693731</v>
      </c>
    </row>
    <row r="37" customFormat="false" ht="15" hidden="false" customHeight="false" outlineLevel="0" collapsed="false">
      <c r="A37" s="12" t="s">
        <v>173</v>
      </c>
      <c r="B37" s="26"/>
      <c r="C37" s="26"/>
      <c r="D37" s="26"/>
      <c r="E37" s="26"/>
      <c r="F37" s="26"/>
      <c r="G37" s="26"/>
      <c r="H37" s="26"/>
      <c r="I37" s="26"/>
      <c r="J37" s="26"/>
      <c r="K37" s="26"/>
      <c r="L37" s="26"/>
    </row>
    <row r="38" customFormat="false" ht="15" hidden="false" customHeight="false" outlineLevel="0" collapsed="false">
      <c r="A38" s="0" t="s">
        <v>134</v>
      </c>
      <c r="B38" s="22" t="n">
        <v>600</v>
      </c>
      <c r="C38" s="22" t="n">
        <v>690</v>
      </c>
      <c r="D38" s="22" t="n">
        <v>770</v>
      </c>
      <c r="E38" s="22" t="n">
        <v>845</v>
      </c>
      <c r="F38" s="22" t="n">
        <v>915</v>
      </c>
      <c r="G38" s="27" t="n">
        <f aca="false">F38*(1+$F39+($L39-$F39)*G$17/5)</f>
        <v>982.959053254438</v>
      </c>
      <c r="H38" s="27" t="n">
        <f aca="false">G38*(1+$F39+($L39-$F39)*H$17/5)</f>
        <v>1047.54353448129</v>
      </c>
      <c r="I38" s="27" t="n">
        <f aca="false">H38*(1+$F39+($L39-$F39)*I$17/5)</f>
        <v>1107.39608104313</v>
      </c>
      <c r="J38" s="27" t="n">
        <f aca="false">I38*(1+$F39+($L39-$F39)*J$17/5)</f>
        <v>1161.18014632835</v>
      </c>
      <c r="K38" s="27" t="n">
        <f aca="false">J38*(1+$F39+($L39-$F39)*K$17/5)</f>
        <v>1207.62735218148</v>
      </c>
      <c r="L38" s="27" t="n">
        <f aca="false">K38*(1+L39)</f>
        <v>1255.93244626874</v>
      </c>
    </row>
    <row r="39" customFormat="false" ht="15" hidden="false" customHeight="false" outlineLevel="0" collapsed="false">
      <c r="A39" s="0" t="s">
        <v>135</v>
      </c>
      <c r="B39" s="6" t="n">
        <f aca="false">B38/$B$12-1</f>
        <v>0.200960768614892</v>
      </c>
      <c r="C39" s="6" t="n">
        <f aca="false">C38/B38-1</f>
        <v>0.15</v>
      </c>
      <c r="D39" s="6" t="n">
        <f aca="false">D38/C38-1</f>
        <v>0.115942028985507</v>
      </c>
      <c r="E39" s="6" t="n">
        <f aca="false">E38/D38-1</f>
        <v>0.0974025974025974</v>
      </c>
      <c r="F39" s="6" t="n">
        <f aca="false">F38/E38-1</f>
        <v>0.0828402366863905</v>
      </c>
      <c r="G39" s="6" t="n">
        <f aca="false">G38/F38-1</f>
        <v>0.0742721893491125</v>
      </c>
      <c r="H39" s="6" t="n">
        <f aca="false">H38/G38-1</f>
        <v>0.0657041420118343</v>
      </c>
      <c r="I39" s="6" t="n">
        <f aca="false">I38/H38-1</f>
        <v>0.0571360946745563</v>
      </c>
      <c r="J39" s="6" t="n">
        <f aca="false">J38/I38-1</f>
        <v>0.048568047337278</v>
      </c>
      <c r="K39" s="6" t="n">
        <f aca="false">K38/J38-1</f>
        <v>0.04</v>
      </c>
      <c r="L39" s="28" t="n">
        <v>0.04</v>
      </c>
    </row>
    <row r="40" customFormat="false" ht="15" hidden="false" customHeight="false" outlineLevel="0" collapsed="false">
      <c r="A40" s="0" t="s">
        <v>136</v>
      </c>
      <c r="B40" s="29" t="n">
        <v>0.33</v>
      </c>
      <c r="C40" s="29" t="n">
        <v>0.335</v>
      </c>
      <c r="D40" s="29" t="n">
        <v>0.34</v>
      </c>
      <c r="E40" s="29" t="n">
        <v>0.34</v>
      </c>
      <c r="F40" s="29" t="n">
        <v>0.34</v>
      </c>
      <c r="G40" s="6" t="n">
        <f aca="false">$F40+($L40-$F40)*G$17/5</f>
        <v>0.336</v>
      </c>
      <c r="H40" s="6" t="n">
        <f aca="false">$F40+($L40-$F40)*H$17/5</f>
        <v>0.332</v>
      </c>
      <c r="I40" s="6" t="n">
        <f aca="false">$F40+($L40-$F40)*I$17/5</f>
        <v>0.328</v>
      </c>
      <c r="J40" s="6" t="n">
        <f aca="false">$F40+($L40-$F40)*J$17/5</f>
        <v>0.324</v>
      </c>
      <c r="K40" s="6" t="n">
        <f aca="false">$F40+($L40-$F40)*K$17/5</f>
        <v>0.32</v>
      </c>
      <c r="L40" s="28" t="n">
        <v>0.32</v>
      </c>
    </row>
    <row r="41" customFormat="false" ht="15" hidden="false" customHeight="false" outlineLevel="0" collapsed="false">
      <c r="A41" s="0" t="s">
        <v>137</v>
      </c>
      <c r="B41" s="27" t="n">
        <f aca="false">B38*B40</f>
        <v>198</v>
      </c>
      <c r="C41" s="27" t="n">
        <f aca="false">C38*C40</f>
        <v>231.15</v>
      </c>
      <c r="D41" s="27" t="n">
        <f aca="false">D38*D40</f>
        <v>261.8</v>
      </c>
      <c r="E41" s="27" t="n">
        <f aca="false">E38*E40</f>
        <v>287.3</v>
      </c>
      <c r="F41" s="27" t="n">
        <f aca="false">F38*F40</f>
        <v>311.1</v>
      </c>
      <c r="G41" s="27" t="n">
        <f aca="false">G38*G40</f>
        <v>330.274241893491</v>
      </c>
      <c r="H41" s="27" t="n">
        <f aca="false">H38*H40</f>
        <v>347.784453447787</v>
      </c>
      <c r="I41" s="27" t="n">
        <f aca="false">I38*I40</f>
        <v>363.225914582146</v>
      </c>
      <c r="J41" s="27" t="n">
        <f aca="false">J38*J40</f>
        <v>376.222367410384</v>
      </c>
      <c r="K41" s="27" t="n">
        <f aca="false">K38*K40</f>
        <v>386.440752698074</v>
      </c>
      <c r="L41" s="27" t="n">
        <f aca="false">L38*L40</f>
        <v>401.898382805997</v>
      </c>
    </row>
    <row r="42" customFormat="false" ht="15" hidden="false" customHeight="false" outlineLevel="0" collapsed="false">
      <c r="A42" s="0" t="s">
        <v>138</v>
      </c>
      <c r="B42" s="27" t="n">
        <f aca="false">B41*(1-$B$9)</f>
        <v>164.34</v>
      </c>
      <c r="C42" s="27" t="n">
        <f aca="false">C41*(1-$B$9)</f>
        <v>191.8545</v>
      </c>
      <c r="D42" s="27" t="n">
        <f aca="false">D41*(1-$B$9)</f>
        <v>217.294</v>
      </c>
      <c r="E42" s="27" t="n">
        <f aca="false">E41*(1-$B$9)</f>
        <v>238.459</v>
      </c>
      <c r="F42" s="27" t="n">
        <f aca="false">F41*(1-$B$9)</f>
        <v>258.213</v>
      </c>
      <c r="G42" s="27" t="n">
        <f aca="false">G41*(1-$B$9)</f>
        <v>274.127620771598</v>
      </c>
      <c r="H42" s="27" t="n">
        <f aca="false">H41*(1-$B$9)</f>
        <v>288.661096361663</v>
      </c>
      <c r="I42" s="27" t="n">
        <f aca="false">I41*(1-$B$9)</f>
        <v>301.477509103181</v>
      </c>
      <c r="J42" s="27" t="n">
        <f aca="false">J41*(1-$B$9)</f>
        <v>312.264564950619</v>
      </c>
      <c r="K42" s="27" t="n">
        <f aca="false">K41*(1-$B$9)</f>
        <v>320.745824739401</v>
      </c>
      <c r="L42" s="27" t="n">
        <f aca="false">L41*(1-$B$9)</f>
        <v>333.575657728977</v>
      </c>
    </row>
    <row r="43" customFormat="false" ht="15" hidden="false" customHeight="false" outlineLevel="0" collapsed="false">
      <c r="A43" s="0" t="s">
        <v>139</v>
      </c>
      <c r="B43" s="29" t="n">
        <v>0.22</v>
      </c>
      <c r="C43" s="29" t="n">
        <v>0.17</v>
      </c>
      <c r="D43" s="29" t="n">
        <v>0.13</v>
      </c>
      <c r="E43" s="29" t="n">
        <v>0.1</v>
      </c>
      <c r="F43" s="29" t="n">
        <v>0.08</v>
      </c>
      <c r="G43" s="6" t="n">
        <f aca="false">$F43+($L43-$F43)*G$17/5</f>
        <v>0.076</v>
      </c>
      <c r="H43" s="6" t="n">
        <f aca="false">$F43+($L43-$F43)*H$17/5</f>
        <v>0.072</v>
      </c>
      <c r="I43" s="6" t="n">
        <f aca="false">$F43+($L43-$F43)*I$17/5</f>
        <v>0.068</v>
      </c>
      <c r="J43" s="6" t="n">
        <f aca="false">$F43+($L43-$F43)*J$17/5</f>
        <v>0.064</v>
      </c>
      <c r="K43" s="6" t="n">
        <f aca="false">$F43+($L43-$F43)*K$17/5</f>
        <v>0.06</v>
      </c>
      <c r="L43" s="28" t="n">
        <v>0.06</v>
      </c>
    </row>
    <row r="44" customFormat="false" ht="15" hidden="false" customHeight="false" outlineLevel="0" collapsed="false">
      <c r="A44" s="0" t="s">
        <v>140</v>
      </c>
      <c r="B44" s="27" t="n">
        <f aca="false">B38*B43</f>
        <v>132</v>
      </c>
      <c r="C44" s="27" t="n">
        <f aca="false">C38*C43</f>
        <v>117.3</v>
      </c>
      <c r="D44" s="27" t="n">
        <f aca="false">D38*D43</f>
        <v>100.1</v>
      </c>
      <c r="E44" s="27" t="n">
        <f aca="false">E38*E43</f>
        <v>84.5</v>
      </c>
      <c r="F44" s="27" t="n">
        <f aca="false">F38*F43</f>
        <v>73.2</v>
      </c>
      <c r="G44" s="27" t="n">
        <f aca="false">G38*G43</f>
        <v>74.7048880473373</v>
      </c>
      <c r="H44" s="27" t="n">
        <f aca="false">H38*H43</f>
        <v>75.4231344826526</v>
      </c>
      <c r="I44" s="27" t="n">
        <f aca="false">I38*I43</f>
        <v>75.3029335109327</v>
      </c>
      <c r="J44" s="27" t="n">
        <f aca="false">J38*J43</f>
        <v>74.3155293650142</v>
      </c>
      <c r="K44" s="27" t="n">
        <f aca="false">K38*K43</f>
        <v>72.4576411308888</v>
      </c>
      <c r="L44" s="27" t="n">
        <f aca="false">L38*L43</f>
        <v>75.3559467761244</v>
      </c>
    </row>
    <row r="45" customFormat="false" ht="15" hidden="false" customHeight="false" outlineLevel="0" collapsed="false">
      <c r="A45" s="0" t="s">
        <v>141</v>
      </c>
      <c r="B45" s="27" t="n">
        <f aca="false">$B$11*(B38-$B$12)</f>
        <v>0</v>
      </c>
      <c r="C45" s="27" t="n">
        <f aca="false">$B$11*(C38-B38)</f>
        <v>0</v>
      </c>
      <c r="D45" s="27" t="n">
        <f aca="false">$B$11*(D38-C38)</f>
        <v>0</v>
      </c>
      <c r="E45" s="27" t="n">
        <f aca="false">$B$11*(E38-D38)</f>
        <v>0</v>
      </c>
      <c r="F45" s="27" t="n">
        <f aca="false">$B$11*(F38-E38)</f>
        <v>0</v>
      </c>
      <c r="G45" s="27" t="n">
        <f aca="false">$B$11*(G38-F38)</f>
        <v>0</v>
      </c>
      <c r="H45" s="27" t="n">
        <f aca="false">$B$11*(H38-G38)</f>
        <v>0</v>
      </c>
      <c r="I45" s="27" t="n">
        <f aca="false">$B$11*(I38-H38)</f>
        <v>0</v>
      </c>
      <c r="J45" s="27" t="n">
        <f aca="false">$B$11*(J38-I38)</f>
        <v>0</v>
      </c>
      <c r="K45" s="27" t="n">
        <f aca="false">$B$11*(K38-J38)</f>
        <v>0</v>
      </c>
      <c r="L45" s="27" t="n">
        <f aca="false">$B$11*(L38-K38)</f>
        <v>0</v>
      </c>
    </row>
    <row r="46" customFormat="false" ht="15" hidden="false" customHeight="false" outlineLevel="0" collapsed="false">
      <c r="A46" s="0" t="s">
        <v>142</v>
      </c>
      <c r="B46" s="27" t="n">
        <f aca="false">B42-B44-B45</f>
        <v>32.34</v>
      </c>
      <c r="C46" s="27" t="n">
        <f aca="false">C42-C44-C45</f>
        <v>74.5545</v>
      </c>
      <c r="D46" s="27" t="n">
        <f aca="false">D42-D44-D45</f>
        <v>117.194</v>
      </c>
      <c r="E46" s="27" t="n">
        <f aca="false">E42-E44-E45</f>
        <v>153.959</v>
      </c>
      <c r="F46" s="27" t="n">
        <f aca="false">F42-F44-F45</f>
        <v>185.013</v>
      </c>
      <c r="G46" s="27" t="n">
        <f aca="false">G42-G44-G45</f>
        <v>199.42273272426</v>
      </c>
      <c r="H46" s="27" t="n">
        <f aca="false">H42-H44-H45</f>
        <v>213.237961879011</v>
      </c>
      <c r="I46" s="27" t="n">
        <f aca="false">I42-I44-I45</f>
        <v>226.174575592248</v>
      </c>
      <c r="J46" s="27" t="n">
        <f aca="false">J42-J44-J45</f>
        <v>237.949035585605</v>
      </c>
      <c r="K46" s="27" t="n">
        <f aca="false">K42-K44-K45</f>
        <v>248.288183608512</v>
      </c>
      <c r="L46" s="27" t="n">
        <f aca="false">L42-L44-L45</f>
        <v>258.219710952853</v>
      </c>
    </row>
    <row r="47" customFormat="false" ht="15" hidden="false" customHeight="false" outlineLevel="0" collapsed="false">
      <c r="A47" s="0" t="s">
        <v>143</v>
      </c>
      <c r="B47" s="30" t="n">
        <f aca="false">1/(1+$B$10)^B$16</f>
        <v>0.955636965134993</v>
      </c>
      <c r="C47" s="30" t="n">
        <f aca="false">1/(1+$B$10)^C$16</f>
        <v>0.87272782204109</v>
      </c>
      <c r="D47" s="30" t="n">
        <f aca="false">1/(1+$B$10)^D$16</f>
        <v>0.797011709626566</v>
      </c>
      <c r="E47" s="30" t="n">
        <f aca="false">1/(1+$B$10)^E$16</f>
        <v>0.72786457500143</v>
      </c>
      <c r="F47" s="30" t="n">
        <f aca="false">1/(1+$B$10)^F$16</f>
        <v>0.664716506850621</v>
      </c>
      <c r="G47" s="30" t="n">
        <f aca="false">1/(1+$B$10)^G$16</f>
        <v>0.607047038219745</v>
      </c>
      <c r="H47" s="30" t="n">
        <f aca="false">1/(1+$B$10)^H$16</f>
        <v>0.554380856821685</v>
      </c>
      <c r="I47" s="30" t="n">
        <f aca="false">1/(1+$B$10)^I$16</f>
        <v>0.506283887508388</v>
      </c>
      <c r="J47" s="30" t="n">
        <f aca="false">1/(1+$B$10)^J$16</f>
        <v>0.462359714619533</v>
      </c>
      <c r="K47" s="30" t="n">
        <f aca="false">1/(1+$B$10)^K$16</f>
        <v>0.422246314721034</v>
      </c>
    </row>
    <row r="48" customFormat="false" ht="15" hidden="false" customHeight="false" outlineLevel="0" collapsed="false">
      <c r="A48" s="0" t="s">
        <v>144</v>
      </c>
      <c r="B48" s="27" t="n">
        <f aca="false">B46*B47</f>
        <v>30.9052994524657</v>
      </c>
      <c r="C48" s="27" t="n">
        <f aca="false">C46*C47</f>
        <v>65.0657864083624</v>
      </c>
      <c r="D48" s="27" t="n">
        <f aca="false">D46*D47</f>
        <v>93.4049902979758</v>
      </c>
      <c r="E48" s="27" t="n">
        <f aca="false">E46*E47</f>
        <v>112.061302102645</v>
      </c>
      <c r="F48" s="27" t="n">
        <f aca="false">F46*F47</f>
        <v>122.981195081954</v>
      </c>
      <c r="G48" s="27" t="n">
        <f aca="false">G46*G47</f>
        <v>121.05897925395</v>
      </c>
      <c r="H48" s="27" t="n">
        <f aca="false">H46*H47</f>
        <v>118.215044013396</v>
      </c>
      <c r="I48" s="27" t="n">
        <f aca="false">I46*I47</f>
        <v>114.508543386403</v>
      </c>
      <c r="J48" s="27" t="n">
        <f aca="false">J46*J47</f>
        <v>110.018048187353</v>
      </c>
      <c r="K48" s="27" t="n">
        <f aca="false">K46*K47</f>
        <v>104.838770517474</v>
      </c>
      <c r="L48" s="27"/>
    </row>
    <row r="49" customFormat="false" ht="15" hidden="false" customHeight="false" outlineLevel="0" collapsed="false">
      <c r="A49" s="0" t="s">
        <v>145</v>
      </c>
      <c r="B49" s="27" t="n">
        <f aca="false">L46/($B$10-L39)</f>
        <v>4694.90383550642</v>
      </c>
      <c r="C49" s="0" t="str">
        <f aca="false">IF($B$10&gt;L39,"","Discount rate must exceed terminal growth")</f>
        <v/>
      </c>
    </row>
    <row r="50" customFormat="false" ht="15" hidden="false" customHeight="false" outlineLevel="0" collapsed="false">
      <c r="A50" s="0" t="s">
        <v>146</v>
      </c>
      <c r="B50" s="27" t="n">
        <f aca="false">B49/(1+$B$10)^$K$16</f>
        <v>1982.40584251223</v>
      </c>
    </row>
    <row r="51" customFormat="false" ht="15" hidden="false" customHeight="false" outlineLevel="0" collapsed="false">
      <c r="A51" s="0" t="s">
        <v>147</v>
      </c>
      <c r="B51" s="27" t="n">
        <f aca="false">SUM(B48:K48)+B50+$B$7+$B$8</f>
        <v>3097.14380121421</v>
      </c>
    </row>
    <row r="52" customFormat="false" ht="15" hidden="false" customHeight="false" outlineLevel="0" collapsed="false">
      <c r="A52" s="0" t="s">
        <v>148</v>
      </c>
      <c r="B52" s="31" t="n">
        <f aca="false">B51/$B$6</f>
        <v>253.241520949649</v>
      </c>
    </row>
    <row r="53" customFormat="false" ht="15" hidden="false" customHeight="false" outlineLevel="0" collapsed="false">
      <c r="A53" s="0" t="s">
        <v>149</v>
      </c>
      <c r="B53" s="6" t="n">
        <f aca="false">B52/$B$4-1</f>
        <v>-0.209780881362844</v>
      </c>
    </row>
    <row r="55" customFormat="false" ht="15" hidden="false" customHeight="false" outlineLevel="0" collapsed="false">
      <c r="A55" s="12" t="s">
        <v>174</v>
      </c>
      <c r="B55" s="26"/>
      <c r="C55" s="26"/>
      <c r="D55" s="26"/>
      <c r="E55" s="26"/>
      <c r="F55" s="26"/>
      <c r="G55" s="26"/>
      <c r="H55" s="26"/>
      <c r="I55" s="26"/>
      <c r="J55" s="26"/>
      <c r="K55" s="26"/>
      <c r="L55" s="26"/>
    </row>
    <row r="56" customFormat="false" ht="15" hidden="false" customHeight="false" outlineLevel="0" collapsed="false">
      <c r="A56" s="0" t="s">
        <v>134</v>
      </c>
      <c r="B56" s="22" t="n">
        <v>622</v>
      </c>
      <c r="C56" s="22" t="n">
        <v>730</v>
      </c>
      <c r="D56" s="22" t="n">
        <v>840</v>
      </c>
      <c r="E56" s="22" t="n">
        <v>945</v>
      </c>
      <c r="F56" s="22" t="n">
        <v>1040</v>
      </c>
      <c r="G56" s="27" t="n">
        <f aca="false">F56*(1+$F57+($L57-$F57)*G$17/5)</f>
        <v>1131.96021164021</v>
      </c>
      <c r="H56" s="27" t="n">
        <f aca="false">G56*(1+$F57+($L57-$F57)*H$17/5)</f>
        <v>1218.34854017301</v>
      </c>
      <c r="I56" s="27" t="n">
        <f aca="false">H56*(1+$F57+($L57-$F57)*I$17/5)</f>
        <v>1296.58069828697</v>
      </c>
      <c r="J56" s="27" t="n">
        <f aca="false">I56*(1+$F57+($L57-$F57)*J$17/5)</f>
        <v>1364.14009890459</v>
      </c>
      <c r="K56" s="27" t="n">
        <f aca="false">J56*(1+$F57+($L57-$F57)*K$17/5)</f>
        <v>1418.70570286078</v>
      </c>
      <c r="L56" s="27" t="n">
        <f aca="false">K56*(1+L57)</f>
        <v>1475.45393097521</v>
      </c>
    </row>
    <row r="57" customFormat="false" ht="15" hidden="false" customHeight="false" outlineLevel="0" collapsed="false">
      <c r="A57" s="0" t="s">
        <v>135</v>
      </c>
      <c r="B57" s="6" t="n">
        <f aca="false">B56/$B$12-1</f>
        <v>0.244995996797438</v>
      </c>
      <c r="C57" s="6" t="n">
        <f aca="false">C56/B56-1</f>
        <v>0.17363344051447</v>
      </c>
      <c r="D57" s="6" t="n">
        <f aca="false">D56/C56-1</f>
        <v>0.150684931506849</v>
      </c>
      <c r="E57" s="6" t="n">
        <f aca="false">E56/D56-1</f>
        <v>0.125</v>
      </c>
      <c r="F57" s="6" t="n">
        <f aca="false">F56/E56-1</f>
        <v>0.1005291005291</v>
      </c>
      <c r="G57" s="6" t="n">
        <f aca="false">G56/F56-1</f>
        <v>0.0884232804232803</v>
      </c>
      <c r="H57" s="6" t="n">
        <f aca="false">H56/G56-1</f>
        <v>0.0763174603174603</v>
      </c>
      <c r="I57" s="6" t="n">
        <f aca="false">I56/H56-1</f>
        <v>0.0642116402116402</v>
      </c>
      <c r="J57" s="6" t="n">
        <f aca="false">J56/I56-1</f>
        <v>0.05210582010582</v>
      </c>
      <c r="K57" s="6" t="n">
        <f aca="false">K56/J56-1</f>
        <v>0.04</v>
      </c>
      <c r="L57" s="28" t="n">
        <v>0.04</v>
      </c>
    </row>
    <row r="58" customFormat="false" ht="15" hidden="false" customHeight="false" outlineLevel="0" collapsed="false">
      <c r="A58" s="0" t="s">
        <v>136</v>
      </c>
      <c r="B58" s="29" t="n">
        <v>0.34</v>
      </c>
      <c r="C58" s="29" t="n">
        <v>0.35</v>
      </c>
      <c r="D58" s="29" t="n">
        <v>0.36</v>
      </c>
      <c r="E58" s="29" t="n">
        <v>0.36</v>
      </c>
      <c r="F58" s="29" t="n">
        <v>0.36</v>
      </c>
      <c r="G58" s="6" t="n">
        <f aca="false">$F58+($L58-$F58)*G$17/5</f>
        <v>0.356</v>
      </c>
      <c r="H58" s="6" t="n">
        <f aca="false">$F58+($L58-$F58)*H$17/5</f>
        <v>0.352</v>
      </c>
      <c r="I58" s="6" t="n">
        <f aca="false">$F58+($L58-$F58)*I$17/5</f>
        <v>0.348</v>
      </c>
      <c r="J58" s="6" t="n">
        <f aca="false">$F58+($L58-$F58)*J$17/5</f>
        <v>0.344</v>
      </c>
      <c r="K58" s="6" t="n">
        <f aca="false">$F58+($L58-$F58)*K$17/5</f>
        <v>0.34</v>
      </c>
      <c r="L58" s="28" t="n">
        <v>0.34</v>
      </c>
    </row>
    <row r="59" customFormat="false" ht="15" hidden="false" customHeight="false" outlineLevel="0" collapsed="false">
      <c r="A59" s="0" t="s">
        <v>137</v>
      </c>
      <c r="B59" s="27" t="n">
        <f aca="false">B56*B58</f>
        <v>211.48</v>
      </c>
      <c r="C59" s="27" t="n">
        <f aca="false">C56*C58</f>
        <v>255.5</v>
      </c>
      <c r="D59" s="27" t="n">
        <f aca="false">D56*D58</f>
        <v>302.4</v>
      </c>
      <c r="E59" s="27" t="n">
        <f aca="false">E56*E58</f>
        <v>340.2</v>
      </c>
      <c r="F59" s="27" t="n">
        <f aca="false">F56*F58</f>
        <v>374.4</v>
      </c>
      <c r="G59" s="27" t="n">
        <f aca="false">G56*G58</f>
        <v>402.977835343915</v>
      </c>
      <c r="H59" s="27" t="n">
        <f aca="false">H56*H58</f>
        <v>428.858686140899</v>
      </c>
      <c r="I59" s="27" t="n">
        <f aca="false">I56*I58</f>
        <v>451.210083003867</v>
      </c>
      <c r="J59" s="27" t="n">
        <f aca="false">J56*J58</f>
        <v>469.26419402318</v>
      </c>
      <c r="K59" s="27" t="n">
        <f aca="false">K56*K58</f>
        <v>482.359938972664</v>
      </c>
      <c r="L59" s="27" t="n">
        <f aca="false">L56*L58</f>
        <v>501.654336531571</v>
      </c>
    </row>
    <row r="60" customFormat="false" ht="15" hidden="false" customHeight="false" outlineLevel="0" collapsed="false">
      <c r="A60" s="0" t="s">
        <v>138</v>
      </c>
      <c r="B60" s="27" t="n">
        <f aca="false">B59*(1-$B$9)</f>
        <v>175.5284</v>
      </c>
      <c r="C60" s="27" t="n">
        <f aca="false">C59*(1-$B$9)</f>
        <v>212.065</v>
      </c>
      <c r="D60" s="27" t="n">
        <f aca="false">D59*(1-$B$9)</f>
        <v>250.992</v>
      </c>
      <c r="E60" s="27" t="n">
        <f aca="false">E59*(1-$B$9)</f>
        <v>282.366</v>
      </c>
      <c r="F60" s="27" t="n">
        <f aca="false">F59*(1-$B$9)</f>
        <v>310.752</v>
      </c>
      <c r="G60" s="27" t="n">
        <f aca="false">G59*(1-$B$9)</f>
        <v>334.47160333545</v>
      </c>
      <c r="H60" s="27" t="n">
        <f aca="false">H59*(1-$B$9)</f>
        <v>355.952709496946</v>
      </c>
      <c r="I60" s="27" t="n">
        <f aca="false">I59*(1-$B$9)</f>
        <v>374.504368893209</v>
      </c>
      <c r="J60" s="27" t="n">
        <f aca="false">J59*(1-$B$9)</f>
        <v>389.489281039239</v>
      </c>
      <c r="K60" s="27" t="n">
        <f aca="false">K59*(1-$B$9)</f>
        <v>400.358749347311</v>
      </c>
      <c r="L60" s="27" t="n">
        <f aca="false">L59*(1-$B$9)</f>
        <v>416.373099321204</v>
      </c>
    </row>
    <row r="61" customFormat="false" ht="15" hidden="false" customHeight="false" outlineLevel="0" collapsed="false">
      <c r="A61" s="0" t="s">
        <v>139</v>
      </c>
      <c r="B61" s="29" t="n">
        <v>0.21</v>
      </c>
      <c r="C61" s="29" t="n">
        <v>0.16</v>
      </c>
      <c r="D61" s="29" t="n">
        <v>0.12</v>
      </c>
      <c r="E61" s="29" t="n">
        <v>0.09</v>
      </c>
      <c r="F61" s="29" t="n">
        <v>0.07</v>
      </c>
      <c r="G61" s="6" t="n">
        <f aca="false">$F61+($L61-$F61)*G$17/5</f>
        <v>0.067</v>
      </c>
      <c r="H61" s="6" t="n">
        <f aca="false">$F61+($L61-$F61)*H$17/5</f>
        <v>0.064</v>
      </c>
      <c r="I61" s="6" t="n">
        <f aca="false">$F61+($L61-$F61)*I$17/5</f>
        <v>0.061</v>
      </c>
      <c r="J61" s="6" t="n">
        <f aca="false">$F61+($L61-$F61)*J$17/5</f>
        <v>0.058</v>
      </c>
      <c r="K61" s="6" t="n">
        <f aca="false">$F61+($L61-$F61)*K$17/5</f>
        <v>0.055</v>
      </c>
      <c r="L61" s="28" t="n">
        <v>0.055</v>
      </c>
    </row>
    <row r="62" customFormat="false" ht="15" hidden="false" customHeight="false" outlineLevel="0" collapsed="false">
      <c r="A62" s="0" t="s">
        <v>140</v>
      </c>
      <c r="B62" s="27" t="n">
        <f aca="false">B56*B61</f>
        <v>130.62</v>
      </c>
      <c r="C62" s="27" t="n">
        <f aca="false">C56*C61</f>
        <v>116.8</v>
      </c>
      <c r="D62" s="27" t="n">
        <f aca="false">D56*D61</f>
        <v>100.8</v>
      </c>
      <c r="E62" s="27" t="n">
        <f aca="false">E56*E61</f>
        <v>85.05</v>
      </c>
      <c r="F62" s="27" t="n">
        <f aca="false">F56*F61</f>
        <v>72.8</v>
      </c>
      <c r="G62" s="27" t="n">
        <f aca="false">G56*G61</f>
        <v>75.8413341798942</v>
      </c>
      <c r="H62" s="27" t="n">
        <f aca="false">H56*H61</f>
        <v>77.9743065710725</v>
      </c>
      <c r="I62" s="27" t="n">
        <f aca="false">I56*I61</f>
        <v>79.0914225955054</v>
      </c>
      <c r="J62" s="27" t="n">
        <f aca="false">J56*J61</f>
        <v>79.1201257364664</v>
      </c>
      <c r="K62" s="27" t="n">
        <f aca="false">K56*K61</f>
        <v>78.0288136573427</v>
      </c>
      <c r="L62" s="27" t="n">
        <f aca="false">L56*L61</f>
        <v>81.1499662036365</v>
      </c>
    </row>
    <row r="63" customFormat="false" ht="15" hidden="false" customHeight="false" outlineLevel="0" collapsed="false">
      <c r="A63" s="0" t="s">
        <v>141</v>
      </c>
      <c r="B63" s="27" t="n">
        <f aca="false">$B$11*(B56-$B$12)</f>
        <v>0</v>
      </c>
      <c r="C63" s="27" t="n">
        <f aca="false">$B$11*(C56-B56)</f>
        <v>0</v>
      </c>
      <c r="D63" s="27" t="n">
        <f aca="false">$B$11*(D56-C56)</f>
        <v>0</v>
      </c>
      <c r="E63" s="27" t="n">
        <f aca="false">$B$11*(E56-D56)</f>
        <v>0</v>
      </c>
      <c r="F63" s="27" t="n">
        <f aca="false">$B$11*(F56-E56)</f>
        <v>0</v>
      </c>
      <c r="G63" s="27" t="n">
        <f aca="false">$B$11*(G56-F56)</f>
        <v>0</v>
      </c>
      <c r="H63" s="27" t="n">
        <f aca="false">$B$11*(H56-G56)</f>
        <v>0</v>
      </c>
      <c r="I63" s="27" t="n">
        <f aca="false">$B$11*(I56-H56)</f>
        <v>0</v>
      </c>
      <c r="J63" s="27" t="n">
        <f aca="false">$B$11*(J56-I56)</f>
        <v>0</v>
      </c>
      <c r="K63" s="27" t="n">
        <f aca="false">$B$11*(K56-J56)</f>
        <v>0</v>
      </c>
      <c r="L63" s="27" t="n">
        <f aca="false">$B$11*(L56-K56)</f>
        <v>0</v>
      </c>
    </row>
    <row r="64" customFormat="false" ht="15" hidden="false" customHeight="false" outlineLevel="0" collapsed="false">
      <c r="A64" s="0" t="s">
        <v>142</v>
      </c>
      <c r="B64" s="27" t="n">
        <f aca="false">B60-B62-B63</f>
        <v>44.9084</v>
      </c>
      <c r="C64" s="27" t="n">
        <f aca="false">C60-C62-C63</f>
        <v>95.265</v>
      </c>
      <c r="D64" s="27" t="n">
        <f aca="false">D60-D62-D63</f>
        <v>150.192</v>
      </c>
      <c r="E64" s="27" t="n">
        <f aca="false">E60-E62-E63</f>
        <v>197.316</v>
      </c>
      <c r="F64" s="27" t="n">
        <f aca="false">F60-F62-F63</f>
        <v>237.952</v>
      </c>
      <c r="G64" s="27" t="n">
        <f aca="false">G60-G62-G63</f>
        <v>258.630269155556</v>
      </c>
      <c r="H64" s="27" t="n">
        <f aca="false">H60-H62-H63</f>
        <v>277.978402925873</v>
      </c>
      <c r="I64" s="27" t="n">
        <f aca="false">I60-I62-I63</f>
        <v>295.412946297704</v>
      </c>
      <c r="J64" s="27" t="n">
        <f aca="false">J60-J62-J63</f>
        <v>310.369155302773</v>
      </c>
      <c r="K64" s="27" t="n">
        <f aca="false">K60-K62-K63</f>
        <v>322.329935689969</v>
      </c>
      <c r="L64" s="27" t="n">
        <f aca="false">L60-L62-L63</f>
        <v>335.223133117567</v>
      </c>
    </row>
    <row r="65" customFormat="false" ht="15" hidden="false" customHeight="false" outlineLevel="0" collapsed="false">
      <c r="A65" s="0" t="s">
        <v>143</v>
      </c>
      <c r="B65" s="30" t="n">
        <f aca="false">1/(1+$B$10)^B$16</f>
        <v>0.955636965134993</v>
      </c>
      <c r="C65" s="30" t="n">
        <f aca="false">1/(1+$B$10)^C$16</f>
        <v>0.87272782204109</v>
      </c>
      <c r="D65" s="30" t="n">
        <f aca="false">1/(1+$B$10)^D$16</f>
        <v>0.797011709626566</v>
      </c>
      <c r="E65" s="30" t="n">
        <f aca="false">1/(1+$B$10)^E$16</f>
        <v>0.72786457500143</v>
      </c>
      <c r="F65" s="30" t="n">
        <f aca="false">1/(1+$B$10)^F$16</f>
        <v>0.664716506850621</v>
      </c>
      <c r="G65" s="30" t="n">
        <f aca="false">1/(1+$B$10)^G$16</f>
        <v>0.607047038219745</v>
      </c>
      <c r="H65" s="30" t="n">
        <f aca="false">1/(1+$B$10)^H$16</f>
        <v>0.554380856821685</v>
      </c>
      <c r="I65" s="30" t="n">
        <f aca="false">1/(1+$B$10)^I$16</f>
        <v>0.506283887508388</v>
      </c>
      <c r="J65" s="30" t="n">
        <f aca="false">1/(1+$B$10)^J$16</f>
        <v>0.462359714619533</v>
      </c>
      <c r="K65" s="30" t="n">
        <f aca="false">1/(1+$B$10)^K$16</f>
        <v>0.422246314721034</v>
      </c>
    </row>
    <row r="66" customFormat="false" ht="15" hidden="false" customHeight="false" outlineLevel="0" collapsed="false">
      <c r="A66" s="0" t="s">
        <v>144</v>
      </c>
      <c r="B66" s="27" t="n">
        <f aca="false">B64*B65</f>
        <v>42.9161270850683</v>
      </c>
      <c r="C66" s="27" t="n">
        <f aca="false">C64*C65</f>
        <v>83.1404159667444</v>
      </c>
      <c r="D66" s="27" t="n">
        <f aca="false">D64*D65</f>
        <v>119.704782692233</v>
      </c>
      <c r="E66" s="27" t="n">
        <f aca="false">E64*E65</f>
        <v>143.619326480982</v>
      </c>
      <c r="F66" s="27" t="n">
        <f aca="false">F64*F65</f>
        <v>158.170622238119</v>
      </c>
      <c r="G66" s="27" t="n">
        <f aca="false">G64*G65</f>
        <v>157.000738884856</v>
      </c>
      <c r="H66" s="27" t="n">
        <f aca="false">H64*H65</f>
        <v>154.105905191969</v>
      </c>
      <c r="I66" s="27" t="n">
        <f aca="false">I64*I65</f>
        <v>149.562814871908</v>
      </c>
      <c r="J66" s="27" t="n">
        <f aca="false">J64*J65</f>
        <v>143.502194072496</v>
      </c>
      <c r="K66" s="27" t="n">
        <f aca="false">K64*K65</f>
        <v>136.102627469357</v>
      </c>
      <c r="L66" s="27"/>
    </row>
    <row r="67" customFormat="false" ht="15" hidden="false" customHeight="false" outlineLevel="0" collapsed="false">
      <c r="A67" s="0" t="s">
        <v>145</v>
      </c>
      <c r="B67" s="27" t="n">
        <f aca="false">L64/($B$10-L57)</f>
        <v>6094.96605668304</v>
      </c>
      <c r="C67" s="0" t="str">
        <f aca="false">IF($B$10&gt;L57,"","Discount rate must exceed terminal growth")</f>
        <v/>
      </c>
    </row>
    <row r="68" customFormat="false" ht="15" hidden="false" customHeight="false" outlineLevel="0" collapsed="false">
      <c r="A68" s="0" t="s">
        <v>146</v>
      </c>
      <c r="B68" s="27" t="n">
        <f aca="false">B67/(1+$B$10)^$K$16</f>
        <v>2573.57695578421</v>
      </c>
    </row>
    <row r="69" customFormat="false" ht="15" hidden="false" customHeight="false" outlineLevel="0" collapsed="false">
      <c r="A69" s="0" t="s">
        <v>147</v>
      </c>
      <c r="B69" s="27" t="n">
        <f aca="false">SUM(B66:K66)+B68+$B$7+$B$8</f>
        <v>3983.08251073794</v>
      </c>
    </row>
    <row r="70" customFormat="false" ht="15" hidden="false" customHeight="false" outlineLevel="0" collapsed="false">
      <c r="A70" s="0" t="s">
        <v>148</v>
      </c>
      <c r="B70" s="31" t="n">
        <f aca="false">B69/$B$6</f>
        <v>325.681317312996</v>
      </c>
    </row>
    <row r="71" customFormat="false" ht="15" hidden="false" customHeight="false" outlineLevel="0" collapsed="false">
      <c r="A71" s="0" t="s">
        <v>149</v>
      </c>
      <c r="B71" s="6" t="n">
        <f aca="false">B70/$B$4-1</f>
        <v>0.0162614825506167</v>
      </c>
    </row>
    <row r="74" customFormat="false" ht="15" hidden="false" customHeight="false" outlineLevel="0" collapsed="false">
      <c r="A74" s="12" t="s">
        <v>152</v>
      </c>
      <c r="B74" s="26"/>
      <c r="C74" s="12" t="s">
        <v>153</v>
      </c>
      <c r="D74" s="26"/>
      <c r="E74" s="26"/>
      <c r="F74" s="26"/>
      <c r="G74" s="26"/>
      <c r="H74" s="26"/>
      <c r="I74" s="26"/>
      <c r="J74" s="26"/>
      <c r="K74" s="26"/>
      <c r="L74" s="26"/>
    </row>
    <row r="75" customFormat="false" ht="15" hidden="false" customHeight="false" outlineLevel="0" collapsed="false">
      <c r="A75" s="0" t="s">
        <v>154</v>
      </c>
      <c r="B75" s="7" t="n">
        <f aca="false">B34</f>
        <v>141.94636109449</v>
      </c>
      <c r="C75" s="6" t="n">
        <f aca="false">B75/$B$4-1</f>
        <v>-0.557068177693731</v>
      </c>
    </row>
    <row r="76" customFormat="false" ht="15" hidden="false" customHeight="false" outlineLevel="0" collapsed="false">
      <c r="A76" s="0" t="s">
        <v>155</v>
      </c>
      <c r="B76" s="7" t="n">
        <f aca="false">B52</f>
        <v>253.241520949649</v>
      </c>
      <c r="C76" s="6" t="n">
        <f aca="false">B76/$B$4-1</f>
        <v>-0.209780881362844</v>
      </c>
    </row>
    <row r="77" customFormat="false" ht="15" hidden="false" customHeight="false" outlineLevel="0" collapsed="false">
      <c r="A77" s="0" t="s">
        <v>156</v>
      </c>
      <c r="B77" s="7" t="n">
        <f aca="false">B70</f>
        <v>325.681317312996</v>
      </c>
      <c r="C77" s="6" t="n">
        <f aca="false">B77/$B$4-1</f>
        <v>0.0162614825506167</v>
      </c>
    </row>
    <row r="78" customFormat="false" ht="15" hidden="false" customHeight="false" outlineLevel="0" collapsed="false">
      <c r="A78" s="0" t="s">
        <v>157</v>
      </c>
      <c r="B78" s="7" t="n">
        <f aca="false">INDEX(B34:B70,1+($B$13-1)*18)</f>
        <v>253.241520949649</v>
      </c>
      <c r="C78" s="6" t="n">
        <f aca="false">B78/$B$4-1</f>
        <v>-0.209780881362844</v>
      </c>
    </row>
    <row r="79" customFormat="false" ht="15" hidden="false" customHeight="false" outlineLevel="0" collapsed="false">
      <c r="A79" s="0" t="s">
        <v>158</v>
      </c>
      <c r="B79" s="8" t="n">
        <f aca="false">B50/(SUM(B48:K48)+B50)</f>
        <v>0.666251036797444</v>
      </c>
    </row>
    <row r="81" customFormat="false" ht="15" hidden="false" customHeight="false" outlineLevel="0" collapsed="false">
      <c r="A81" s="9" t="s">
        <v>159</v>
      </c>
    </row>
    <row r="82" customFormat="false" ht="15" hidden="false" customHeight="false" outlineLevel="0" collapsed="false">
      <c r="A82" s="0" t="s">
        <v>5</v>
      </c>
      <c r="B82" s="11" t="n">
        <v>0.05</v>
      </c>
      <c r="C82" s="11" t="n">
        <v>0.06</v>
      </c>
      <c r="D82" s="11" t="n">
        <v>0.07</v>
      </c>
      <c r="E82" s="11" t="n">
        <v>0.08</v>
      </c>
      <c r="F82" s="11" t="n">
        <v>0.09</v>
      </c>
      <c r="G82" s="11" t="n">
        <v>0.1</v>
      </c>
      <c r="H82" s="11" t="n">
        <v>0.11</v>
      </c>
      <c r="I82" s="11" t="n">
        <v>0.12</v>
      </c>
      <c r="J82" s="11" t="n">
        <v>0.13</v>
      </c>
      <c r="K82" s="11" t="n">
        <v>0.14</v>
      </c>
    </row>
    <row r="83" customFormat="false" ht="15" hidden="false" customHeight="false" outlineLevel="0" collapsed="false">
      <c r="A83" s="0" t="s">
        <v>155</v>
      </c>
      <c r="B83" s="7" t="n">
        <f aca="false">IF(B82&gt;$L39,(SUMPRODUCT($B46:$K46/(1+B82)^$B$16:$K$16)+$L46/(B82-$L39)/(1+B82)^$K$16+$B$7+$B$8)/$B$6,"n/a")</f>
        <v>1441.2536819866</v>
      </c>
      <c r="C83" s="7" t="n">
        <f aca="false">IF(C82&gt;$L39,(SUMPRODUCT($B46:$K46/(1+C82)^$B$16:$K$16)+$L46/(C82-$L39)/(1+C82)^$K$16+$B$7+$B$8)/$B$6,"n/a")</f>
        <v>714.453274331295</v>
      </c>
      <c r="D83" s="7" t="n">
        <f aca="false">IF(D82&gt;$L39,(SUMPRODUCT($B46:$K46/(1+D82)^$B$16:$K$16)+$L46/(D82-$L39)/(1+D82)^$K$16+$B$7+$B$8)/$B$6,"n/a")</f>
        <v>472.503128387145</v>
      </c>
      <c r="E83" s="7" t="n">
        <f aca="false">IF(E82&gt;$L39,(SUMPRODUCT($B46:$K46/(1+E82)^$B$16:$K$16)+$L46/(E82-$L39)/(1+E82)^$K$16+$B$7+$B$8)/$B$6,"n/a")</f>
        <v>351.7520812599</v>
      </c>
      <c r="F83" s="7" t="n">
        <f aca="false">IF(F82&gt;$L39,(SUMPRODUCT($B46:$K46/(1+F82)^$B$16:$K$16)+$L46/(F82-$L39)/(1+F82)^$K$16+$B$7+$B$8)/$B$6,"n/a")</f>
        <v>279.470660052549</v>
      </c>
      <c r="G83" s="7" t="n">
        <f aca="false">IF(G82&gt;$L39,(SUMPRODUCT($B46:$K46/(1+G82)^$B$16:$K$16)+$L46/(G82-$L39)/(1+G82)^$K$16+$B$7+$B$8)/$B$6,"n/a")</f>
        <v>231.416287614912</v>
      </c>
      <c r="H83" s="7" t="n">
        <f aca="false">IF(H82&gt;$L39,(SUMPRODUCT($B46:$K46/(1+H82)^$B$16:$K$16)+$L46/(H82-$L39)/(1+H82)^$K$16+$B$7+$B$8)/$B$6,"n/a")</f>
        <v>197.199744767794</v>
      </c>
      <c r="I83" s="7" t="n">
        <f aca="false">IF(I82&gt;$L39,(SUMPRODUCT($B46:$K46/(1+I82)^$B$16:$K$16)+$L46/(I82-$L39)/(1+I82)^$K$16+$B$7+$B$8)/$B$6,"n/a")</f>
        <v>171.626789194869</v>
      </c>
      <c r="J83" s="7" t="n">
        <f aca="false">IF(J82&gt;$L39,(SUMPRODUCT($B46:$K46/(1+J82)^$B$16:$K$16)+$L46/(J82-$L39)/(1+J82)^$K$16+$B$7+$B$8)/$B$6,"n/a")</f>
        <v>151.812031063774</v>
      </c>
      <c r="K83" s="7" t="n">
        <f aca="false">IF(K82&gt;$L39,(SUMPRODUCT($B46:$K46/(1+K82)^$B$16:$K$16)+$L46/(K82-$L39)/(1+K82)^$K$16+$B$7+$B$8)/$B$6,"n/a")</f>
        <v>136.024485420205</v>
      </c>
    </row>
    <row r="84" customFormat="false" ht="15" hidden="false" customHeight="false" outlineLevel="0" collapsed="false">
      <c r="A84" s="0" t="s">
        <v>160</v>
      </c>
      <c r="B84" s="6" t="n">
        <f aca="false">IFERROR(B83/$B$4-1,"n/a")</f>
        <v>3.4973123287253</v>
      </c>
      <c r="C84" s="6" t="n">
        <f aca="false">IFERROR(C83/$B$4-1,"n/a")</f>
        <v>1.22939206269322</v>
      </c>
      <c r="D84" s="6" t="n">
        <f aca="false">IFERROR(D83/$B$4-1,"n/a")</f>
        <v>0.47440674130853</v>
      </c>
      <c r="E84" s="6" t="n">
        <f aca="false">IFERROR(E83/$B$4-1,"n/a")</f>
        <v>0.0976131346456775</v>
      </c>
      <c r="F84" s="6" t="n">
        <f aca="false">IFERROR(F83/$B$4-1,"n/a")</f>
        <v>-0.127935032756425</v>
      </c>
      <c r="G84" s="6" t="n">
        <f aca="false">IFERROR(G83/$B$4-1,"n/a")</f>
        <v>-0.277884708038467</v>
      </c>
      <c r="H84" s="6" t="n">
        <f aca="false">IFERROR(H83/$B$4-1,"n/a")</f>
        <v>-0.384654586177195</v>
      </c>
      <c r="I84" s="6" t="n">
        <f aca="false">IFERROR(I83/$B$4-1,"n/a")</f>
        <v>-0.464452868615256</v>
      </c>
      <c r="J84" s="6" t="n">
        <f aca="false">IFERROR(J83/$B$4-1,"n/a")</f>
        <v>-0.526283174513139</v>
      </c>
      <c r="K84" s="6" t="n">
        <f aca="false">IFERROR(K83/$B$4-1,"n/a")</f>
        <v>-0.575546898554608</v>
      </c>
    </row>
    <row r="86" customFormat="false" ht="15" hidden="false" customHeight="false" outlineLevel="0" collapsed="false">
      <c r="A86" s="9" t="s">
        <v>161</v>
      </c>
      <c r="B86" s="18" t="n">
        <f aca="false">IFERROR(IF(MATCH($B$4,$B$83:$K$83,-1)=10,"above 14%",INDEX($B$82:$K$82,MATCH($B$4,$B$83:$K$83,-1))+(INDEX($B$83:$K$83,MATCH($B$4,$B$83:$K$83,-1))-$B$4)/(INDEX($B$83:$K$83,MATCH($B$4,$B$83:$K$83,-1))-INDEX($B$83:$K$83,MATCH($B$4,$B$83:$K$83,-1)+1))*(INDEX($B$82:$K$82,MATCH($B$4,$B$83:$K$83,-1)+1)-INDEX($B$82:$K$82,MATCH($B$4,$B$83:$K$83,-1)))),"below 5%")</f>
        <v>0.0843278176794784</v>
      </c>
      <c r="C86"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1"/>
    <col collapsed="false" customWidth="true" hidden="false" outlineLevel="0" max="3" min="3" style="0" width="12"/>
    <col collapsed="false" customWidth="true" hidden="false" outlineLevel="0" max="12" min="4" style="0" width="11"/>
  </cols>
  <sheetData>
    <row r="1" customFormat="false" ht="16.15" hidden="false" customHeight="false" outlineLevel="0" collapsed="false">
      <c r="A1" s="1" t="s">
        <v>175</v>
      </c>
    </row>
    <row r="2" customFormat="false" ht="15" hidden="false" customHeight="false" outlineLevel="0" collapsed="false">
      <c r="A2" s="2" t="s">
        <v>100</v>
      </c>
    </row>
    <row r="4" customFormat="false" ht="15" hidden="false" customHeight="false" outlineLevel="0" collapsed="false">
      <c r="A4" s="0" t="s">
        <v>101</v>
      </c>
      <c r="B4" s="19" t="n">
        <v>423.39</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106</v>
      </c>
      <c r="B6" s="21" t="n">
        <v>0.89759</v>
      </c>
      <c r="C6" s="2" t="s">
        <v>61</v>
      </c>
    </row>
    <row r="7" customFormat="false" ht="15" hidden="false" customHeight="false" outlineLevel="0" collapsed="false">
      <c r="A7" s="0" t="s">
        <v>107</v>
      </c>
      <c r="B7" s="22" t="n">
        <v>-48.49</v>
      </c>
      <c r="C7" s="2" t="s">
        <v>108</v>
      </c>
    </row>
    <row r="8" customFormat="false" ht="15" hidden="false" customHeight="false" outlineLevel="0" collapsed="false">
      <c r="A8" s="0" t="s">
        <v>109</v>
      </c>
      <c r="B8" s="22" t="n">
        <v>0</v>
      </c>
      <c r="C8" s="2" t="s">
        <v>176</v>
      </c>
    </row>
    <row r="9" customFormat="false" ht="15" hidden="false" customHeight="false" outlineLevel="0" collapsed="false">
      <c r="A9" s="0" t="s">
        <v>72</v>
      </c>
      <c r="B9" s="11" t="n">
        <v>0.22</v>
      </c>
      <c r="C9" s="2" t="s">
        <v>111</v>
      </c>
    </row>
    <row r="10" customFormat="false" ht="15" hidden="false" customHeight="false" outlineLevel="0" collapsed="false">
      <c r="A10" s="0" t="s">
        <v>112</v>
      </c>
      <c r="B10" s="23" t="n">
        <f aca="false">WACC!E29</f>
        <v>0.09</v>
      </c>
      <c r="C10" s="2" t="s">
        <v>113</v>
      </c>
    </row>
    <row r="11" customFormat="false" ht="15" hidden="false" customHeight="false" outlineLevel="0" collapsed="false">
      <c r="A11" s="0" t="s">
        <v>114</v>
      </c>
      <c r="B11" s="11" t="n">
        <v>0</v>
      </c>
      <c r="C11" s="2" t="s">
        <v>45</v>
      </c>
    </row>
    <row r="12" customFormat="false" ht="15" hidden="false" customHeight="false" outlineLevel="0" collapsed="false">
      <c r="A12" s="0" t="s">
        <v>115</v>
      </c>
      <c r="B12" s="22" t="n">
        <v>448.7</v>
      </c>
      <c r="C12" s="2" t="s">
        <v>177</v>
      </c>
    </row>
    <row r="13" customFormat="false" ht="15" hidden="false" customHeight="false" outlineLevel="0" collapsed="false">
      <c r="A13" s="0" t="s">
        <v>117</v>
      </c>
      <c r="B13" s="10" t="n">
        <v>2</v>
      </c>
      <c r="C13" s="2" t="s">
        <v>118</v>
      </c>
    </row>
    <row r="15" customFormat="false" ht="15" hidden="false" customHeight="false" outlineLevel="0" collapsed="false">
      <c r="A15" s="9" t="s">
        <v>119</v>
      </c>
      <c r="B15" s="24" t="s">
        <v>120</v>
      </c>
      <c r="C15" s="24" t="s">
        <v>121</v>
      </c>
      <c r="D15" s="24" t="s">
        <v>122</v>
      </c>
      <c r="E15" s="24" t="s">
        <v>123</v>
      </c>
      <c r="F15" s="24" t="s">
        <v>124</v>
      </c>
      <c r="G15" s="24" t="s">
        <v>125</v>
      </c>
      <c r="H15" s="24" t="s">
        <v>126</v>
      </c>
      <c r="I15" s="24" t="s">
        <v>127</v>
      </c>
      <c r="J15" s="24" t="s">
        <v>128</v>
      </c>
      <c r="K15" s="24" t="s">
        <v>129</v>
      </c>
      <c r="L15" s="9" t="s">
        <v>130</v>
      </c>
    </row>
    <row r="16" customFormat="false" ht="15" hidden="false" customHeight="false" outlineLevel="0" collapsed="false">
      <c r="A16" s="0" t="s">
        <v>131</v>
      </c>
      <c r="B16" s="20" t="n">
        <v>0.5</v>
      </c>
      <c r="C16" s="25" t="n">
        <f aca="false">B16+1</f>
        <v>1.5</v>
      </c>
      <c r="D16" s="25" t="n">
        <f aca="false">C16+1</f>
        <v>2.5</v>
      </c>
      <c r="E16" s="25" t="n">
        <f aca="false">D16+1</f>
        <v>3.5</v>
      </c>
      <c r="F16" s="25" t="n">
        <f aca="false">E16+1</f>
        <v>4.5</v>
      </c>
      <c r="G16" s="25" t="n">
        <f aca="false">F16+1</f>
        <v>5.5</v>
      </c>
      <c r="H16" s="25" t="n">
        <f aca="false">G16+1</f>
        <v>6.5</v>
      </c>
      <c r="I16" s="25" t="n">
        <f aca="false">H16+1</f>
        <v>7.5</v>
      </c>
      <c r="J16" s="25" t="n">
        <f aca="false">I16+1</f>
        <v>8.5</v>
      </c>
      <c r="K16" s="25" t="n">
        <f aca="false">J16+1</f>
        <v>9.5</v>
      </c>
    </row>
    <row r="17" customFormat="false" ht="15" hidden="false" customHeight="false" outlineLevel="0" collapsed="false">
      <c r="A17" s="0" t="s">
        <v>132</v>
      </c>
      <c r="B17" s="0" t="n">
        <v>0</v>
      </c>
      <c r="C17" s="0" t="n">
        <v>0</v>
      </c>
      <c r="D17" s="0" t="n">
        <v>0</v>
      </c>
      <c r="E17" s="0" t="n">
        <v>0</v>
      </c>
      <c r="F17" s="0" t="n">
        <v>0</v>
      </c>
      <c r="G17" s="0" t="n">
        <v>1</v>
      </c>
      <c r="H17" s="0" t="n">
        <v>2</v>
      </c>
      <c r="I17" s="0" t="n">
        <v>3</v>
      </c>
      <c r="J17" s="0" t="n">
        <v>4</v>
      </c>
      <c r="K17" s="0" t="n">
        <v>5</v>
      </c>
    </row>
    <row r="19" customFormat="false" ht="15" hidden="false" customHeight="false" outlineLevel="0" collapsed="false">
      <c r="A19" s="12" t="s">
        <v>178</v>
      </c>
      <c r="B19" s="26"/>
      <c r="C19" s="26"/>
      <c r="D19" s="26"/>
      <c r="E19" s="26"/>
      <c r="F19" s="26"/>
      <c r="G19" s="26"/>
      <c r="H19" s="26"/>
      <c r="I19" s="26"/>
      <c r="J19" s="26"/>
      <c r="K19" s="26"/>
      <c r="L19" s="26"/>
    </row>
    <row r="20" customFormat="false" ht="15" hidden="false" customHeight="false" outlineLevel="0" collapsed="false">
      <c r="A20" s="0" t="s">
        <v>134</v>
      </c>
      <c r="B20" s="22" t="n">
        <v>455</v>
      </c>
      <c r="C20" s="22" t="n">
        <v>470</v>
      </c>
      <c r="D20" s="22" t="n">
        <v>488</v>
      </c>
      <c r="E20" s="22" t="n">
        <v>506</v>
      </c>
      <c r="F20" s="22" t="n">
        <v>525</v>
      </c>
      <c r="G20" s="27" t="n">
        <f aca="false">F20*(1+$F21+($L21-$F21)*G$17/5)</f>
        <v>543.920750988142</v>
      </c>
      <c r="H20" s="27" t="n">
        <f aca="false">G20*(1+$F21+($L21-$F21)*H$17/5)</f>
        <v>562.702141030168</v>
      </c>
      <c r="I20" s="27" t="n">
        <f aca="false">H20*(1+$F21+($L21-$F21)*I$17/5)</f>
        <v>581.282432279836</v>
      </c>
      <c r="J20" s="27" t="n">
        <f aca="false">I20*(1+$F21+($L21-$F21)*J$17/5)</f>
        <v>599.598572794203</v>
      </c>
      <c r="K20" s="27" t="n">
        <f aca="false">J20*(1+$F21+($L21-$F21)*K$17/5)</f>
        <v>617.586529978029</v>
      </c>
      <c r="L20" s="27" t="n">
        <f aca="false">K20*(1+L21)</f>
        <v>636.11412587737</v>
      </c>
    </row>
    <row r="21" customFormat="false" ht="15" hidden="false" customHeight="false" outlineLevel="0" collapsed="false">
      <c r="A21" s="0" t="s">
        <v>135</v>
      </c>
      <c r="B21" s="6" t="n">
        <f aca="false">B20/$B$12-1</f>
        <v>0.014040561622465</v>
      </c>
      <c r="C21" s="6" t="n">
        <f aca="false">C20/B20-1</f>
        <v>0.0329670329670331</v>
      </c>
      <c r="D21" s="6" t="n">
        <f aca="false">D20/C20-1</f>
        <v>0.0382978723404255</v>
      </c>
      <c r="E21" s="6" t="n">
        <f aca="false">E20/D20-1</f>
        <v>0.0368852459016393</v>
      </c>
      <c r="F21" s="6" t="n">
        <f aca="false">F20/E20-1</f>
        <v>0.0375494071146245</v>
      </c>
      <c r="G21" s="6" t="n">
        <f aca="false">G20/F20-1</f>
        <v>0.0360395256916997</v>
      </c>
      <c r="H21" s="6" t="n">
        <f aca="false">H20/G20-1</f>
        <v>0.0345296442687748</v>
      </c>
      <c r="I21" s="6" t="n">
        <f aca="false">I20/H20-1</f>
        <v>0.0330197628458497</v>
      </c>
      <c r="J21" s="6" t="n">
        <f aca="false">J20/I20-1</f>
        <v>0.0315098814229249</v>
      </c>
      <c r="K21" s="6" t="n">
        <f aca="false">K20/J20-1</f>
        <v>0.03</v>
      </c>
      <c r="L21" s="28" t="n">
        <v>0.03</v>
      </c>
    </row>
    <row r="22" customFormat="false" ht="15" hidden="false" customHeight="false" outlineLevel="0" collapsed="false">
      <c r="A22" s="0" t="s">
        <v>136</v>
      </c>
      <c r="B22" s="29" t="n">
        <v>0.054</v>
      </c>
      <c r="C22" s="29" t="n">
        <v>0.054</v>
      </c>
      <c r="D22" s="29" t="n">
        <v>0.055</v>
      </c>
      <c r="E22" s="29" t="n">
        <v>0.056</v>
      </c>
      <c r="F22" s="29" t="n">
        <v>0.057</v>
      </c>
      <c r="G22" s="6" t="n">
        <f aca="false">$F22+($L22-$F22)*G$17/5</f>
        <v>0.0568</v>
      </c>
      <c r="H22" s="6" t="n">
        <f aca="false">$F22+($L22-$F22)*H$17/5</f>
        <v>0.0566</v>
      </c>
      <c r="I22" s="6" t="n">
        <f aca="false">$F22+($L22-$F22)*I$17/5</f>
        <v>0.0564</v>
      </c>
      <c r="J22" s="6" t="n">
        <f aca="false">$F22+($L22-$F22)*J$17/5</f>
        <v>0.0562</v>
      </c>
      <c r="K22" s="6" t="n">
        <f aca="false">$F22+($L22-$F22)*K$17/5</f>
        <v>0.056</v>
      </c>
      <c r="L22" s="28" t="n">
        <v>0.056</v>
      </c>
    </row>
    <row r="23" customFormat="false" ht="15" hidden="false" customHeight="false" outlineLevel="0" collapsed="false">
      <c r="A23" s="0" t="s">
        <v>137</v>
      </c>
      <c r="B23" s="27" t="n">
        <f aca="false">B20*B22</f>
        <v>24.57</v>
      </c>
      <c r="C23" s="27" t="n">
        <f aca="false">C20*C22</f>
        <v>25.38</v>
      </c>
      <c r="D23" s="27" t="n">
        <f aca="false">D20*D22</f>
        <v>26.84</v>
      </c>
      <c r="E23" s="27" t="n">
        <f aca="false">E20*E22</f>
        <v>28.336</v>
      </c>
      <c r="F23" s="27" t="n">
        <f aca="false">F20*F22</f>
        <v>29.925</v>
      </c>
      <c r="G23" s="27" t="n">
        <f aca="false">G20*G22</f>
        <v>30.8946986561265</v>
      </c>
      <c r="H23" s="27" t="n">
        <f aca="false">H20*H22</f>
        <v>31.8489411823075</v>
      </c>
      <c r="I23" s="27" t="n">
        <f aca="false">I20*I22</f>
        <v>32.7843291805827</v>
      </c>
      <c r="J23" s="27" t="n">
        <f aca="false">J20*J22</f>
        <v>33.6974397910342</v>
      </c>
      <c r="K23" s="27" t="n">
        <f aca="false">K20*K22</f>
        <v>34.5848456787696</v>
      </c>
      <c r="L23" s="27" t="n">
        <f aca="false">L20*L22</f>
        <v>35.6223910491327</v>
      </c>
    </row>
    <row r="24" customFormat="false" ht="15" hidden="false" customHeight="false" outlineLevel="0" collapsed="false">
      <c r="A24" s="0" t="s">
        <v>138</v>
      </c>
      <c r="B24" s="27" t="n">
        <f aca="false">B23*(1-$B$9)</f>
        <v>19.1646</v>
      </c>
      <c r="C24" s="27" t="n">
        <f aca="false">C23*(1-$B$9)</f>
        <v>19.7964</v>
      </c>
      <c r="D24" s="27" t="n">
        <f aca="false">D23*(1-$B$9)</f>
        <v>20.9352</v>
      </c>
      <c r="E24" s="27" t="n">
        <f aca="false">E23*(1-$B$9)</f>
        <v>22.10208</v>
      </c>
      <c r="F24" s="27" t="n">
        <f aca="false">F23*(1-$B$9)</f>
        <v>23.3415</v>
      </c>
      <c r="G24" s="27" t="n">
        <f aca="false">G23*(1-$B$9)</f>
        <v>24.0978649517787</v>
      </c>
      <c r="H24" s="27" t="n">
        <f aca="false">H23*(1-$B$9)</f>
        <v>24.8421741221998</v>
      </c>
      <c r="I24" s="27" t="n">
        <f aca="false">I23*(1-$B$9)</f>
        <v>25.5717767608545</v>
      </c>
      <c r="J24" s="27" t="n">
        <f aca="false">J23*(1-$B$9)</f>
        <v>26.2840030370067</v>
      </c>
      <c r="K24" s="27" t="n">
        <f aca="false">K23*(1-$B$9)</f>
        <v>26.9761796294403</v>
      </c>
      <c r="L24" s="27" t="n">
        <f aca="false">L23*(1-$B$9)</f>
        <v>27.7854650183235</v>
      </c>
    </row>
    <row r="25" customFormat="false" ht="15" hidden="false" customHeight="false" outlineLevel="0" collapsed="false">
      <c r="A25" s="0" t="s">
        <v>139</v>
      </c>
      <c r="B25" s="29" t="n">
        <v>0.004</v>
      </c>
      <c r="C25" s="29" t="n">
        <v>0.004</v>
      </c>
      <c r="D25" s="29" t="n">
        <v>0.004</v>
      </c>
      <c r="E25" s="29" t="n">
        <v>0.004</v>
      </c>
      <c r="F25" s="29" t="n">
        <v>0.004</v>
      </c>
      <c r="G25" s="6" t="n">
        <f aca="false">$F25+($L25-$F25)*G$17/5</f>
        <v>0.004</v>
      </c>
      <c r="H25" s="6" t="n">
        <f aca="false">$F25+($L25-$F25)*H$17/5</f>
        <v>0.004</v>
      </c>
      <c r="I25" s="6" t="n">
        <f aca="false">$F25+($L25-$F25)*I$17/5</f>
        <v>0.004</v>
      </c>
      <c r="J25" s="6" t="n">
        <f aca="false">$F25+($L25-$F25)*J$17/5</f>
        <v>0.004</v>
      </c>
      <c r="K25" s="6" t="n">
        <f aca="false">$F25+($L25-$F25)*K$17/5</f>
        <v>0.004</v>
      </c>
      <c r="L25" s="28" t="n">
        <v>0.004</v>
      </c>
    </row>
    <row r="26" customFormat="false" ht="15" hidden="false" customHeight="false" outlineLevel="0" collapsed="false">
      <c r="A26" s="0" t="s">
        <v>140</v>
      </c>
      <c r="B26" s="27" t="n">
        <f aca="false">B20*B25</f>
        <v>1.82</v>
      </c>
      <c r="C26" s="27" t="n">
        <f aca="false">C20*C25</f>
        <v>1.88</v>
      </c>
      <c r="D26" s="27" t="n">
        <f aca="false">D20*D25</f>
        <v>1.952</v>
      </c>
      <c r="E26" s="27" t="n">
        <f aca="false">E20*E25</f>
        <v>2.024</v>
      </c>
      <c r="F26" s="27" t="n">
        <f aca="false">F20*F25</f>
        <v>2.1</v>
      </c>
      <c r="G26" s="27" t="n">
        <f aca="false">G20*G25</f>
        <v>2.17568300395257</v>
      </c>
      <c r="H26" s="27" t="n">
        <f aca="false">H20*H25</f>
        <v>2.25080856412067</v>
      </c>
      <c r="I26" s="27" t="n">
        <f aca="false">I20*I25</f>
        <v>2.32512972911934</v>
      </c>
      <c r="J26" s="27" t="n">
        <f aca="false">J20*J25</f>
        <v>2.39839429117681</v>
      </c>
      <c r="K26" s="27" t="n">
        <f aca="false">K20*K25</f>
        <v>2.47034611991212</v>
      </c>
      <c r="L26" s="27" t="n">
        <f aca="false">L20*L25</f>
        <v>2.54445650350948</v>
      </c>
    </row>
    <row r="27" customFormat="false" ht="15" hidden="false" customHeight="false" outlineLevel="0" collapsed="false">
      <c r="A27" s="0" t="s">
        <v>141</v>
      </c>
      <c r="B27" s="27" t="n">
        <f aca="false">$B$11*(B20-$B$12)</f>
        <v>0</v>
      </c>
      <c r="C27" s="27" t="n">
        <f aca="false">$B$11*(C20-B20)</f>
        <v>0</v>
      </c>
      <c r="D27" s="27" t="n">
        <f aca="false">$B$11*(D20-C20)</f>
        <v>0</v>
      </c>
      <c r="E27" s="27" t="n">
        <f aca="false">$B$11*(E20-D20)</f>
        <v>0</v>
      </c>
      <c r="F27" s="27" t="n">
        <f aca="false">$B$11*(F20-E20)</f>
        <v>0</v>
      </c>
      <c r="G27" s="27" t="n">
        <f aca="false">$B$11*(G20-F20)</f>
        <v>0</v>
      </c>
      <c r="H27" s="27" t="n">
        <f aca="false">$B$11*(H20-G20)</f>
        <v>0</v>
      </c>
      <c r="I27" s="27" t="n">
        <f aca="false">$B$11*(I20-H20)</f>
        <v>0</v>
      </c>
      <c r="J27" s="27" t="n">
        <f aca="false">$B$11*(J20-I20)</f>
        <v>0</v>
      </c>
      <c r="K27" s="27" t="n">
        <f aca="false">$B$11*(K20-J20)</f>
        <v>0</v>
      </c>
      <c r="L27" s="27" t="n">
        <f aca="false">$B$11*(L20-K20)</f>
        <v>0</v>
      </c>
    </row>
    <row r="28" customFormat="false" ht="15" hidden="false" customHeight="false" outlineLevel="0" collapsed="false">
      <c r="A28" s="0" t="s">
        <v>142</v>
      </c>
      <c r="B28" s="27" t="n">
        <f aca="false">B24-B26-B27</f>
        <v>17.3446</v>
      </c>
      <c r="C28" s="27" t="n">
        <f aca="false">C24-C26-C27</f>
        <v>17.9164</v>
      </c>
      <c r="D28" s="27" t="n">
        <f aca="false">D24-D26-D27</f>
        <v>18.9832</v>
      </c>
      <c r="E28" s="27" t="n">
        <f aca="false">E24-E26-E27</f>
        <v>20.07808</v>
      </c>
      <c r="F28" s="27" t="n">
        <f aca="false">F24-F26-F27</f>
        <v>21.2415</v>
      </c>
      <c r="G28" s="27" t="n">
        <f aca="false">G24-G26-G27</f>
        <v>21.9221819478261</v>
      </c>
      <c r="H28" s="27" t="n">
        <f aca="false">H24-H26-H27</f>
        <v>22.5913655580792</v>
      </c>
      <c r="I28" s="27" t="n">
        <f aca="false">I24-I26-I27</f>
        <v>23.2466470317352</v>
      </c>
      <c r="J28" s="27" t="n">
        <f aca="false">J24-J26-J27</f>
        <v>23.8856087458299</v>
      </c>
      <c r="K28" s="27" t="n">
        <f aca="false">K24-K26-K27</f>
        <v>24.5058335095282</v>
      </c>
      <c r="L28" s="27" t="n">
        <f aca="false">L24-L26-L27</f>
        <v>25.241008514814</v>
      </c>
    </row>
    <row r="29" customFormat="false" ht="15" hidden="false" customHeight="false" outlineLevel="0" collapsed="false">
      <c r="A29" s="0" t="s">
        <v>143</v>
      </c>
      <c r="B29" s="30" t="n">
        <f aca="false">1/(1+$B$10)^B$16</f>
        <v>0.957826285221151</v>
      </c>
      <c r="C29" s="30" t="n">
        <f aca="false">1/(1+$B$10)^C$16</f>
        <v>0.878739711212065</v>
      </c>
      <c r="D29" s="30" t="n">
        <f aca="false">1/(1+$B$10)^D$16</f>
        <v>0.806183221295473</v>
      </c>
      <c r="E29" s="30" t="n">
        <f aca="false">1/(1+$B$10)^E$16</f>
        <v>0.73961763421603</v>
      </c>
      <c r="F29" s="30" t="n">
        <f aca="false">1/(1+$B$10)^F$16</f>
        <v>0.678548288271587</v>
      </c>
      <c r="G29" s="30" t="n">
        <f aca="false">1/(1+$B$10)^G$16</f>
        <v>0.622521365386777</v>
      </c>
      <c r="H29" s="30" t="n">
        <f aca="false">1/(1+$B$10)^H$16</f>
        <v>0.571120518703465</v>
      </c>
      <c r="I29" s="30" t="n">
        <f aca="false">1/(1+$B$10)^I$16</f>
        <v>0.523963778627032</v>
      </c>
      <c r="J29" s="30" t="n">
        <f aca="false">1/(1+$B$10)^J$16</f>
        <v>0.480700714336727</v>
      </c>
      <c r="K29" s="30" t="n">
        <f aca="false">1/(1+$B$10)^K$16</f>
        <v>0.441009829666722</v>
      </c>
    </row>
    <row r="30" customFormat="false" ht="15" hidden="false" customHeight="false" outlineLevel="0" collapsed="false">
      <c r="A30" s="0" t="s">
        <v>144</v>
      </c>
      <c r="B30" s="27" t="n">
        <f aca="false">B28*B29</f>
        <v>16.6131137866468</v>
      </c>
      <c r="C30" s="27" t="n">
        <f aca="false">C28*C29</f>
        <v>15.7438521619598</v>
      </c>
      <c r="D30" s="27" t="n">
        <f aca="false">D28*D29</f>
        <v>15.3039373264962</v>
      </c>
      <c r="E30" s="27" t="n">
        <f aca="false">E28*E29</f>
        <v>14.8501020292002</v>
      </c>
      <c r="F30" s="27" t="n">
        <f aca="false">F28*F29</f>
        <v>14.4133834653209</v>
      </c>
      <c r="G30" s="27" t="n">
        <f aca="false">G28*G29</f>
        <v>13.6470266384181</v>
      </c>
      <c r="H30" s="27" t="n">
        <f aca="false">H28*H29</f>
        <v>12.9023924157498</v>
      </c>
      <c r="I30" s="27" t="n">
        <f aca="false">I28*I29</f>
        <v>12.1804010191569</v>
      </c>
      <c r="J30" s="27" t="n">
        <f aca="false">J28*J29</f>
        <v>11.481829186488</v>
      </c>
      <c r="K30" s="27" t="n">
        <f aca="false">K28*K29</f>
        <v>10.8073134618781</v>
      </c>
      <c r="L30" s="27"/>
    </row>
    <row r="31" customFormat="false" ht="15" hidden="false" customHeight="false" outlineLevel="0" collapsed="false">
      <c r="A31" s="0" t="s">
        <v>145</v>
      </c>
      <c r="B31" s="27" t="n">
        <f aca="false">L28/($B$10-L21)</f>
        <v>420.683475246901</v>
      </c>
      <c r="C31" s="0" t="str">
        <f aca="false">IF($B$10&gt;L21,"","Discount rate must exceed terminal growth")</f>
        <v/>
      </c>
    </row>
    <row r="32" customFormat="false" ht="15" hidden="false" customHeight="false" outlineLevel="0" collapsed="false">
      <c r="A32" s="0" t="s">
        <v>146</v>
      </c>
      <c r="B32" s="27" t="n">
        <f aca="false">B31/(1+$B$10)^$K$16</f>
        <v>185.52554776224</v>
      </c>
    </row>
    <row r="33" customFormat="false" ht="15" hidden="false" customHeight="false" outlineLevel="0" collapsed="false">
      <c r="A33" s="0" t="s">
        <v>147</v>
      </c>
      <c r="B33" s="27" t="n">
        <f aca="false">SUM(B30:K30)+B32+$B$7+$B$8</f>
        <v>274.978899253555</v>
      </c>
    </row>
    <row r="34" customFormat="false" ht="15" hidden="false" customHeight="false" outlineLevel="0" collapsed="false">
      <c r="A34" s="0" t="s">
        <v>148</v>
      </c>
      <c r="B34" s="31" t="n">
        <f aca="false">B33/$B$6</f>
        <v>306.352454075418</v>
      </c>
    </row>
    <row r="35" customFormat="false" ht="15" hidden="false" customHeight="false" outlineLevel="0" collapsed="false">
      <c r="A35" s="0" t="s">
        <v>149</v>
      </c>
      <c r="B35" s="6" t="n">
        <f aca="false">B34/$B$4-1</f>
        <v>-0.276429641523375</v>
      </c>
    </row>
    <row r="37" customFormat="false" ht="15" hidden="false" customHeight="false" outlineLevel="0" collapsed="false">
      <c r="A37" s="12" t="s">
        <v>179</v>
      </c>
      <c r="B37" s="26"/>
      <c r="C37" s="26"/>
      <c r="D37" s="26"/>
      <c r="E37" s="26"/>
      <c r="F37" s="26"/>
      <c r="G37" s="26"/>
      <c r="H37" s="26"/>
      <c r="I37" s="26"/>
      <c r="J37" s="26"/>
      <c r="K37" s="26"/>
      <c r="L37" s="26"/>
    </row>
    <row r="38" customFormat="false" ht="15" hidden="false" customHeight="false" outlineLevel="0" collapsed="false">
      <c r="A38" s="0" t="s">
        <v>134</v>
      </c>
      <c r="B38" s="22" t="n">
        <v>463</v>
      </c>
      <c r="C38" s="22" t="n">
        <v>485</v>
      </c>
      <c r="D38" s="22" t="n">
        <v>510</v>
      </c>
      <c r="E38" s="22" t="n">
        <v>536</v>
      </c>
      <c r="F38" s="22" t="n">
        <v>563</v>
      </c>
      <c r="G38" s="27" t="n">
        <f aca="false">F38*(1+$F39+($L39-$F39)*G$17/5)</f>
        <v>590.192059701492</v>
      </c>
      <c r="H38" s="27" t="n">
        <f aca="false">G38*(1+$F39+($L39-$F39)*H$17/5)</f>
        <v>617.473026998441</v>
      </c>
      <c r="I38" s="27" t="n">
        <f aca="false">H38*(1+$F39+($L39-$F39)*I$17/5)</f>
        <v>644.734000339655</v>
      </c>
      <c r="J38" s="27" t="n">
        <f aca="false">I38*(1+$F39+($L39-$F39)*J$17/5)</f>
        <v>671.860942831558</v>
      </c>
      <c r="K38" s="27" t="n">
        <f aca="false">J38*(1+$F39+($L39-$F39)*K$17/5)</f>
        <v>698.73538054482</v>
      </c>
      <c r="L38" s="27" t="n">
        <f aca="false">K38*(1+L39)</f>
        <v>726.684795766613</v>
      </c>
    </row>
    <row r="39" customFormat="false" ht="15" hidden="false" customHeight="false" outlineLevel="0" collapsed="false">
      <c r="A39" s="0" t="s">
        <v>135</v>
      </c>
      <c r="B39" s="6" t="n">
        <f aca="false">B38/$B$12-1</f>
        <v>0.0318698462224203</v>
      </c>
      <c r="C39" s="6" t="n">
        <f aca="false">C38/B38-1</f>
        <v>0.0475161987041037</v>
      </c>
      <c r="D39" s="6" t="n">
        <f aca="false">D38/C38-1</f>
        <v>0.0515463917525774</v>
      </c>
      <c r="E39" s="6" t="n">
        <f aca="false">E38/D38-1</f>
        <v>0.0509803921568628</v>
      </c>
      <c r="F39" s="6" t="n">
        <f aca="false">F38/E38-1</f>
        <v>0.0503731343283582</v>
      </c>
      <c r="G39" s="6" t="n">
        <f aca="false">G38/F38-1</f>
        <v>0.0482985074626865</v>
      </c>
      <c r="H39" s="6" t="n">
        <f aca="false">H38/G38-1</f>
        <v>0.046223880597015</v>
      </c>
      <c r="I39" s="6" t="n">
        <f aca="false">I38/H38-1</f>
        <v>0.0441492537313433</v>
      </c>
      <c r="J39" s="6" t="n">
        <f aca="false">J38/I38-1</f>
        <v>0.0420746268656715</v>
      </c>
      <c r="K39" s="6" t="n">
        <f aca="false">K38/J38-1</f>
        <v>0.04</v>
      </c>
      <c r="L39" s="28" t="n">
        <v>0.04</v>
      </c>
    </row>
    <row r="40" customFormat="false" ht="15" hidden="false" customHeight="false" outlineLevel="0" collapsed="false">
      <c r="A40" s="0" t="s">
        <v>136</v>
      </c>
      <c r="B40" s="29" t="n">
        <v>0.06</v>
      </c>
      <c r="C40" s="29" t="n">
        <v>0.063</v>
      </c>
      <c r="D40" s="29" t="n">
        <v>0.065</v>
      </c>
      <c r="E40" s="29" t="n">
        <v>0.066</v>
      </c>
      <c r="F40" s="29" t="n">
        <v>0.067</v>
      </c>
      <c r="G40" s="6" t="n">
        <f aca="false">$F40+($L40-$F40)*G$17/5</f>
        <v>0.0666</v>
      </c>
      <c r="H40" s="6" t="n">
        <f aca="false">$F40+($L40-$F40)*H$17/5</f>
        <v>0.0662</v>
      </c>
      <c r="I40" s="6" t="n">
        <f aca="false">$F40+($L40-$F40)*I$17/5</f>
        <v>0.0658</v>
      </c>
      <c r="J40" s="6" t="n">
        <f aca="false">$F40+($L40-$F40)*J$17/5</f>
        <v>0.0654</v>
      </c>
      <c r="K40" s="6" t="n">
        <f aca="false">$F40+($L40-$F40)*K$17/5</f>
        <v>0.065</v>
      </c>
      <c r="L40" s="28" t="n">
        <v>0.065</v>
      </c>
    </row>
    <row r="41" customFormat="false" ht="15" hidden="false" customHeight="false" outlineLevel="0" collapsed="false">
      <c r="A41" s="0" t="s">
        <v>137</v>
      </c>
      <c r="B41" s="27" t="n">
        <f aca="false">B38*B40</f>
        <v>27.78</v>
      </c>
      <c r="C41" s="27" t="n">
        <f aca="false">C38*C40</f>
        <v>30.555</v>
      </c>
      <c r="D41" s="27" t="n">
        <f aca="false">D38*D40</f>
        <v>33.15</v>
      </c>
      <c r="E41" s="27" t="n">
        <f aca="false">E38*E40</f>
        <v>35.376</v>
      </c>
      <c r="F41" s="27" t="n">
        <f aca="false">F38*F40</f>
        <v>37.721</v>
      </c>
      <c r="G41" s="27" t="n">
        <f aca="false">G38*G40</f>
        <v>39.3067911761194</v>
      </c>
      <c r="H41" s="27" t="n">
        <f aca="false">H38*H40</f>
        <v>40.8767143872968</v>
      </c>
      <c r="I41" s="27" t="n">
        <f aca="false">I38*I40</f>
        <v>42.4234972223493</v>
      </c>
      <c r="J41" s="27" t="n">
        <f aca="false">J38*J40</f>
        <v>43.9397056611839</v>
      </c>
      <c r="K41" s="27" t="n">
        <f aca="false">K38*K40</f>
        <v>45.4177997354133</v>
      </c>
      <c r="L41" s="27" t="n">
        <f aca="false">L38*L40</f>
        <v>47.2345117248299</v>
      </c>
    </row>
    <row r="42" customFormat="false" ht="15" hidden="false" customHeight="false" outlineLevel="0" collapsed="false">
      <c r="A42" s="0" t="s">
        <v>138</v>
      </c>
      <c r="B42" s="27" t="n">
        <f aca="false">B41*(1-$B$9)</f>
        <v>21.6684</v>
      </c>
      <c r="C42" s="27" t="n">
        <f aca="false">C41*(1-$B$9)</f>
        <v>23.8329</v>
      </c>
      <c r="D42" s="27" t="n">
        <f aca="false">D41*(1-$B$9)</f>
        <v>25.857</v>
      </c>
      <c r="E42" s="27" t="n">
        <f aca="false">E41*(1-$B$9)</f>
        <v>27.59328</v>
      </c>
      <c r="F42" s="27" t="n">
        <f aca="false">F41*(1-$B$9)</f>
        <v>29.42238</v>
      </c>
      <c r="G42" s="27" t="n">
        <f aca="false">G41*(1-$B$9)</f>
        <v>30.6592971173731</v>
      </c>
      <c r="H42" s="27" t="n">
        <f aca="false">H41*(1-$B$9)</f>
        <v>31.8838372220915</v>
      </c>
      <c r="I42" s="27" t="n">
        <f aca="false">I41*(1-$B$9)</f>
        <v>33.0903278334325</v>
      </c>
      <c r="J42" s="27" t="n">
        <f aca="false">J41*(1-$B$9)</f>
        <v>34.2729704157234</v>
      </c>
      <c r="K42" s="27" t="n">
        <f aca="false">K41*(1-$B$9)</f>
        <v>35.4258837936224</v>
      </c>
      <c r="L42" s="27" t="n">
        <f aca="false">L41*(1-$B$9)</f>
        <v>36.8429191453673</v>
      </c>
    </row>
    <row r="43" customFormat="false" ht="15" hidden="false" customHeight="false" outlineLevel="0" collapsed="false">
      <c r="A43" s="0" t="s">
        <v>139</v>
      </c>
      <c r="B43" s="29" t="n">
        <v>0.004</v>
      </c>
      <c r="C43" s="29" t="n">
        <v>0.004</v>
      </c>
      <c r="D43" s="29" t="n">
        <v>0.004</v>
      </c>
      <c r="E43" s="29" t="n">
        <v>0.004</v>
      </c>
      <c r="F43" s="29" t="n">
        <v>0.004</v>
      </c>
      <c r="G43" s="6" t="n">
        <f aca="false">$F43+($L43-$F43)*G$17/5</f>
        <v>0.004</v>
      </c>
      <c r="H43" s="6" t="n">
        <f aca="false">$F43+($L43-$F43)*H$17/5</f>
        <v>0.004</v>
      </c>
      <c r="I43" s="6" t="n">
        <f aca="false">$F43+($L43-$F43)*I$17/5</f>
        <v>0.004</v>
      </c>
      <c r="J43" s="6" t="n">
        <f aca="false">$F43+($L43-$F43)*J$17/5</f>
        <v>0.004</v>
      </c>
      <c r="K43" s="6" t="n">
        <f aca="false">$F43+($L43-$F43)*K$17/5</f>
        <v>0.004</v>
      </c>
      <c r="L43" s="28" t="n">
        <v>0.004</v>
      </c>
    </row>
    <row r="44" customFormat="false" ht="15" hidden="false" customHeight="false" outlineLevel="0" collapsed="false">
      <c r="A44" s="0" t="s">
        <v>140</v>
      </c>
      <c r="B44" s="27" t="n">
        <f aca="false">B38*B43</f>
        <v>1.852</v>
      </c>
      <c r="C44" s="27" t="n">
        <f aca="false">C38*C43</f>
        <v>1.94</v>
      </c>
      <c r="D44" s="27" t="n">
        <f aca="false">D38*D43</f>
        <v>2.04</v>
      </c>
      <c r="E44" s="27" t="n">
        <f aca="false">E38*E43</f>
        <v>2.144</v>
      </c>
      <c r="F44" s="27" t="n">
        <f aca="false">F38*F43</f>
        <v>2.252</v>
      </c>
      <c r="G44" s="27" t="n">
        <f aca="false">G38*G43</f>
        <v>2.36076823880597</v>
      </c>
      <c r="H44" s="27" t="n">
        <f aca="false">H38*H43</f>
        <v>2.46989210799376</v>
      </c>
      <c r="I44" s="27" t="n">
        <f aca="false">I38*I43</f>
        <v>2.57893600135862</v>
      </c>
      <c r="J44" s="27" t="n">
        <f aca="false">J38*J43</f>
        <v>2.68744377132623</v>
      </c>
      <c r="K44" s="27" t="n">
        <f aca="false">K38*K43</f>
        <v>2.79494152217928</v>
      </c>
      <c r="L44" s="27" t="n">
        <f aca="false">L38*L43</f>
        <v>2.90673918306645</v>
      </c>
    </row>
    <row r="45" customFormat="false" ht="15" hidden="false" customHeight="false" outlineLevel="0" collapsed="false">
      <c r="A45" s="0" t="s">
        <v>141</v>
      </c>
      <c r="B45" s="27" t="n">
        <f aca="false">$B$11*(B38-$B$12)</f>
        <v>0</v>
      </c>
      <c r="C45" s="27" t="n">
        <f aca="false">$B$11*(C38-B38)</f>
        <v>0</v>
      </c>
      <c r="D45" s="27" t="n">
        <f aca="false">$B$11*(D38-C38)</f>
        <v>0</v>
      </c>
      <c r="E45" s="27" t="n">
        <f aca="false">$B$11*(E38-D38)</f>
        <v>0</v>
      </c>
      <c r="F45" s="27" t="n">
        <f aca="false">$B$11*(F38-E38)</f>
        <v>0</v>
      </c>
      <c r="G45" s="27" t="n">
        <f aca="false">$B$11*(G38-F38)</f>
        <v>0</v>
      </c>
      <c r="H45" s="27" t="n">
        <f aca="false">$B$11*(H38-G38)</f>
        <v>0</v>
      </c>
      <c r="I45" s="27" t="n">
        <f aca="false">$B$11*(I38-H38)</f>
        <v>0</v>
      </c>
      <c r="J45" s="27" t="n">
        <f aca="false">$B$11*(J38-I38)</f>
        <v>0</v>
      </c>
      <c r="K45" s="27" t="n">
        <f aca="false">$B$11*(K38-J38)</f>
        <v>0</v>
      </c>
      <c r="L45" s="27" t="n">
        <f aca="false">$B$11*(L38-K38)</f>
        <v>0</v>
      </c>
    </row>
    <row r="46" customFormat="false" ht="15" hidden="false" customHeight="false" outlineLevel="0" collapsed="false">
      <c r="A46" s="0" t="s">
        <v>142</v>
      </c>
      <c r="B46" s="27" t="n">
        <f aca="false">B42-B44-B45</f>
        <v>19.8164</v>
      </c>
      <c r="C46" s="27" t="n">
        <f aca="false">C42-C44-C45</f>
        <v>21.8929</v>
      </c>
      <c r="D46" s="27" t="n">
        <f aca="false">D42-D44-D45</f>
        <v>23.817</v>
      </c>
      <c r="E46" s="27" t="n">
        <f aca="false">E42-E44-E45</f>
        <v>25.44928</v>
      </c>
      <c r="F46" s="27" t="n">
        <f aca="false">F42-F44-F45</f>
        <v>27.17038</v>
      </c>
      <c r="G46" s="27" t="n">
        <f aca="false">G42-G44-G45</f>
        <v>28.2985288785672</v>
      </c>
      <c r="H46" s="27" t="n">
        <f aca="false">H42-H44-H45</f>
        <v>29.4139451140977</v>
      </c>
      <c r="I46" s="27" t="n">
        <f aca="false">I42-I44-I45</f>
        <v>30.5113918320738</v>
      </c>
      <c r="J46" s="27" t="n">
        <f aca="false">J42-J44-J45</f>
        <v>31.5855266443972</v>
      </c>
      <c r="K46" s="27" t="n">
        <f aca="false">K42-K44-K45</f>
        <v>32.6309422714431</v>
      </c>
      <c r="L46" s="27" t="n">
        <f aca="false">L42-L44-L45</f>
        <v>33.9361799623008</v>
      </c>
    </row>
    <row r="47" customFormat="false" ht="15" hidden="false" customHeight="false" outlineLevel="0" collapsed="false">
      <c r="A47" s="0" t="s">
        <v>143</v>
      </c>
      <c r="B47" s="30" t="n">
        <f aca="false">1/(1+$B$10)^B$16</f>
        <v>0.957826285221151</v>
      </c>
      <c r="C47" s="30" t="n">
        <f aca="false">1/(1+$B$10)^C$16</f>
        <v>0.878739711212065</v>
      </c>
      <c r="D47" s="30" t="n">
        <f aca="false">1/(1+$B$10)^D$16</f>
        <v>0.806183221295473</v>
      </c>
      <c r="E47" s="30" t="n">
        <f aca="false">1/(1+$B$10)^E$16</f>
        <v>0.73961763421603</v>
      </c>
      <c r="F47" s="30" t="n">
        <f aca="false">1/(1+$B$10)^F$16</f>
        <v>0.678548288271587</v>
      </c>
      <c r="G47" s="30" t="n">
        <f aca="false">1/(1+$B$10)^G$16</f>
        <v>0.622521365386777</v>
      </c>
      <c r="H47" s="30" t="n">
        <f aca="false">1/(1+$B$10)^H$16</f>
        <v>0.571120518703465</v>
      </c>
      <c r="I47" s="30" t="n">
        <f aca="false">1/(1+$B$10)^I$16</f>
        <v>0.523963778627032</v>
      </c>
      <c r="J47" s="30" t="n">
        <f aca="false">1/(1+$B$10)^J$16</f>
        <v>0.480700714336727</v>
      </c>
      <c r="K47" s="30" t="n">
        <f aca="false">1/(1+$B$10)^K$16</f>
        <v>0.441009829666722</v>
      </c>
    </row>
    <row r="48" customFormat="false" ht="15" hidden="false" customHeight="false" outlineLevel="0" collapsed="false">
      <c r="A48" s="0" t="s">
        <v>144</v>
      </c>
      <c r="B48" s="27" t="n">
        <f aca="false">B46*B47</f>
        <v>18.9806687984564</v>
      </c>
      <c r="C48" s="27" t="n">
        <f aca="false">C46*C47</f>
        <v>19.2381606235946</v>
      </c>
      <c r="D48" s="27" t="n">
        <f aca="false">D46*D47</f>
        <v>19.2008657815943</v>
      </c>
      <c r="E48" s="27" t="n">
        <f aca="false">E46*E47</f>
        <v>18.8227362661013</v>
      </c>
      <c r="F48" s="27" t="n">
        <f aca="false">F46*F47</f>
        <v>18.4364148406886</v>
      </c>
      <c r="G48" s="27" t="n">
        <f aca="false">G46*G47</f>
        <v>17.6164388359228</v>
      </c>
      <c r="H48" s="27" t="n">
        <f aca="false">H46*H47</f>
        <v>16.7989075906788</v>
      </c>
      <c r="I48" s="27" t="n">
        <f aca="false">I46*I47</f>
        <v>15.9868641555034</v>
      </c>
      <c r="J48" s="27" t="n">
        <f aca="false">J46*J47</f>
        <v>15.1831852206635</v>
      </c>
      <c r="K48" s="27" t="n">
        <f aca="false">K46*K47</f>
        <v>14.3905662929938</v>
      </c>
      <c r="L48" s="27"/>
    </row>
    <row r="49" customFormat="false" ht="15" hidden="false" customHeight="false" outlineLevel="0" collapsed="false">
      <c r="A49" s="0" t="s">
        <v>145</v>
      </c>
      <c r="B49" s="27" t="n">
        <f aca="false">L46/($B$10-L39)</f>
        <v>678.723599246017</v>
      </c>
      <c r="C49" s="0" t="str">
        <f aca="false">IF($B$10&gt;L39,"","Discount rate must exceed terminal growth")</f>
        <v/>
      </c>
    </row>
    <row r="50" customFormat="false" ht="15" hidden="false" customHeight="false" outlineLevel="0" collapsed="false">
      <c r="A50" s="0" t="s">
        <v>146</v>
      </c>
      <c r="B50" s="27" t="n">
        <f aca="false">B49/(1+$B$10)^$K$16</f>
        <v>299.32377889427</v>
      </c>
    </row>
    <row r="51" customFormat="false" ht="15" hidden="false" customHeight="false" outlineLevel="0" collapsed="false">
      <c r="A51" s="0" t="s">
        <v>147</v>
      </c>
      <c r="B51" s="27" t="n">
        <f aca="false">SUM(B48:K48)+B50+$B$7+$B$8</f>
        <v>425.488587300468</v>
      </c>
    </row>
    <row r="52" customFormat="false" ht="15" hidden="false" customHeight="false" outlineLevel="0" collapsed="false">
      <c r="A52" s="0" t="s">
        <v>148</v>
      </c>
      <c r="B52" s="31" t="n">
        <f aca="false">B51/$B$6</f>
        <v>474.034455932517</v>
      </c>
    </row>
    <row r="53" customFormat="false" ht="15" hidden="false" customHeight="false" outlineLevel="0" collapsed="false">
      <c r="A53" s="0" t="s">
        <v>149</v>
      </c>
      <c r="B53" s="6" t="n">
        <f aca="false">B52/$B$4-1</f>
        <v>0.119616561403237</v>
      </c>
    </row>
    <row r="55" customFormat="false" ht="15" hidden="false" customHeight="false" outlineLevel="0" collapsed="false">
      <c r="A55" s="12" t="s">
        <v>180</v>
      </c>
      <c r="B55" s="26"/>
      <c r="C55" s="26"/>
      <c r="D55" s="26"/>
      <c r="E55" s="26"/>
      <c r="F55" s="26"/>
      <c r="G55" s="26"/>
      <c r="H55" s="26"/>
      <c r="I55" s="26"/>
      <c r="J55" s="26"/>
      <c r="K55" s="26"/>
      <c r="L55" s="26"/>
    </row>
    <row r="56" customFormat="false" ht="15" hidden="false" customHeight="false" outlineLevel="0" collapsed="false">
      <c r="A56" s="0" t="s">
        <v>134</v>
      </c>
      <c r="B56" s="22" t="n">
        <v>466</v>
      </c>
      <c r="C56" s="22" t="n">
        <v>495</v>
      </c>
      <c r="D56" s="22" t="n">
        <v>528</v>
      </c>
      <c r="E56" s="22" t="n">
        <v>563</v>
      </c>
      <c r="F56" s="22" t="n">
        <v>600</v>
      </c>
      <c r="G56" s="27" t="n">
        <f aca="false">F56*(1+$F57+($L57-$F57)*G$17/5)</f>
        <v>636.945293072824</v>
      </c>
      <c r="H56" s="27" t="n">
        <f aca="false">G56*(1+$F57+($L57-$F57)*H$17/5)</f>
        <v>673.526090774808</v>
      </c>
      <c r="I56" s="27" t="n">
        <f aca="false">H56*(1+$F57+($L57-$F57)*I$17/5)</f>
        <v>709.416776830465</v>
      </c>
      <c r="J56" s="27" t="n">
        <f aca="false">I56*(1+$F57+($L57-$F57)*J$17/5)</f>
        <v>744.280264186318</v>
      </c>
      <c r="K56" s="27" t="n">
        <f aca="false">J56*(1+$F57+($L57-$F57)*K$17/5)</f>
        <v>777.772876074702</v>
      </c>
      <c r="L56" s="27" t="n">
        <f aca="false">K56*(1+L57)</f>
        <v>812.772655498064</v>
      </c>
    </row>
    <row r="57" customFormat="false" ht="15" hidden="false" customHeight="false" outlineLevel="0" collapsed="false">
      <c r="A57" s="0" t="s">
        <v>135</v>
      </c>
      <c r="B57" s="6" t="n">
        <f aca="false">B56/$B$12-1</f>
        <v>0.0385558279474036</v>
      </c>
      <c r="C57" s="6" t="n">
        <f aca="false">C56/B56-1</f>
        <v>0.0622317596566524</v>
      </c>
      <c r="D57" s="6" t="n">
        <f aca="false">D56/C56-1</f>
        <v>0.0666666666666667</v>
      </c>
      <c r="E57" s="6" t="n">
        <f aca="false">E56/D56-1</f>
        <v>0.0662878787878789</v>
      </c>
      <c r="F57" s="6" t="n">
        <f aca="false">F56/E56-1</f>
        <v>0.0657193605683837</v>
      </c>
      <c r="G57" s="6" t="n">
        <f aca="false">G56/F56-1</f>
        <v>0.0615754884547068</v>
      </c>
      <c r="H57" s="6" t="n">
        <f aca="false">H56/G56-1</f>
        <v>0.0574316163410302</v>
      </c>
      <c r="I57" s="6" t="n">
        <f aca="false">I56/H56-1</f>
        <v>0.0532877442273534</v>
      </c>
      <c r="J57" s="6" t="n">
        <f aca="false">J56/I56-1</f>
        <v>0.0491438721136768</v>
      </c>
      <c r="K57" s="6" t="n">
        <f aca="false">K56/J56-1</f>
        <v>0.0449999999999999</v>
      </c>
      <c r="L57" s="28" t="n">
        <v>0.045</v>
      </c>
    </row>
    <row r="58" customFormat="false" ht="15" hidden="false" customHeight="false" outlineLevel="0" collapsed="false">
      <c r="A58" s="0" t="s">
        <v>136</v>
      </c>
      <c r="B58" s="29" t="n">
        <v>0.062</v>
      </c>
      <c r="C58" s="29" t="n">
        <v>0.068</v>
      </c>
      <c r="D58" s="29" t="n">
        <v>0.074</v>
      </c>
      <c r="E58" s="29" t="n">
        <v>0.078</v>
      </c>
      <c r="F58" s="29" t="n">
        <v>0.08</v>
      </c>
      <c r="G58" s="6" t="n">
        <f aca="false">$F58+($L58-$F58)*G$17/5</f>
        <v>0.0796</v>
      </c>
      <c r="H58" s="6" t="n">
        <f aca="false">$F58+($L58-$F58)*H$17/5</f>
        <v>0.0792</v>
      </c>
      <c r="I58" s="6" t="n">
        <f aca="false">$F58+($L58-$F58)*I$17/5</f>
        <v>0.0788</v>
      </c>
      <c r="J58" s="6" t="n">
        <f aca="false">$F58+($L58-$F58)*J$17/5</f>
        <v>0.0784</v>
      </c>
      <c r="K58" s="6" t="n">
        <f aca="false">$F58+($L58-$F58)*K$17/5</f>
        <v>0.078</v>
      </c>
      <c r="L58" s="28" t="n">
        <v>0.078</v>
      </c>
    </row>
    <row r="59" customFormat="false" ht="15" hidden="false" customHeight="false" outlineLevel="0" collapsed="false">
      <c r="A59" s="0" t="s">
        <v>137</v>
      </c>
      <c r="B59" s="27" t="n">
        <f aca="false">B56*B58</f>
        <v>28.892</v>
      </c>
      <c r="C59" s="27" t="n">
        <f aca="false">C56*C58</f>
        <v>33.66</v>
      </c>
      <c r="D59" s="27" t="n">
        <f aca="false">D56*D58</f>
        <v>39.072</v>
      </c>
      <c r="E59" s="27" t="n">
        <f aca="false">E56*E58</f>
        <v>43.914</v>
      </c>
      <c r="F59" s="27" t="n">
        <f aca="false">F56*F58</f>
        <v>48</v>
      </c>
      <c r="G59" s="27" t="n">
        <f aca="false">G56*G58</f>
        <v>50.7008453285968</v>
      </c>
      <c r="H59" s="27" t="n">
        <f aca="false">H56*H58</f>
        <v>53.3432663893648</v>
      </c>
      <c r="I59" s="27" t="n">
        <f aca="false">I56*I58</f>
        <v>55.9020420142406</v>
      </c>
      <c r="J59" s="27" t="n">
        <f aca="false">J56*J58</f>
        <v>58.3515727122073</v>
      </c>
      <c r="K59" s="27" t="n">
        <f aca="false">K56*K58</f>
        <v>60.6662843338268</v>
      </c>
      <c r="L59" s="27" t="n">
        <f aca="false">L56*L58</f>
        <v>63.396267128849</v>
      </c>
    </row>
    <row r="60" customFormat="false" ht="15" hidden="false" customHeight="false" outlineLevel="0" collapsed="false">
      <c r="A60" s="0" t="s">
        <v>138</v>
      </c>
      <c r="B60" s="27" t="n">
        <f aca="false">B59*(1-$B$9)</f>
        <v>22.53576</v>
      </c>
      <c r="C60" s="27" t="n">
        <f aca="false">C59*(1-$B$9)</f>
        <v>26.2548</v>
      </c>
      <c r="D60" s="27" t="n">
        <f aca="false">D59*(1-$B$9)</f>
        <v>30.47616</v>
      </c>
      <c r="E60" s="27" t="n">
        <f aca="false">E59*(1-$B$9)</f>
        <v>34.25292</v>
      </c>
      <c r="F60" s="27" t="n">
        <f aca="false">F59*(1-$B$9)</f>
        <v>37.44</v>
      </c>
      <c r="G60" s="27" t="n">
        <f aca="false">G59*(1-$B$9)</f>
        <v>39.5466593563055</v>
      </c>
      <c r="H60" s="27" t="n">
        <f aca="false">H59*(1-$B$9)</f>
        <v>41.6077477837045</v>
      </c>
      <c r="I60" s="27" t="n">
        <f aca="false">I59*(1-$B$9)</f>
        <v>43.6035927711077</v>
      </c>
      <c r="J60" s="27" t="n">
        <f aca="false">J59*(1-$B$9)</f>
        <v>45.5142267155217</v>
      </c>
      <c r="K60" s="27" t="n">
        <f aca="false">K59*(1-$B$9)</f>
        <v>47.3197017803849</v>
      </c>
      <c r="L60" s="27" t="n">
        <f aca="false">L59*(1-$B$9)</f>
        <v>49.4490883605022</v>
      </c>
    </row>
    <row r="61" customFormat="false" ht="15" hidden="false" customHeight="false" outlineLevel="0" collapsed="false">
      <c r="A61" s="0" t="s">
        <v>139</v>
      </c>
      <c r="B61" s="29" t="n">
        <v>0.004</v>
      </c>
      <c r="C61" s="29" t="n">
        <v>0.004</v>
      </c>
      <c r="D61" s="29" t="n">
        <v>0.004</v>
      </c>
      <c r="E61" s="29" t="n">
        <v>0.004</v>
      </c>
      <c r="F61" s="29" t="n">
        <v>0.004</v>
      </c>
      <c r="G61" s="6" t="n">
        <f aca="false">$F61+($L61-$F61)*G$17/5</f>
        <v>0.004</v>
      </c>
      <c r="H61" s="6" t="n">
        <f aca="false">$F61+($L61-$F61)*H$17/5</f>
        <v>0.004</v>
      </c>
      <c r="I61" s="6" t="n">
        <f aca="false">$F61+($L61-$F61)*I$17/5</f>
        <v>0.004</v>
      </c>
      <c r="J61" s="6" t="n">
        <f aca="false">$F61+($L61-$F61)*J$17/5</f>
        <v>0.004</v>
      </c>
      <c r="K61" s="6" t="n">
        <f aca="false">$F61+($L61-$F61)*K$17/5</f>
        <v>0.004</v>
      </c>
      <c r="L61" s="28" t="n">
        <v>0.004</v>
      </c>
    </row>
    <row r="62" customFormat="false" ht="15" hidden="false" customHeight="false" outlineLevel="0" collapsed="false">
      <c r="A62" s="0" t="s">
        <v>140</v>
      </c>
      <c r="B62" s="27" t="n">
        <f aca="false">B56*B61</f>
        <v>1.864</v>
      </c>
      <c r="C62" s="27" t="n">
        <f aca="false">C56*C61</f>
        <v>1.98</v>
      </c>
      <c r="D62" s="27" t="n">
        <f aca="false">D56*D61</f>
        <v>2.112</v>
      </c>
      <c r="E62" s="27" t="n">
        <f aca="false">E56*E61</f>
        <v>2.252</v>
      </c>
      <c r="F62" s="27" t="n">
        <f aca="false">F56*F61</f>
        <v>2.4</v>
      </c>
      <c r="G62" s="27" t="n">
        <f aca="false">G56*G61</f>
        <v>2.5477811722913</v>
      </c>
      <c r="H62" s="27" t="n">
        <f aca="false">H56*H61</f>
        <v>2.69410436309923</v>
      </c>
      <c r="I62" s="27" t="n">
        <f aca="false">I56*I61</f>
        <v>2.83766710732186</v>
      </c>
      <c r="J62" s="27" t="n">
        <f aca="false">J56*J61</f>
        <v>2.97712105674527</v>
      </c>
      <c r="K62" s="27" t="n">
        <f aca="false">K56*K61</f>
        <v>3.11109150429881</v>
      </c>
      <c r="L62" s="27" t="n">
        <f aca="false">L56*L61</f>
        <v>3.25109062199226</v>
      </c>
    </row>
    <row r="63" customFormat="false" ht="15" hidden="false" customHeight="false" outlineLevel="0" collapsed="false">
      <c r="A63" s="0" t="s">
        <v>141</v>
      </c>
      <c r="B63" s="27" t="n">
        <f aca="false">$B$11*(B56-$B$12)</f>
        <v>0</v>
      </c>
      <c r="C63" s="27" t="n">
        <f aca="false">$B$11*(C56-B56)</f>
        <v>0</v>
      </c>
      <c r="D63" s="27" t="n">
        <f aca="false">$B$11*(D56-C56)</f>
        <v>0</v>
      </c>
      <c r="E63" s="27" t="n">
        <f aca="false">$B$11*(E56-D56)</f>
        <v>0</v>
      </c>
      <c r="F63" s="27" t="n">
        <f aca="false">$B$11*(F56-E56)</f>
        <v>0</v>
      </c>
      <c r="G63" s="27" t="n">
        <f aca="false">$B$11*(G56-F56)</f>
        <v>0</v>
      </c>
      <c r="H63" s="27" t="n">
        <f aca="false">$B$11*(H56-G56)</f>
        <v>0</v>
      </c>
      <c r="I63" s="27" t="n">
        <f aca="false">$B$11*(I56-H56)</f>
        <v>0</v>
      </c>
      <c r="J63" s="27" t="n">
        <f aca="false">$B$11*(J56-I56)</f>
        <v>0</v>
      </c>
      <c r="K63" s="27" t="n">
        <f aca="false">$B$11*(K56-J56)</f>
        <v>0</v>
      </c>
      <c r="L63" s="27" t="n">
        <f aca="false">$B$11*(L56-K56)</f>
        <v>0</v>
      </c>
    </row>
    <row r="64" customFormat="false" ht="15" hidden="false" customHeight="false" outlineLevel="0" collapsed="false">
      <c r="A64" s="0" t="s">
        <v>142</v>
      </c>
      <c r="B64" s="27" t="n">
        <f aca="false">B60-B62-B63</f>
        <v>20.67176</v>
      </c>
      <c r="C64" s="27" t="n">
        <f aca="false">C60-C62-C63</f>
        <v>24.2748</v>
      </c>
      <c r="D64" s="27" t="n">
        <f aca="false">D60-D62-D63</f>
        <v>28.36416</v>
      </c>
      <c r="E64" s="27" t="n">
        <f aca="false">E60-E62-E63</f>
        <v>32.00092</v>
      </c>
      <c r="F64" s="27" t="n">
        <f aca="false">F60-F62-F63</f>
        <v>35.04</v>
      </c>
      <c r="G64" s="27" t="n">
        <f aca="false">G60-G62-G63</f>
        <v>36.9988781840142</v>
      </c>
      <c r="H64" s="27" t="n">
        <f aca="false">H60-H62-H63</f>
        <v>38.9136434206053</v>
      </c>
      <c r="I64" s="27" t="n">
        <f aca="false">I60-I62-I63</f>
        <v>40.7659256637858</v>
      </c>
      <c r="J64" s="27" t="n">
        <f aca="false">J60-J62-J63</f>
        <v>42.5371056587764</v>
      </c>
      <c r="K64" s="27" t="n">
        <f aca="false">K60-K62-K63</f>
        <v>44.2086102760861</v>
      </c>
      <c r="L64" s="27" t="n">
        <f aca="false">L60-L62-L63</f>
        <v>46.1979977385099</v>
      </c>
    </row>
    <row r="65" customFormat="false" ht="15" hidden="false" customHeight="false" outlineLevel="0" collapsed="false">
      <c r="A65" s="0" t="s">
        <v>143</v>
      </c>
      <c r="B65" s="30" t="n">
        <f aca="false">1/(1+$B$10)^B$16</f>
        <v>0.957826285221151</v>
      </c>
      <c r="C65" s="30" t="n">
        <f aca="false">1/(1+$B$10)^C$16</f>
        <v>0.878739711212065</v>
      </c>
      <c r="D65" s="30" t="n">
        <f aca="false">1/(1+$B$10)^D$16</f>
        <v>0.806183221295473</v>
      </c>
      <c r="E65" s="30" t="n">
        <f aca="false">1/(1+$B$10)^E$16</f>
        <v>0.73961763421603</v>
      </c>
      <c r="F65" s="30" t="n">
        <f aca="false">1/(1+$B$10)^F$16</f>
        <v>0.678548288271587</v>
      </c>
      <c r="G65" s="30" t="n">
        <f aca="false">1/(1+$B$10)^G$16</f>
        <v>0.622521365386777</v>
      </c>
      <c r="H65" s="30" t="n">
        <f aca="false">1/(1+$B$10)^H$16</f>
        <v>0.571120518703465</v>
      </c>
      <c r="I65" s="30" t="n">
        <f aca="false">1/(1+$B$10)^I$16</f>
        <v>0.523963778627032</v>
      </c>
      <c r="J65" s="30" t="n">
        <f aca="false">1/(1+$B$10)^J$16</f>
        <v>0.480700714336727</v>
      </c>
      <c r="K65" s="30" t="n">
        <f aca="false">1/(1+$B$10)^K$16</f>
        <v>0.441009829666722</v>
      </c>
    </row>
    <row r="66" customFormat="false" ht="15" hidden="false" customHeight="false" outlineLevel="0" collapsed="false">
      <c r="A66" s="0" t="s">
        <v>144</v>
      </c>
      <c r="B66" s="27" t="n">
        <f aca="false">B64*B65</f>
        <v>19.7999550897832</v>
      </c>
      <c r="C66" s="27" t="n">
        <f aca="false">C64*C65</f>
        <v>21.3312307417306</v>
      </c>
      <c r="D66" s="27" t="n">
        <f aca="false">D64*D65</f>
        <v>22.8667098781402</v>
      </c>
      <c r="E66" s="27" t="n">
        <f aca="false">E64*E65</f>
        <v>23.6684447431364</v>
      </c>
      <c r="F66" s="27" t="n">
        <f aca="false">F64*F65</f>
        <v>23.7763320210364</v>
      </c>
      <c r="G66" s="27" t="n">
        <f aca="false">G64*G65</f>
        <v>23.0325921648916</v>
      </c>
      <c r="H66" s="27" t="n">
        <f aca="false">H64*H65</f>
        <v>22.2243802150178</v>
      </c>
      <c r="I66" s="27" t="n">
        <f aca="false">I64*I65</f>
        <v>21.3598684500259</v>
      </c>
      <c r="J66" s="27" t="n">
        <f aca="false">J64*J65</f>
        <v>20.4476170759907</v>
      </c>
      <c r="K66" s="27" t="n">
        <f aca="false">K64*K65</f>
        <v>19.4964316876592</v>
      </c>
      <c r="L66" s="27"/>
    </row>
    <row r="67" customFormat="false" ht="15" hidden="false" customHeight="false" outlineLevel="0" collapsed="false">
      <c r="A67" s="0" t="s">
        <v>145</v>
      </c>
      <c r="B67" s="27" t="n">
        <f aca="false">L64/($B$10-L57)</f>
        <v>1026.62217196689</v>
      </c>
      <c r="C67" s="0" t="str">
        <f aca="false">IF($B$10&gt;L57,"","Discount rate must exceed terminal growth")</f>
        <v/>
      </c>
    </row>
    <row r="68" customFormat="false" ht="15" hidden="false" customHeight="false" outlineLevel="0" collapsed="false">
      <c r="A68" s="0" t="s">
        <v>146</v>
      </c>
      <c r="B68" s="27" t="n">
        <f aca="false">B67/(1+$B$10)^$K$16</f>
        <v>452.750469191197</v>
      </c>
    </row>
    <row r="69" customFormat="false" ht="15" hidden="false" customHeight="false" outlineLevel="0" collapsed="false">
      <c r="A69" s="0" t="s">
        <v>147</v>
      </c>
      <c r="B69" s="27" t="n">
        <f aca="false">SUM(B66:K66)+B68+$B$7+$B$8</f>
        <v>622.264031258609</v>
      </c>
    </row>
    <row r="70" customFormat="false" ht="15" hidden="false" customHeight="false" outlineLevel="0" collapsed="false">
      <c r="A70" s="0" t="s">
        <v>148</v>
      </c>
      <c r="B70" s="31" t="n">
        <f aca="false">B69/$B$6</f>
        <v>693.260877748871</v>
      </c>
    </row>
    <row r="71" customFormat="false" ht="15" hidden="false" customHeight="false" outlineLevel="0" collapsed="false">
      <c r="A71" s="0" t="s">
        <v>149</v>
      </c>
      <c r="B71" s="6" t="n">
        <f aca="false">B70/$B$4-1</f>
        <v>0.637404940477742</v>
      </c>
    </row>
    <row r="74" customFormat="false" ht="15" hidden="false" customHeight="false" outlineLevel="0" collapsed="false">
      <c r="A74" s="12" t="s">
        <v>152</v>
      </c>
      <c r="B74" s="26"/>
      <c r="C74" s="12" t="s">
        <v>153</v>
      </c>
      <c r="D74" s="26"/>
      <c r="E74" s="26"/>
      <c r="F74" s="26"/>
      <c r="G74" s="26"/>
      <c r="H74" s="26"/>
      <c r="I74" s="26"/>
      <c r="J74" s="26"/>
      <c r="K74" s="26"/>
      <c r="L74" s="26"/>
    </row>
    <row r="75" customFormat="false" ht="15" hidden="false" customHeight="false" outlineLevel="0" collapsed="false">
      <c r="A75" s="0" t="s">
        <v>154</v>
      </c>
      <c r="B75" s="7" t="n">
        <f aca="false">B34</f>
        <v>306.352454075418</v>
      </c>
      <c r="C75" s="6" t="n">
        <f aca="false">B75/$B$4-1</f>
        <v>-0.276429641523375</v>
      </c>
    </row>
    <row r="76" customFormat="false" ht="15" hidden="false" customHeight="false" outlineLevel="0" collapsed="false">
      <c r="A76" s="0" t="s">
        <v>155</v>
      </c>
      <c r="B76" s="7" t="n">
        <f aca="false">B52</f>
        <v>474.034455932517</v>
      </c>
      <c r="C76" s="6" t="n">
        <f aca="false">B76/$B$4-1</f>
        <v>0.119616561403237</v>
      </c>
    </row>
    <row r="77" customFormat="false" ht="15" hidden="false" customHeight="false" outlineLevel="0" collapsed="false">
      <c r="A77" s="0" t="s">
        <v>156</v>
      </c>
      <c r="B77" s="7" t="n">
        <f aca="false">B70</f>
        <v>693.260877748871</v>
      </c>
      <c r="C77" s="6" t="n">
        <f aca="false">B77/$B$4-1</f>
        <v>0.637404940477742</v>
      </c>
    </row>
    <row r="78" customFormat="false" ht="15" hidden="false" customHeight="false" outlineLevel="0" collapsed="false">
      <c r="A78" s="0" t="s">
        <v>157</v>
      </c>
      <c r="B78" s="7" t="n">
        <f aca="false">INDEX(B34:B70,1+($B$13-1)*18)</f>
        <v>474.034455932517</v>
      </c>
      <c r="C78" s="6" t="n">
        <f aca="false">B78/$B$4-1</f>
        <v>0.119616561403237</v>
      </c>
    </row>
    <row r="79" customFormat="false" ht="15" hidden="false" customHeight="false" outlineLevel="0" collapsed="false">
      <c r="A79" s="0" t="s">
        <v>158</v>
      </c>
      <c r="B79" s="8" t="n">
        <f aca="false">B50/(SUM(B48:K48)+B50)</f>
        <v>0.631513293879078</v>
      </c>
    </row>
    <row r="81" customFormat="false" ht="15" hidden="false" customHeight="false" outlineLevel="0" collapsed="false">
      <c r="A81" s="9" t="s">
        <v>159</v>
      </c>
    </row>
    <row r="82" customFormat="false" ht="15" hidden="false" customHeight="false" outlineLevel="0" collapsed="false">
      <c r="A82" s="0" t="s">
        <v>5</v>
      </c>
      <c r="B82" s="11" t="n">
        <v>0.05</v>
      </c>
      <c r="C82" s="11" t="n">
        <v>0.06</v>
      </c>
      <c r="D82" s="11" t="n">
        <v>0.07</v>
      </c>
      <c r="E82" s="11" t="n">
        <v>0.08</v>
      </c>
      <c r="F82" s="11" t="n">
        <v>0.09</v>
      </c>
      <c r="G82" s="11" t="n">
        <v>0.1</v>
      </c>
      <c r="H82" s="11" t="n">
        <v>0.11</v>
      </c>
      <c r="I82" s="11" t="n">
        <v>0.12</v>
      </c>
      <c r="J82" s="11" t="n">
        <v>0.13</v>
      </c>
      <c r="K82" s="11" t="n">
        <v>0.14</v>
      </c>
    </row>
    <row r="83" customFormat="false" ht="15" hidden="false" customHeight="false" outlineLevel="0" collapsed="false">
      <c r="A83" s="0" t="s">
        <v>155</v>
      </c>
      <c r="B83" s="7" t="n">
        <f aca="false">IF(B82&gt;$L39,(SUMPRODUCT($B46:$K46/(1+B82)^$B$16:$K$16)+$L46/(B82-$L39)/(1+B82)^$K$16+$B$7+$B$8)/$B$6,"n/a")</f>
        <v>2557.95415271465</v>
      </c>
      <c r="C83" s="7" t="n">
        <f aca="false">IF(C82&gt;$L39,(SUMPRODUCT($B46:$K46/(1+C82)^$B$16:$K$16)+$L46/(C82-$L39)/(1+C82)^$K$16+$B$7+$B$8)/$B$6,"n/a")</f>
        <v>1255.54011693452</v>
      </c>
      <c r="D83" s="7" t="n">
        <f aca="false">IF(D82&gt;$L39,(SUMPRODUCT($B46:$K46/(1+D82)^$B$16:$K$16)+$L46/(D82-$L39)/(1+D82)^$K$16+$B$7+$B$8)/$B$6,"n/a")</f>
        <v>821.384128538646</v>
      </c>
      <c r="E83" s="7" t="n">
        <f aca="false">IF(E82&gt;$L39,(SUMPRODUCT($B46:$K46/(1+E82)^$B$16:$K$16)+$L46/(E82-$L39)/(1+E82)^$K$16+$B$7+$B$8)/$B$6,"n/a")</f>
        <v>604.295066168371</v>
      </c>
      <c r="F83" s="7" t="n">
        <f aca="false">IF(F82&gt;$L39,(SUMPRODUCT($B46:$K46/(1+F82)^$B$16:$K$16)+$L46/(F82-$L39)/(1+F82)^$K$16+$B$7+$B$8)/$B$6,"n/a")</f>
        <v>474.034455932517</v>
      </c>
      <c r="G83" s="7" t="n">
        <f aca="false">IF(G82&gt;$L39,(SUMPRODUCT($B46:$K46/(1+G82)^$B$16:$K$16)+$L46/(G82-$L39)/(1+G82)^$K$16+$B$7+$B$8)/$B$6,"n/a")</f>
        <v>387.189290094856</v>
      </c>
      <c r="H83" s="7" t="n">
        <f aca="false">IF(H82&gt;$L39,(SUMPRODUCT($B46:$K46/(1+H82)^$B$16:$K$16)+$L46/(H82-$L39)/(1+H82)^$K$16+$B$7+$B$8)/$B$6,"n/a")</f>
        <v>325.15385572582</v>
      </c>
      <c r="I83" s="7" t="n">
        <f aca="false">IF(I82&gt;$L39,(SUMPRODUCT($B46:$K46/(1+I82)^$B$16:$K$16)+$L46/(I82-$L39)/(1+I82)^$K$16+$B$7+$B$8)/$B$6,"n/a")</f>
        <v>278.6251898855</v>
      </c>
      <c r="J83" s="7" t="n">
        <f aca="false">IF(J82&gt;$L39,(SUMPRODUCT($B46:$K46/(1+J82)^$B$16:$K$16)+$L46/(J82-$L39)/(1+J82)^$K$16+$B$7+$B$8)/$B$6,"n/a")</f>
        <v>242.43489647849</v>
      </c>
      <c r="K83" s="7" t="n">
        <f aca="false">IF(K82&gt;$L39,(SUMPRODUCT($B46:$K46/(1+K82)^$B$16:$K$16)+$L46/(K82-$L39)/(1+K82)^$K$16+$B$7+$B$8)/$B$6,"n/a")</f>
        <v>213.48187178261</v>
      </c>
    </row>
    <row r="84" customFormat="false" ht="15" hidden="false" customHeight="false" outlineLevel="0" collapsed="false">
      <c r="A84" s="0" t="s">
        <v>160</v>
      </c>
      <c r="B84" s="6" t="n">
        <f aca="false">IFERROR(B83/$B$4-1,"n/a")</f>
        <v>5.04160266589823</v>
      </c>
      <c r="C84" s="6" t="n">
        <f aca="false">IFERROR(C83/$B$4-1,"n/a")</f>
        <v>1.96544584646431</v>
      </c>
      <c r="D84" s="6" t="n">
        <f aca="false">IFERROR(D83/$B$4-1,"n/a")</f>
        <v>0.940017781569347</v>
      </c>
      <c r="E84" s="6" t="n">
        <f aca="false">IFERROR(E83/$B$4-1,"n/a")</f>
        <v>0.427277607332179</v>
      </c>
      <c r="F84" s="6" t="n">
        <f aca="false">IFERROR(F83/$B$4-1,"n/a")</f>
        <v>0.119616561403237</v>
      </c>
      <c r="G84" s="6" t="n">
        <f aca="false">IFERROR(G83/$B$4-1,"n/a")</f>
        <v>-0.0855020428095707</v>
      </c>
      <c r="H84" s="6" t="n">
        <f aca="false">IFERROR(H83/$B$4-1,"n/a")</f>
        <v>-0.232022825938686</v>
      </c>
      <c r="I84" s="6" t="n">
        <f aca="false">IFERROR(I83/$B$4-1,"n/a")</f>
        <v>-0.341918349782705</v>
      </c>
      <c r="J84" s="6" t="n">
        <f aca="false">IFERROR(J83/$B$4-1,"n/a")</f>
        <v>-0.427395789984436</v>
      </c>
      <c r="K84" s="6" t="n">
        <f aca="false">IFERROR(K83/$B$4-1,"n/a")</f>
        <v>-0.495779607967571</v>
      </c>
    </row>
    <row r="86" customFormat="false" ht="15" hidden="false" customHeight="false" outlineLevel="0" collapsed="false">
      <c r="A86" s="9" t="s">
        <v>161</v>
      </c>
      <c r="B86" s="18" t="n">
        <f aca="false">IFERROR(IF(MATCH($B$4,$B$83:$K$83,-1)=10,"above 14%",INDEX($B$82:$K$82,MATCH($B$4,$B$83:$K$83,-1))+(INDEX($B$83:$K$83,MATCH($B$4,$B$83:$K$83,-1))-$B$4)/(INDEX($B$83:$K$83,MATCH($B$4,$B$83:$K$83,-1))-INDEX($B$83:$K$83,MATCH($B$4,$B$83:$K$83,-1)+1))*(INDEX($B$82:$K$82,MATCH($B$4,$B$83:$K$83,-1)+1)-INDEX($B$82:$K$82,MATCH($B$4,$B$83:$K$83,-1)))),"below 5%")</f>
        <v>0.0958315803123902</v>
      </c>
      <c r="C86"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1"/>
    <col collapsed="false" customWidth="true" hidden="false" outlineLevel="0" max="3" min="3" style="0" width="12"/>
    <col collapsed="false" customWidth="true" hidden="false" outlineLevel="0" max="12" min="4" style="0" width="11"/>
  </cols>
  <sheetData>
    <row r="1" customFormat="false" ht="16.15" hidden="false" customHeight="false" outlineLevel="0" collapsed="false">
      <c r="A1" s="1" t="s">
        <v>181</v>
      </c>
    </row>
    <row r="2" customFormat="false" ht="15" hidden="false" customHeight="false" outlineLevel="0" collapsed="false">
      <c r="A2" s="2" t="s">
        <v>100</v>
      </c>
    </row>
    <row r="4" customFormat="false" ht="15" hidden="false" customHeight="false" outlineLevel="0" collapsed="false">
      <c r="A4" s="0" t="s">
        <v>101</v>
      </c>
      <c r="B4" s="19" t="n">
        <v>297.605</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106</v>
      </c>
      <c r="B6" s="21" t="n">
        <v>0.20653</v>
      </c>
      <c r="C6" s="2" t="s">
        <v>61</v>
      </c>
    </row>
    <row r="7" customFormat="false" ht="15" hidden="false" customHeight="false" outlineLevel="0" collapsed="false">
      <c r="A7" s="0" t="s">
        <v>107</v>
      </c>
      <c r="B7" s="22" t="n">
        <v>-26.85</v>
      </c>
      <c r="C7" s="2" t="s">
        <v>108</v>
      </c>
    </row>
    <row r="8" customFormat="false" ht="15" hidden="false" customHeight="false" outlineLevel="0" collapsed="false">
      <c r="A8" s="0" t="s">
        <v>109</v>
      </c>
      <c r="B8" s="22" t="n">
        <v>-15.82</v>
      </c>
      <c r="C8" s="2" t="s">
        <v>182</v>
      </c>
    </row>
    <row r="9" customFormat="false" ht="15" hidden="false" customHeight="false" outlineLevel="0" collapsed="false">
      <c r="A9" s="0" t="s">
        <v>72</v>
      </c>
      <c r="B9" s="11" t="n">
        <v>0.18</v>
      </c>
      <c r="C9" s="2" t="s">
        <v>111</v>
      </c>
    </row>
    <row r="10" customFormat="false" ht="15" hidden="false" customHeight="false" outlineLevel="0" collapsed="false">
      <c r="A10" s="0" t="s">
        <v>112</v>
      </c>
      <c r="B10" s="23" t="n">
        <f aca="false">WACC!F29</f>
        <v>0.075</v>
      </c>
      <c r="C10" s="2" t="s">
        <v>113</v>
      </c>
    </row>
    <row r="11" customFormat="false" ht="15" hidden="false" customHeight="false" outlineLevel="0" collapsed="false">
      <c r="A11" s="0" t="s">
        <v>114</v>
      </c>
      <c r="B11" s="11" t="n">
        <v>0</v>
      </c>
      <c r="C11" s="2" t="s">
        <v>45</v>
      </c>
    </row>
    <row r="12" customFormat="false" ht="15" hidden="false" customHeight="false" outlineLevel="0" collapsed="false">
      <c r="A12" s="0" t="s">
        <v>115</v>
      </c>
      <c r="B12" s="22" t="n">
        <v>22.6</v>
      </c>
      <c r="C12" s="2" t="s">
        <v>183</v>
      </c>
    </row>
    <row r="13" customFormat="false" ht="15" hidden="false" customHeight="false" outlineLevel="0" collapsed="false">
      <c r="A13" s="0" t="s">
        <v>117</v>
      </c>
      <c r="B13" s="10" t="n">
        <v>2</v>
      </c>
      <c r="C13" s="2" t="s">
        <v>118</v>
      </c>
    </row>
    <row r="15" customFormat="false" ht="15" hidden="false" customHeight="false" outlineLevel="0" collapsed="false">
      <c r="A15" s="9" t="s">
        <v>119</v>
      </c>
      <c r="B15" s="24" t="s">
        <v>120</v>
      </c>
      <c r="C15" s="24" t="s">
        <v>121</v>
      </c>
      <c r="D15" s="24" t="s">
        <v>122</v>
      </c>
      <c r="E15" s="24" t="s">
        <v>123</v>
      </c>
      <c r="F15" s="24" t="s">
        <v>124</v>
      </c>
      <c r="G15" s="24" t="s">
        <v>125</v>
      </c>
      <c r="H15" s="24" t="s">
        <v>126</v>
      </c>
      <c r="I15" s="24" t="s">
        <v>127</v>
      </c>
      <c r="J15" s="24" t="s">
        <v>128</v>
      </c>
      <c r="K15" s="24" t="s">
        <v>129</v>
      </c>
      <c r="L15" s="9" t="s">
        <v>130</v>
      </c>
    </row>
    <row r="16" customFormat="false" ht="15" hidden="false" customHeight="false" outlineLevel="0" collapsed="false">
      <c r="A16" s="0" t="s">
        <v>131</v>
      </c>
      <c r="B16" s="20" t="n">
        <v>0.5</v>
      </c>
      <c r="C16" s="25" t="n">
        <f aca="false">B16+1</f>
        <v>1.5</v>
      </c>
      <c r="D16" s="25" t="n">
        <f aca="false">C16+1</f>
        <v>2.5</v>
      </c>
      <c r="E16" s="25" t="n">
        <f aca="false">D16+1</f>
        <v>3.5</v>
      </c>
      <c r="F16" s="25" t="n">
        <f aca="false">E16+1</f>
        <v>4.5</v>
      </c>
      <c r="G16" s="25" t="n">
        <f aca="false">F16+1</f>
        <v>5.5</v>
      </c>
      <c r="H16" s="25" t="n">
        <f aca="false">G16+1</f>
        <v>6.5</v>
      </c>
      <c r="I16" s="25" t="n">
        <f aca="false">H16+1</f>
        <v>7.5</v>
      </c>
      <c r="J16" s="25" t="n">
        <f aca="false">I16+1</f>
        <v>8.5</v>
      </c>
      <c r="K16" s="25" t="n">
        <f aca="false">J16+1</f>
        <v>9.5</v>
      </c>
    </row>
    <row r="17" customFormat="false" ht="15" hidden="false" customHeight="false" outlineLevel="0" collapsed="false">
      <c r="A17" s="0" t="s">
        <v>132</v>
      </c>
      <c r="B17" s="0" t="n">
        <v>0</v>
      </c>
      <c r="C17" s="0" t="n">
        <v>0</v>
      </c>
      <c r="D17" s="0" t="n">
        <v>0</v>
      </c>
      <c r="E17" s="0" t="n">
        <v>0</v>
      </c>
      <c r="F17" s="0" t="n">
        <v>0</v>
      </c>
      <c r="G17" s="0" t="n">
        <v>1</v>
      </c>
      <c r="H17" s="0" t="n">
        <v>2</v>
      </c>
      <c r="I17" s="0" t="n">
        <v>3</v>
      </c>
      <c r="J17" s="0" t="n">
        <v>4</v>
      </c>
      <c r="K17" s="0" t="n">
        <v>5</v>
      </c>
    </row>
    <row r="19" customFormat="false" ht="15" hidden="false" customHeight="false" outlineLevel="0" collapsed="false">
      <c r="A19" s="12" t="s">
        <v>184</v>
      </c>
      <c r="B19" s="26"/>
      <c r="C19" s="26"/>
      <c r="D19" s="26"/>
      <c r="E19" s="26"/>
      <c r="F19" s="26"/>
      <c r="G19" s="26"/>
      <c r="H19" s="26"/>
      <c r="I19" s="26"/>
      <c r="J19" s="26"/>
      <c r="K19" s="26"/>
      <c r="L19" s="26"/>
    </row>
    <row r="20" customFormat="false" ht="15" hidden="false" customHeight="false" outlineLevel="0" collapsed="false">
      <c r="A20" s="0" t="s">
        <v>134</v>
      </c>
      <c r="B20" s="22" t="n">
        <v>21</v>
      </c>
      <c r="C20" s="22" t="n">
        <v>20.5</v>
      </c>
      <c r="D20" s="22" t="n">
        <v>21.5</v>
      </c>
      <c r="E20" s="22" t="n">
        <v>22.5</v>
      </c>
      <c r="F20" s="22" t="n">
        <v>23.5</v>
      </c>
      <c r="G20" s="27" t="n">
        <f aca="false">F20*(1+$F21+($L21-$F21)*G$17/5)</f>
        <v>24.3590555555556</v>
      </c>
      <c r="H20" s="27" t="n">
        <f aca="false">G20*(1+$F21+($L21-$F21)*H$17/5)</f>
        <v>25.0573484814815</v>
      </c>
      <c r="I20" s="27" t="n">
        <f aca="false">H20*(1+$F21+($L21-$F21)*I$17/5)</f>
        <v>25.57798449993</v>
      </c>
      <c r="J20" s="27" t="n">
        <f aca="false">I20*(1+$F21+($L21-$F21)*J$17/5)</f>
        <v>25.9076563001514</v>
      </c>
      <c r="K20" s="27" t="n">
        <f aca="false">J20*(1+$F21+($L21-$F21)*K$17/5)</f>
        <v>26.0371945816521</v>
      </c>
      <c r="L20" s="27" t="n">
        <f aca="false">K20*(1+L21)</f>
        <v>26.1673805545604</v>
      </c>
    </row>
    <row r="21" customFormat="false" ht="15" hidden="false" customHeight="false" outlineLevel="0" collapsed="false">
      <c r="A21" s="0" t="s">
        <v>135</v>
      </c>
      <c r="B21" s="6" t="n">
        <f aca="false">B20/$B$12-1</f>
        <v>-0.0707964601769913</v>
      </c>
      <c r="C21" s="6" t="n">
        <f aca="false">C20/B20-1</f>
        <v>-0.0238095238095238</v>
      </c>
      <c r="D21" s="6" t="n">
        <f aca="false">D20/C20-1</f>
        <v>0.0487804878048781</v>
      </c>
      <c r="E21" s="6" t="n">
        <f aca="false">E20/D20-1</f>
        <v>0.0465116279069768</v>
      </c>
      <c r="F21" s="6" t="n">
        <f aca="false">F20/E20-1</f>
        <v>0.0444444444444445</v>
      </c>
      <c r="G21" s="6" t="n">
        <f aca="false">G20/F20-1</f>
        <v>0.0365555555555557</v>
      </c>
      <c r="H21" s="6" t="n">
        <f aca="false">H20/G20-1</f>
        <v>0.0286666666666666</v>
      </c>
      <c r="I21" s="6" t="n">
        <f aca="false">I20/H20-1</f>
        <v>0.0207777777777778</v>
      </c>
      <c r="J21" s="6" t="n">
        <f aca="false">J20/I20-1</f>
        <v>0.012888888888889</v>
      </c>
      <c r="K21" s="6" t="n">
        <f aca="false">K20/J20-1</f>
        <v>0.00499999999999989</v>
      </c>
      <c r="L21" s="28" t="n">
        <v>0.005</v>
      </c>
    </row>
    <row r="22" customFormat="false" ht="15" hidden="false" customHeight="false" outlineLevel="0" collapsed="false">
      <c r="A22" s="0" t="s">
        <v>136</v>
      </c>
      <c r="B22" s="29" t="n">
        <v>0.29</v>
      </c>
      <c r="C22" s="29" t="n">
        <v>0.28</v>
      </c>
      <c r="D22" s="29" t="n">
        <v>0.28</v>
      </c>
      <c r="E22" s="29" t="n">
        <v>0.28</v>
      </c>
      <c r="F22" s="29" t="n">
        <v>0.28</v>
      </c>
      <c r="G22" s="6" t="n">
        <f aca="false">$F22+($L22-$F22)*G$17/5</f>
        <v>0.278</v>
      </c>
      <c r="H22" s="6" t="n">
        <f aca="false">$F22+($L22-$F22)*H$17/5</f>
        <v>0.276</v>
      </c>
      <c r="I22" s="6" t="n">
        <f aca="false">$F22+($L22-$F22)*I$17/5</f>
        <v>0.274</v>
      </c>
      <c r="J22" s="6" t="n">
        <f aca="false">$F22+($L22-$F22)*J$17/5</f>
        <v>0.272</v>
      </c>
      <c r="K22" s="6" t="n">
        <f aca="false">$F22+($L22-$F22)*K$17/5</f>
        <v>0.27</v>
      </c>
      <c r="L22" s="28" t="n">
        <v>0.27</v>
      </c>
    </row>
    <row r="23" customFormat="false" ht="15" hidden="false" customHeight="false" outlineLevel="0" collapsed="false">
      <c r="A23" s="0" t="s">
        <v>137</v>
      </c>
      <c r="B23" s="27" t="n">
        <f aca="false">B20*B22</f>
        <v>6.09</v>
      </c>
      <c r="C23" s="27" t="n">
        <f aca="false">C20*C22</f>
        <v>5.74</v>
      </c>
      <c r="D23" s="27" t="n">
        <f aca="false">D20*D22</f>
        <v>6.02</v>
      </c>
      <c r="E23" s="27" t="n">
        <f aca="false">E20*E22</f>
        <v>6.3</v>
      </c>
      <c r="F23" s="27" t="n">
        <f aca="false">F20*F22</f>
        <v>6.58</v>
      </c>
      <c r="G23" s="27" t="n">
        <f aca="false">G20*G22</f>
        <v>6.77181744444445</v>
      </c>
      <c r="H23" s="27" t="n">
        <f aca="false">H20*H22</f>
        <v>6.91582818088889</v>
      </c>
      <c r="I23" s="27" t="n">
        <f aca="false">I20*I22</f>
        <v>7.00836775298083</v>
      </c>
      <c r="J23" s="27" t="n">
        <f aca="false">J20*J22</f>
        <v>7.04688251364117</v>
      </c>
      <c r="K23" s="27" t="n">
        <f aca="false">K20*K22</f>
        <v>7.03004253704607</v>
      </c>
      <c r="L23" s="27" t="n">
        <f aca="false">L20*L22</f>
        <v>7.0651927497313</v>
      </c>
    </row>
    <row r="24" customFormat="false" ht="15" hidden="false" customHeight="false" outlineLevel="0" collapsed="false">
      <c r="A24" s="0" t="s">
        <v>138</v>
      </c>
      <c r="B24" s="27" t="n">
        <f aca="false">B23*(1-$B$9)</f>
        <v>4.9938</v>
      </c>
      <c r="C24" s="27" t="n">
        <f aca="false">C23*(1-$B$9)</f>
        <v>4.7068</v>
      </c>
      <c r="D24" s="27" t="n">
        <f aca="false">D23*(1-$B$9)</f>
        <v>4.9364</v>
      </c>
      <c r="E24" s="27" t="n">
        <f aca="false">E23*(1-$B$9)</f>
        <v>5.166</v>
      </c>
      <c r="F24" s="27" t="n">
        <f aca="false">F23*(1-$B$9)</f>
        <v>5.3956</v>
      </c>
      <c r="G24" s="27" t="n">
        <f aca="false">G23*(1-$B$9)</f>
        <v>5.55289030444445</v>
      </c>
      <c r="H24" s="27" t="n">
        <f aca="false">H23*(1-$B$9)</f>
        <v>5.67097910832889</v>
      </c>
      <c r="I24" s="27" t="n">
        <f aca="false">I23*(1-$B$9)</f>
        <v>5.74686155744428</v>
      </c>
      <c r="J24" s="27" t="n">
        <f aca="false">J23*(1-$B$9)</f>
        <v>5.77844366118576</v>
      </c>
      <c r="K24" s="27" t="n">
        <f aca="false">K23*(1-$B$9)</f>
        <v>5.76463488037778</v>
      </c>
      <c r="L24" s="27" t="n">
        <f aca="false">L23*(1-$B$9)</f>
        <v>5.79345805477967</v>
      </c>
    </row>
    <row r="25" customFormat="false" ht="15" hidden="false" customHeight="false" outlineLevel="0" collapsed="false">
      <c r="A25" s="0" t="s">
        <v>139</v>
      </c>
      <c r="B25" s="29" t="n">
        <v>0.08</v>
      </c>
      <c r="C25" s="29" t="n">
        <v>0.07</v>
      </c>
      <c r="D25" s="29" t="n">
        <v>0.05</v>
      </c>
      <c r="E25" s="29" t="n">
        <v>0.03</v>
      </c>
      <c r="F25" s="29" t="n">
        <v>0.02</v>
      </c>
      <c r="G25" s="6" t="n">
        <f aca="false">$F25+($L25-$F25)*G$17/5</f>
        <v>0.019</v>
      </c>
      <c r="H25" s="6" t="n">
        <f aca="false">$F25+($L25-$F25)*H$17/5</f>
        <v>0.018</v>
      </c>
      <c r="I25" s="6" t="n">
        <f aca="false">$F25+($L25-$F25)*I$17/5</f>
        <v>0.017</v>
      </c>
      <c r="J25" s="6" t="n">
        <f aca="false">$F25+($L25-$F25)*J$17/5</f>
        <v>0.016</v>
      </c>
      <c r="K25" s="6" t="n">
        <f aca="false">$F25+($L25-$F25)*K$17/5</f>
        <v>0.015</v>
      </c>
      <c r="L25" s="28" t="n">
        <v>0.015</v>
      </c>
    </row>
    <row r="26" customFormat="false" ht="15" hidden="false" customHeight="false" outlineLevel="0" collapsed="false">
      <c r="A26" s="0" t="s">
        <v>140</v>
      </c>
      <c r="B26" s="27" t="n">
        <f aca="false">B20*B25</f>
        <v>1.68</v>
      </c>
      <c r="C26" s="27" t="n">
        <f aca="false">C20*C25</f>
        <v>1.435</v>
      </c>
      <c r="D26" s="27" t="n">
        <f aca="false">D20*D25</f>
        <v>1.075</v>
      </c>
      <c r="E26" s="27" t="n">
        <f aca="false">E20*E25</f>
        <v>0.675</v>
      </c>
      <c r="F26" s="27" t="n">
        <f aca="false">F20*F25</f>
        <v>0.47</v>
      </c>
      <c r="G26" s="27" t="n">
        <f aca="false">G20*G25</f>
        <v>0.462822055555556</v>
      </c>
      <c r="H26" s="27" t="n">
        <f aca="false">H20*H25</f>
        <v>0.451032272666667</v>
      </c>
      <c r="I26" s="27" t="n">
        <f aca="false">I20*I25</f>
        <v>0.434825736498811</v>
      </c>
      <c r="J26" s="27" t="n">
        <f aca="false">J20*J25</f>
        <v>0.414522500802422</v>
      </c>
      <c r="K26" s="27" t="n">
        <f aca="false">K20*K25</f>
        <v>0.390557918724782</v>
      </c>
      <c r="L26" s="27" t="n">
        <f aca="false">L20*L25</f>
        <v>0.392510708318406</v>
      </c>
    </row>
    <row r="27" customFormat="false" ht="15" hidden="false" customHeight="false" outlineLevel="0" collapsed="false">
      <c r="A27" s="0" t="s">
        <v>141</v>
      </c>
      <c r="B27" s="27" t="n">
        <f aca="false">$B$11*(B20-$B$12)</f>
        <v>-0</v>
      </c>
      <c r="C27" s="27" t="n">
        <f aca="false">$B$11*(C20-B20)</f>
        <v>-0</v>
      </c>
      <c r="D27" s="27" t="n">
        <f aca="false">$B$11*(D20-C20)</f>
        <v>0</v>
      </c>
      <c r="E27" s="27" t="n">
        <f aca="false">$B$11*(E20-D20)</f>
        <v>0</v>
      </c>
      <c r="F27" s="27" t="n">
        <f aca="false">$B$11*(F20-E20)</f>
        <v>0</v>
      </c>
      <c r="G27" s="27" t="n">
        <f aca="false">$B$11*(G20-F20)</f>
        <v>0</v>
      </c>
      <c r="H27" s="27" t="n">
        <f aca="false">$B$11*(H20-G20)</f>
        <v>0</v>
      </c>
      <c r="I27" s="27" t="n">
        <f aca="false">$B$11*(I20-H20)</f>
        <v>0</v>
      </c>
      <c r="J27" s="27" t="n">
        <f aca="false">$B$11*(J20-I20)</f>
        <v>0</v>
      </c>
      <c r="K27" s="27" t="n">
        <f aca="false">$B$11*(K20-J20)</f>
        <v>0</v>
      </c>
      <c r="L27" s="27" t="n">
        <f aca="false">$B$11*(L20-K20)</f>
        <v>0</v>
      </c>
    </row>
    <row r="28" customFormat="false" ht="15" hidden="false" customHeight="false" outlineLevel="0" collapsed="false">
      <c r="A28" s="0" t="s">
        <v>142</v>
      </c>
      <c r="B28" s="27" t="n">
        <f aca="false">B24-B26-B27</f>
        <v>3.3138</v>
      </c>
      <c r="C28" s="27" t="n">
        <f aca="false">C24-C26-C27</f>
        <v>3.2718</v>
      </c>
      <c r="D28" s="27" t="n">
        <f aca="false">D24-D26-D27</f>
        <v>3.8614</v>
      </c>
      <c r="E28" s="27" t="n">
        <f aca="false">E24-E26-E27</f>
        <v>4.491</v>
      </c>
      <c r="F28" s="27" t="n">
        <f aca="false">F24-F26-F27</f>
        <v>4.9256</v>
      </c>
      <c r="G28" s="27" t="n">
        <f aca="false">G24-G26-G27</f>
        <v>5.09006824888889</v>
      </c>
      <c r="H28" s="27" t="n">
        <f aca="false">H24-H26-H27</f>
        <v>5.21994683566222</v>
      </c>
      <c r="I28" s="27" t="n">
        <f aca="false">I24-I26-I27</f>
        <v>5.31203582094547</v>
      </c>
      <c r="J28" s="27" t="n">
        <f aca="false">J24-J26-J27</f>
        <v>5.36392116038334</v>
      </c>
      <c r="K28" s="27" t="n">
        <f aca="false">K24-K26-K27</f>
        <v>5.374076961653</v>
      </c>
      <c r="L28" s="27" t="n">
        <f aca="false">L24-L26-L27</f>
        <v>5.40094734646126</v>
      </c>
    </row>
    <row r="29" customFormat="false" ht="15" hidden="false" customHeight="false" outlineLevel="0" collapsed="false">
      <c r="A29" s="0" t="s">
        <v>143</v>
      </c>
      <c r="B29" s="30" t="n">
        <f aca="false">1/(1+$B$10)^B$16</f>
        <v>0.964485644340824</v>
      </c>
      <c r="C29" s="30" t="n">
        <f aca="false">1/(1+$B$10)^C$16</f>
        <v>0.897195948224023</v>
      </c>
      <c r="D29" s="30" t="n">
        <f aca="false">1/(1+$B$10)^D$16</f>
        <v>0.834600882068858</v>
      </c>
      <c r="E29" s="30" t="n">
        <f aca="false">1/(1+$B$10)^E$16</f>
        <v>0.776372913552426</v>
      </c>
      <c r="F29" s="30" t="n">
        <f aca="false">1/(1+$B$10)^F$16</f>
        <v>0.722207361444118</v>
      </c>
      <c r="G29" s="30" t="n">
        <f aca="false">1/(1+$B$10)^G$16</f>
        <v>0.671820801343365</v>
      </c>
      <c r="H29" s="30" t="n">
        <f aca="false">1/(1+$B$10)^H$16</f>
        <v>0.624949582644991</v>
      </c>
      <c r="I29" s="30" t="n">
        <f aca="false">1/(1+$B$10)^I$16</f>
        <v>0.581348448972085</v>
      </c>
      <c r="J29" s="30" t="n">
        <f aca="false">1/(1+$B$10)^J$16</f>
        <v>0.540789254857753</v>
      </c>
      <c r="K29" s="30" t="n">
        <f aca="false">1/(1+$B$10)^K$16</f>
        <v>0.503059771960701</v>
      </c>
    </row>
    <row r="30" customFormat="false" ht="15" hidden="false" customHeight="false" outlineLevel="0" collapsed="false">
      <c r="A30" s="0" t="s">
        <v>144</v>
      </c>
      <c r="B30" s="27" t="n">
        <f aca="false">B28*B29</f>
        <v>3.19611252821662</v>
      </c>
      <c r="C30" s="27" t="n">
        <f aca="false">C28*C29</f>
        <v>2.93544570339936</v>
      </c>
      <c r="D30" s="27" t="n">
        <f aca="false">D28*D29</f>
        <v>3.22272784602069</v>
      </c>
      <c r="E30" s="27" t="n">
        <f aca="false">E28*E29</f>
        <v>3.48669075476395</v>
      </c>
      <c r="F30" s="27" t="n">
        <f aca="false">F28*F29</f>
        <v>3.55730457952915</v>
      </c>
      <c r="G30" s="27" t="n">
        <f aca="false">G28*G29</f>
        <v>3.41961372986095</v>
      </c>
      <c r="H30" s="27" t="n">
        <f aca="false">H28*H29</f>
        <v>3.26220359637615</v>
      </c>
      <c r="I30" s="27" t="n">
        <f aca="false">I28*I29</f>
        <v>3.0881437853908</v>
      </c>
      <c r="J30" s="27" t="n">
        <f aca="false">J28*J29</f>
        <v>2.90075092743944</v>
      </c>
      <c r="K30" s="27" t="n">
        <f aca="false">K28*K29</f>
        <v>2.70348193082841</v>
      </c>
      <c r="L30" s="27"/>
    </row>
    <row r="31" customFormat="false" ht="15" hidden="false" customHeight="false" outlineLevel="0" collapsed="false">
      <c r="A31" s="0" t="s">
        <v>145</v>
      </c>
      <c r="B31" s="27" t="n">
        <f aca="false">L28/($B$10-L21)</f>
        <v>77.1563906637323</v>
      </c>
      <c r="C31" s="0" t="str">
        <f aca="false">IF($B$10&gt;L21,"","Discount rate must exceed terminal growth")</f>
        <v/>
      </c>
    </row>
    <row r="32" customFormat="false" ht="15" hidden="false" customHeight="false" outlineLevel="0" collapsed="false">
      <c r="A32" s="0" t="s">
        <v>146</v>
      </c>
      <c r="B32" s="27" t="n">
        <f aca="false">B31/(1+$B$10)^$K$16</f>
        <v>38.8142762926079</v>
      </c>
    </row>
    <row r="33" customFormat="false" ht="15" hidden="false" customHeight="false" outlineLevel="0" collapsed="false">
      <c r="A33" s="0" t="s">
        <v>147</v>
      </c>
      <c r="B33" s="27" t="n">
        <f aca="false">SUM(B30:K30)+B32+$B$7+$B$8</f>
        <v>27.9167516744334</v>
      </c>
    </row>
    <row r="34" customFormat="false" ht="15" hidden="false" customHeight="false" outlineLevel="0" collapsed="false">
      <c r="A34" s="0" t="s">
        <v>148</v>
      </c>
      <c r="B34" s="31" t="n">
        <f aca="false">B33/$B$6</f>
        <v>135.17044339531</v>
      </c>
    </row>
    <row r="35" customFormat="false" ht="15" hidden="false" customHeight="false" outlineLevel="0" collapsed="false">
      <c r="A35" s="0" t="s">
        <v>149</v>
      </c>
      <c r="B35" s="6" t="n">
        <f aca="false">B34/$B$4-1</f>
        <v>-0.545805872228927</v>
      </c>
    </row>
    <row r="37" customFormat="false" ht="15" hidden="false" customHeight="false" outlineLevel="0" collapsed="false">
      <c r="A37" s="12" t="s">
        <v>185</v>
      </c>
      <c r="B37" s="26"/>
      <c r="C37" s="26"/>
      <c r="D37" s="26"/>
      <c r="E37" s="26"/>
      <c r="F37" s="26"/>
      <c r="G37" s="26"/>
      <c r="H37" s="26"/>
      <c r="I37" s="26"/>
      <c r="J37" s="26"/>
      <c r="K37" s="26"/>
      <c r="L37" s="26"/>
    </row>
    <row r="38" customFormat="false" ht="15" hidden="false" customHeight="false" outlineLevel="0" collapsed="false">
      <c r="A38" s="0" t="s">
        <v>134</v>
      </c>
      <c r="B38" s="22" t="n">
        <v>23.4</v>
      </c>
      <c r="C38" s="22" t="n">
        <v>24.6</v>
      </c>
      <c r="D38" s="22" t="n">
        <v>25.8</v>
      </c>
      <c r="E38" s="22" t="n">
        <v>27.2</v>
      </c>
      <c r="F38" s="22" t="n">
        <v>28.6</v>
      </c>
      <c r="G38" s="27" t="n">
        <f aca="false">F38*(1+$F39+($L39-$F39)*G$17/5)</f>
        <v>29.8634470588235</v>
      </c>
      <c r="H38" s="27" t="n">
        <f aca="false">G38*(1+$F39+($L39-$F39)*H$17/5)</f>
        <v>30.9648812532872</v>
      </c>
      <c r="I38" s="27" t="n">
        <f aca="false">H38*(1+$F39+($L39-$F39)*I$17/5)</f>
        <v>31.8810774456639</v>
      </c>
      <c r="J38" s="27" t="n">
        <f aca="false">I38*(1+$F39+($L39-$F39)*J$17/5)</f>
        <v>32.5918379369525</v>
      </c>
      <c r="K38" s="27" t="n">
        <f aca="false">J38*(1+$F39+($L39-$F39)*K$17/5)</f>
        <v>33.0807155060068</v>
      </c>
      <c r="L38" s="27" t="n">
        <f aca="false">K38*(1+L39)</f>
        <v>33.5769262385969</v>
      </c>
    </row>
    <row r="39" customFormat="false" ht="15" hidden="false" customHeight="false" outlineLevel="0" collapsed="false">
      <c r="A39" s="0" t="s">
        <v>135</v>
      </c>
      <c r="B39" s="6" t="n">
        <f aca="false">B38/$B$12-1</f>
        <v>0.0353982300884954</v>
      </c>
      <c r="C39" s="6" t="n">
        <f aca="false">C38/B38-1</f>
        <v>0.0512820512820513</v>
      </c>
      <c r="D39" s="6" t="n">
        <f aca="false">D38/C38-1</f>
        <v>0.0487804878048781</v>
      </c>
      <c r="E39" s="6" t="n">
        <f aca="false">E38/D38-1</f>
        <v>0.0542635658914727</v>
      </c>
      <c r="F39" s="6" t="n">
        <f aca="false">F38/E38-1</f>
        <v>0.0514705882352942</v>
      </c>
      <c r="G39" s="6" t="n">
        <f aca="false">G38/F38-1</f>
        <v>0.0441764705882353</v>
      </c>
      <c r="H39" s="6" t="n">
        <f aca="false">H38/G38-1</f>
        <v>0.0368823529411766</v>
      </c>
      <c r="I39" s="6" t="n">
        <f aca="false">I38/H38-1</f>
        <v>0.0295882352941177</v>
      </c>
      <c r="J39" s="6" t="n">
        <f aca="false">J38/I38-1</f>
        <v>0.0222941176470588</v>
      </c>
      <c r="K39" s="6" t="n">
        <f aca="false">K38/J38-1</f>
        <v>0.0149999999999999</v>
      </c>
      <c r="L39" s="28" t="n">
        <v>0.015</v>
      </c>
    </row>
    <row r="40" customFormat="false" ht="15" hidden="false" customHeight="false" outlineLevel="0" collapsed="false">
      <c r="A40" s="0" t="s">
        <v>136</v>
      </c>
      <c r="B40" s="29" t="n">
        <v>0.31</v>
      </c>
      <c r="C40" s="29" t="n">
        <v>0.31</v>
      </c>
      <c r="D40" s="29" t="n">
        <v>0.31</v>
      </c>
      <c r="E40" s="29" t="n">
        <v>0.31</v>
      </c>
      <c r="F40" s="29" t="n">
        <v>0.31</v>
      </c>
      <c r="G40" s="6" t="n">
        <f aca="false">$F40+($L40-$F40)*G$17/5</f>
        <v>0.306</v>
      </c>
      <c r="H40" s="6" t="n">
        <f aca="false">$F40+($L40-$F40)*H$17/5</f>
        <v>0.302</v>
      </c>
      <c r="I40" s="6" t="n">
        <f aca="false">$F40+($L40-$F40)*I$17/5</f>
        <v>0.298</v>
      </c>
      <c r="J40" s="6" t="n">
        <f aca="false">$F40+($L40-$F40)*J$17/5</f>
        <v>0.294</v>
      </c>
      <c r="K40" s="6" t="n">
        <f aca="false">$F40+($L40-$F40)*K$17/5</f>
        <v>0.29</v>
      </c>
      <c r="L40" s="28" t="n">
        <v>0.29</v>
      </c>
    </row>
    <row r="41" customFormat="false" ht="15" hidden="false" customHeight="false" outlineLevel="0" collapsed="false">
      <c r="A41" s="0" t="s">
        <v>137</v>
      </c>
      <c r="B41" s="27" t="n">
        <f aca="false">B38*B40</f>
        <v>7.254</v>
      </c>
      <c r="C41" s="27" t="n">
        <f aca="false">C38*C40</f>
        <v>7.626</v>
      </c>
      <c r="D41" s="27" t="n">
        <f aca="false">D38*D40</f>
        <v>7.998</v>
      </c>
      <c r="E41" s="27" t="n">
        <f aca="false">E38*E40</f>
        <v>8.432</v>
      </c>
      <c r="F41" s="27" t="n">
        <f aca="false">F38*F40</f>
        <v>8.866</v>
      </c>
      <c r="G41" s="27" t="n">
        <f aca="false">G38*G40</f>
        <v>9.1382148</v>
      </c>
      <c r="H41" s="27" t="n">
        <f aca="false">H38*H40</f>
        <v>9.35139413849274</v>
      </c>
      <c r="I41" s="27" t="n">
        <f aca="false">I38*I40</f>
        <v>9.50056107880784</v>
      </c>
      <c r="J41" s="27" t="n">
        <f aca="false">J38*J40</f>
        <v>9.58200035346404</v>
      </c>
      <c r="K41" s="27" t="n">
        <f aca="false">K38*K40</f>
        <v>9.59340749674197</v>
      </c>
      <c r="L41" s="27" t="n">
        <f aca="false">L38*L40</f>
        <v>9.7373086091931</v>
      </c>
    </row>
    <row r="42" customFormat="false" ht="15" hidden="false" customHeight="false" outlineLevel="0" collapsed="false">
      <c r="A42" s="0" t="s">
        <v>138</v>
      </c>
      <c r="B42" s="27" t="n">
        <f aca="false">B41*(1-$B$9)</f>
        <v>5.94828</v>
      </c>
      <c r="C42" s="27" t="n">
        <f aca="false">C41*(1-$B$9)</f>
        <v>6.25332</v>
      </c>
      <c r="D42" s="27" t="n">
        <f aca="false">D41*(1-$B$9)</f>
        <v>6.55836</v>
      </c>
      <c r="E42" s="27" t="n">
        <f aca="false">E41*(1-$B$9)</f>
        <v>6.91424</v>
      </c>
      <c r="F42" s="27" t="n">
        <f aca="false">F41*(1-$B$9)</f>
        <v>7.27012</v>
      </c>
      <c r="G42" s="27" t="n">
        <f aca="false">G41*(1-$B$9)</f>
        <v>7.493336136</v>
      </c>
      <c r="H42" s="27" t="n">
        <f aca="false">H41*(1-$B$9)</f>
        <v>7.66814319356404</v>
      </c>
      <c r="I42" s="27" t="n">
        <f aca="false">I41*(1-$B$9)</f>
        <v>7.79046008462243</v>
      </c>
      <c r="J42" s="27" t="n">
        <f aca="false">J41*(1-$B$9)</f>
        <v>7.85724028984051</v>
      </c>
      <c r="K42" s="27" t="n">
        <f aca="false">K41*(1-$B$9)</f>
        <v>7.86659414732841</v>
      </c>
      <c r="L42" s="27" t="n">
        <f aca="false">L41*(1-$B$9)</f>
        <v>7.98459305953834</v>
      </c>
    </row>
    <row r="43" customFormat="false" ht="15" hidden="false" customHeight="false" outlineLevel="0" collapsed="false">
      <c r="A43" s="0" t="s">
        <v>139</v>
      </c>
      <c r="B43" s="29" t="n">
        <v>0.08</v>
      </c>
      <c r="C43" s="29" t="n">
        <v>0.07</v>
      </c>
      <c r="D43" s="29" t="n">
        <v>0.05</v>
      </c>
      <c r="E43" s="29" t="n">
        <v>0.03</v>
      </c>
      <c r="F43" s="29" t="n">
        <v>0.02</v>
      </c>
      <c r="G43" s="6" t="n">
        <f aca="false">$F43+($L43-$F43)*G$17/5</f>
        <v>0.019</v>
      </c>
      <c r="H43" s="6" t="n">
        <f aca="false">$F43+($L43-$F43)*H$17/5</f>
        <v>0.018</v>
      </c>
      <c r="I43" s="6" t="n">
        <f aca="false">$F43+($L43-$F43)*I$17/5</f>
        <v>0.017</v>
      </c>
      <c r="J43" s="6" t="n">
        <f aca="false">$F43+($L43-$F43)*J$17/5</f>
        <v>0.016</v>
      </c>
      <c r="K43" s="6" t="n">
        <f aca="false">$F43+($L43-$F43)*K$17/5</f>
        <v>0.015</v>
      </c>
      <c r="L43" s="28" t="n">
        <v>0.015</v>
      </c>
    </row>
    <row r="44" customFormat="false" ht="15" hidden="false" customHeight="false" outlineLevel="0" collapsed="false">
      <c r="A44" s="0" t="s">
        <v>140</v>
      </c>
      <c r="B44" s="27" t="n">
        <f aca="false">B38*B43</f>
        <v>1.872</v>
      </c>
      <c r="C44" s="27" t="n">
        <f aca="false">C38*C43</f>
        <v>1.722</v>
      </c>
      <c r="D44" s="27" t="n">
        <f aca="false">D38*D43</f>
        <v>1.29</v>
      </c>
      <c r="E44" s="27" t="n">
        <f aca="false">E38*E43</f>
        <v>0.816</v>
      </c>
      <c r="F44" s="27" t="n">
        <f aca="false">F38*F43</f>
        <v>0.572</v>
      </c>
      <c r="G44" s="27" t="n">
        <f aca="false">G38*G43</f>
        <v>0.567405494117647</v>
      </c>
      <c r="H44" s="27" t="n">
        <f aca="false">H38*H43</f>
        <v>0.55736786255917</v>
      </c>
      <c r="I44" s="27" t="n">
        <f aca="false">I38*I43</f>
        <v>0.541978316576286</v>
      </c>
      <c r="J44" s="27" t="n">
        <f aca="false">J38*J43</f>
        <v>0.52146940699124</v>
      </c>
      <c r="K44" s="27" t="n">
        <f aca="false">K38*K43</f>
        <v>0.496210732590102</v>
      </c>
      <c r="L44" s="27" t="n">
        <f aca="false">L38*L43</f>
        <v>0.503653893578953</v>
      </c>
    </row>
    <row r="45" customFormat="false" ht="15" hidden="false" customHeight="false" outlineLevel="0" collapsed="false">
      <c r="A45" s="0" t="s">
        <v>141</v>
      </c>
      <c r="B45" s="27" t="n">
        <f aca="false">$B$11*(B38-$B$12)</f>
        <v>0</v>
      </c>
      <c r="C45" s="27" t="n">
        <f aca="false">$B$11*(C38-B38)</f>
        <v>0</v>
      </c>
      <c r="D45" s="27" t="n">
        <f aca="false">$B$11*(D38-C38)</f>
        <v>0</v>
      </c>
      <c r="E45" s="27" t="n">
        <f aca="false">$B$11*(E38-D38)</f>
        <v>0</v>
      </c>
      <c r="F45" s="27" t="n">
        <f aca="false">$B$11*(F38-E38)</f>
        <v>0</v>
      </c>
      <c r="G45" s="27" t="n">
        <f aca="false">$B$11*(G38-F38)</f>
        <v>0</v>
      </c>
      <c r="H45" s="27" t="n">
        <f aca="false">$B$11*(H38-G38)</f>
        <v>0</v>
      </c>
      <c r="I45" s="27" t="n">
        <f aca="false">$B$11*(I38-H38)</f>
        <v>0</v>
      </c>
      <c r="J45" s="27" t="n">
        <f aca="false">$B$11*(J38-I38)</f>
        <v>0</v>
      </c>
      <c r="K45" s="27" t="n">
        <f aca="false">$B$11*(K38-J38)</f>
        <v>0</v>
      </c>
      <c r="L45" s="27" t="n">
        <f aca="false">$B$11*(L38-K38)</f>
        <v>0</v>
      </c>
    </row>
    <row r="46" customFormat="false" ht="15" hidden="false" customHeight="false" outlineLevel="0" collapsed="false">
      <c r="A46" s="0" t="s">
        <v>142</v>
      </c>
      <c r="B46" s="27" t="n">
        <f aca="false">B42-B44-B45</f>
        <v>4.07628</v>
      </c>
      <c r="C46" s="27" t="n">
        <f aca="false">C42-C44-C45</f>
        <v>4.53132</v>
      </c>
      <c r="D46" s="27" t="n">
        <f aca="false">D42-D44-D45</f>
        <v>5.26836</v>
      </c>
      <c r="E46" s="27" t="n">
        <f aca="false">E42-E44-E45</f>
        <v>6.09824</v>
      </c>
      <c r="F46" s="27" t="n">
        <f aca="false">F42-F44-F45</f>
        <v>6.69812</v>
      </c>
      <c r="G46" s="27" t="n">
        <f aca="false">G42-G44-G45</f>
        <v>6.92593064188235</v>
      </c>
      <c r="H46" s="27" t="n">
        <f aca="false">H42-H44-H45</f>
        <v>7.11077533100487</v>
      </c>
      <c r="I46" s="27" t="n">
        <f aca="false">I42-I44-I45</f>
        <v>7.24848176804614</v>
      </c>
      <c r="J46" s="27" t="n">
        <f aca="false">J42-J44-J45</f>
        <v>7.33577088284927</v>
      </c>
      <c r="K46" s="27" t="n">
        <f aca="false">K42-K44-K45</f>
        <v>7.37038341473831</v>
      </c>
      <c r="L46" s="27" t="n">
        <f aca="false">L42-L44-L45</f>
        <v>7.48093916595939</v>
      </c>
    </row>
    <row r="47" customFormat="false" ht="15" hidden="false" customHeight="false" outlineLevel="0" collapsed="false">
      <c r="A47" s="0" t="s">
        <v>143</v>
      </c>
      <c r="B47" s="30" t="n">
        <f aca="false">1/(1+$B$10)^B$16</f>
        <v>0.964485644340824</v>
      </c>
      <c r="C47" s="30" t="n">
        <f aca="false">1/(1+$B$10)^C$16</f>
        <v>0.897195948224023</v>
      </c>
      <c r="D47" s="30" t="n">
        <f aca="false">1/(1+$B$10)^D$16</f>
        <v>0.834600882068858</v>
      </c>
      <c r="E47" s="30" t="n">
        <f aca="false">1/(1+$B$10)^E$16</f>
        <v>0.776372913552426</v>
      </c>
      <c r="F47" s="30" t="n">
        <f aca="false">1/(1+$B$10)^F$16</f>
        <v>0.722207361444118</v>
      </c>
      <c r="G47" s="30" t="n">
        <f aca="false">1/(1+$B$10)^G$16</f>
        <v>0.671820801343365</v>
      </c>
      <c r="H47" s="30" t="n">
        <f aca="false">1/(1+$B$10)^H$16</f>
        <v>0.624949582644991</v>
      </c>
      <c r="I47" s="30" t="n">
        <f aca="false">1/(1+$B$10)^I$16</f>
        <v>0.581348448972085</v>
      </c>
      <c r="J47" s="30" t="n">
        <f aca="false">1/(1+$B$10)^J$16</f>
        <v>0.540789254857753</v>
      </c>
      <c r="K47" s="30" t="n">
        <f aca="false">1/(1+$B$10)^K$16</f>
        <v>0.503059771960701</v>
      </c>
    </row>
    <row r="48" customFormat="false" ht="15" hidden="false" customHeight="false" outlineLevel="0" collapsed="false">
      <c r="A48" s="0" t="s">
        <v>144</v>
      </c>
      <c r="B48" s="27" t="n">
        <f aca="false">B46*B47</f>
        <v>3.93151354231362</v>
      </c>
      <c r="C48" s="27" t="n">
        <f aca="false">C46*C47</f>
        <v>4.06548194410648</v>
      </c>
      <c r="D48" s="27" t="n">
        <f aca="false">D46*D47</f>
        <v>4.39697790305629</v>
      </c>
      <c r="E48" s="27" t="n">
        <f aca="false">E46*E47</f>
        <v>4.73450835634195</v>
      </c>
      <c r="F48" s="27" t="n">
        <f aca="false">F46*F47</f>
        <v>4.83743157183607</v>
      </c>
      <c r="G48" s="27" t="n">
        <f aca="false">G46*G47</f>
        <v>4.65298427387797</v>
      </c>
      <c r="H48" s="27" t="n">
        <f aca="false">H46*H47</f>
        <v>4.44387607539379</v>
      </c>
      <c r="I48" s="27" t="n">
        <f aca="false">I46*I47</f>
        <v>4.21389363325606</v>
      </c>
      <c r="J48" s="27" t="n">
        <f aca="false">J46*J47</f>
        <v>3.96710606954326</v>
      </c>
      <c r="K48" s="27" t="n">
        <f aca="false">K46*K47</f>
        <v>3.70774339988118</v>
      </c>
      <c r="L48" s="27"/>
    </row>
    <row r="49" customFormat="false" ht="15" hidden="false" customHeight="false" outlineLevel="0" collapsed="false">
      <c r="A49" s="0" t="s">
        <v>145</v>
      </c>
      <c r="B49" s="27" t="n">
        <f aca="false">L46/($B$10-L39)</f>
        <v>124.682319432656</v>
      </c>
      <c r="C49" s="0" t="str">
        <f aca="false">IF($B$10&gt;L39,"","Discount rate must exceed terminal growth")</f>
        <v/>
      </c>
    </row>
    <row r="50" customFormat="false" ht="15" hidden="false" customHeight="false" outlineLevel="0" collapsed="false">
      <c r="A50" s="0" t="s">
        <v>146</v>
      </c>
      <c r="B50" s="27" t="n">
        <f aca="false">B49/(1+$B$10)^$K$16</f>
        <v>62.7226591813234</v>
      </c>
    </row>
    <row r="51" customFormat="false" ht="15" hidden="false" customHeight="false" outlineLevel="0" collapsed="false">
      <c r="A51" s="0" t="s">
        <v>147</v>
      </c>
      <c r="B51" s="27" t="n">
        <f aca="false">SUM(B48:K48)+B50+$B$7+$B$8</f>
        <v>63.0041759509301</v>
      </c>
    </row>
    <row r="52" customFormat="false" ht="15" hidden="false" customHeight="false" outlineLevel="0" collapsed="false">
      <c r="A52" s="0" t="s">
        <v>148</v>
      </c>
      <c r="B52" s="31" t="n">
        <f aca="false">B51/$B$6</f>
        <v>305.060649546943</v>
      </c>
    </row>
    <row r="53" customFormat="false" ht="15" hidden="false" customHeight="false" outlineLevel="0" collapsed="false">
      <c r="A53" s="0" t="s">
        <v>149</v>
      </c>
      <c r="B53" s="6" t="n">
        <f aca="false">B52/$B$4-1</f>
        <v>0.0250521649399122</v>
      </c>
    </row>
    <row r="55" customFormat="false" ht="15" hidden="false" customHeight="false" outlineLevel="0" collapsed="false">
      <c r="A55" s="12" t="s">
        <v>186</v>
      </c>
      <c r="B55" s="26"/>
      <c r="C55" s="26"/>
      <c r="D55" s="26"/>
      <c r="E55" s="26"/>
      <c r="F55" s="26"/>
      <c r="G55" s="26"/>
      <c r="H55" s="26"/>
      <c r="I55" s="26"/>
      <c r="J55" s="26"/>
      <c r="K55" s="26"/>
      <c r="L55" s="26"/>
    </row>
    <row r="56" customFormat="false" ht="15" hidden="false" customHeight="false" outlineLevel="0" collapsed="false">
      <c r="A56" s="0" t="s">
        <v>134</v>
      </c>
      <c r="B56" s="22" t="n">
        <v>24</v>
      </c>
      <c r="C56" s="22" t="n">
        <v>26</v>
      </c>
      <c r="D56" s="22" t="n">
        <v>28</v>
      </c>
      <c r="E56" s="22" t="n">
        <v>30</v>
      </c>
      <c r="F56" s="22" t="n">
        <v>32</v>
      </c>
      <c r="G56" s="27" t="n">
        <f aca="false">F56*(1+$F57+($L57-$F57)*G$17/5)</f>
        <v>33.8346666666667</v>
      </c>
      <c r="H56" s="27" t="n">
        <f aca="false">G56*(1+$F57+($L57-$F57)*H$17/5)</f>
        <v>35.4587306666667</v>
      </c>
      <c r="I56" s="27" t="n">
        <f aca="false">H56*(1+$F57+($L57-$F57)*I$17/5)</f>
        <v>36.8298015857778</v>
      </c>
      <c r="J56" s="27" t="n">
        <f aca="false">I56*(1+$F57+($L57-$F57)*J$17/5)</f>
        <v>37.9101424322939</v>
      </c>
      <c r="K56" s="27" t="n">
        <f aca="false">J56*(1+$F57+($L57-$F57)*K$17/5)</f>
        <v>38.6683452809398</v>
      </c>
      <c r="L56" s="27" t="n">
        <f aca="false">K56*(1+L57)</f>
        <v>39.4417121865586</v>
      </c>
    </row>
    <row r="57" customFormat="false" ht="15" hidden="false" customHeight="false" outlineLevel="0" collapsed="false">
      <c r="A57" s="0" t="s">
        <v>135</v>
      </c>
      <c r="B57" s="6" t="n">
        <f aca="false">B56/$B$12-1</f>
        <v>0.0619469026548671</v>
      </c>
      <c r="C57" s="6" t="n">
        <f aca="false">C56/B56-1</f>
        <v>0.0833333333333333</v>
      </c>
      <c r="D57" s="6" t="n">
        <f aca="false">D56/C56-1</f>
        <v>0.0769230769230769</v>
      </c>
      <c r="E57" s="6" t="n">
        <f aca="false">E56/D56-1</f>
        <v>0.0714285714285714</v>
      </c>
      <c r="F57" s="6" t="n">
        <f aca="false">F56/E56-1</f>
        <v>0.0666666666666667</v>
      </c>
      <c r="G57" s="6" t="n">
        <f aca="false">G56/F56-1</f>
        <v>0.0573333333333332</v>
      </c>
      <c r="H57" s="6" t="n">
        <f aca="false">H56/G56-1</f>
        <v>0.048</v>
      </c>
      <c r="I57" s="6" t="n">
        <f aca="false">I56/H56-1</f>
        <v>0.0386666666666666</v>
      </c>
      <c r="J57" s="6" t="n">
        <f aca="false">J56/I56-1</f>
        <v>0.0293333333333334</v>
      </c>
      <c r="K57" s="6" t="n">
        <f aca="false">K56/J56-1</f>
        <v>0.02</v>
      </c>
      <c r="L57" s="28" t="n">
        <v>0.02</v>
      </c>
    </row>
    <row r="58" customFormat="false" ht="15" hidden="false" customHeight="false" outlineLevel="0" collapsed="false">
      <c r="A58" s="0" t="s">
        <v>136</v>
      </c>
      <c r="B58" s="29" t="n">
        <v>0.32</v>
      </c>
      <c r="C58" s="29" t="n">
        <v>0.32</v>
      </c>
      <c r="D58" s="29" t="n">
        <v>0.33</v>
      </c>
      <c r="E58" s="29" t="n">
        <v>0.33</v>
      </c>
      <c r="F58" s="29" t="n">
        <v>0.33</v>
      </c>
      <c r="G58" s="6" t="n">
        <f aca="false">$F58+($L58-$F58)*G$17/5</f>
        <v>0.326</v>
      </c>
      <c r="H58" s="6" t="n">
        <f aca="false">$F58+($L58-$F58)*H$17/5</f>
        <v>0.322</v>
      </c>
      <c r="I58" s="6" t="n">
        <f aca="false">$F58+($L58-$F58)*I$17/5</f>
        <v>0.318</v>
      </c>
      <c r="J58" s="6" t="n">
        <f aca="false">$F58+($L58-$F58)*J$17/5</f>
        <v>0.314</v>
      </c>
      <c r="K58" s="6" t="n">
        <f aca="false">$F58+($L58-$F58)*K$17/5</f>
        <v>0.31</v>
      </c>
      <c r="L58" s="28" t="n">
        <v>0.31</v>
      </c>
    </row>
    <row r="59" customFormat="false" ht="15" hidden="false" customHeight="false" outlineLevel="0" collapsed="false">
      <c r="A59" s="0" t="s">
        <v>137</v>
      </c>
      <c r="B59" s="27" t="n">
        <f aca="false">B56*B58</f>
        <v>7.68</v>
      </c>
      <c r="C59" s="27" t="n">
        <f aca="false">C56*C58</f>
        <v>8.32</v>
      </c>
      <c r="D59" s="27" t="n">
        <f aca="false">D56*D58</f>
        <v>9.24</v>
      </c>
      <c r="E59" s="27" t="n">
        <f aca="false">E56*E58</f>
        <v>9.9</v>
      </c>
      <c r="F59" s="27" t="n">
        <f aca="false">F56*F58</f>
        <v>10.56</v>
      </c>
      <c r="G59" s="27" t="n">
        <f aca="false">G56*G58</f>
        <v>11.0301013333333</v>
      </c>
      <c r="H59" s="27" t="n">
        <f aca="false">H56*H58</f>
        <v>11.4177112746667</v>
      </c>
      <c r="I59" s="27" t="n">
        <f aca="false">I56*I58</f>
        <v>11.7118769042773</v>
      </c>
      <c r="J59" s="27" t="n">
        <f aca="false">J56*J58</f>
        <v>11.9037847237403</v>
      </c>
      <c r="K59" s="27" t="n">
        <f aca="false">K56*K58</f>
        <v>11.9871870370913</v>
      </c>
      <c r="L59" s="27" t="n">
        <f aca="false">L56*L58</f>
        <v>12.2269307778332</v>
      </c>
    </row>
    <row r="60" customFormat="false" ht="15" hidden="false" customHeight="false" outlineLevel="0" collapsed="false">
      <c r="A60" s="0" t="s">
        <v>138</v>
      </c>
      <c r="B60" s="27" t="n">
        <f aca="false">B59*(1-$B$9)</f>
        <v>6.2976</v>
      </c>
      <c r="C60" s="27" t="n">
        <f aca="false">C59*(1-$B$9)</f>
        <v>6.8224</v>
      </c>
      <c r="D60" s="27" t="n">
        <f aca="false">D59*(1-$B$9)</f>
        <v>7.5768</v>
      </c>
      <c r="E60" s="27" t="n">
        <f aca="false">E59*(1-$B$9)</f>
        <v>8.118</v>
      </c>
      <c r="F60" s="27" t="n">
        <f aca="false">F59*(1-$B$9)</f>
        <v>8.6592</v>
      </c>
      <c r="G60" s="27" t="n">
        <f aca="false">G59*(1-$B$9)</f>
        <v>9.04468309333333</v>
      </c>
      <c r="H60" s="27" t="n">
        <f aca="false">H59*(1-$B$9)</f>
        <v>9.36252324522667</v>
      </c>
      <c r="I60" s="27" t="n">
        <f aca="false">I59*(1-$B$9)</f>
        <v>9.60373906150742</v>
      </c>
      <c r="J60" s="27" t="n">
        <f aca="false">J59*(1-$B$9)</f>
        <v>9.76110347346704</v>
      </c>
      <c r="K60" s="27" t="n">
        <f aca="false">K59*(1-$B$9)</f>
        <v>9.8294933704149</v>
      </c>
      <c r="L60" s="27" t="n">
        <f aca="false">L59*(1-$B$9)</f>
        <v>10.0260832378232</v>
      </c>
    </row>
    <row r="61" customFormat="false" ht="15" hidden="false" customHeight="false" outlineLevel="0" collapsed="false">
      <c r="A61" s="0" t="s">
        <v>139</v>
      </c>
      <c r="B61" s="29" t="n">
        <v>0.09</v>
      </c>
      <c r="C61" s="29" t="n">
        <v>0.08</v>
      </c>
      <c r="D61" s="29" t="n">
        <v>0.06</v>
      </c>
      <c r="E61" s="29" t="n">
        <v>0.04</v>
      </c>
      <c r="F61" s="29" t="n">
        <v>0.03</v>
      </c>
      <c r="G61" s="6" t="n">
        <f aca="false">$F61+($L61-$F61)*G$17/5</f>
        <v>0.028</v>
      </c>
      <c r="H61" s="6" t="n">
        <f aca="false">$F61+($L61-$F61)*H$17/5</f>
        <v>0.026</v>
      </c>
      <c r="I61" s="6" t="n">
        <f aca="false">$F61+($L61-$F61)*I$17/5</f>
        <v>0.024</v>
      </c>
      <c r="J61" s="6" t="n">
        <f aca="false">$F61+($L61-$F61)*J$17/5</f>
        <v>0.022</v>
      </c>
      <c r="K61" s="6" t="n">
        <f aca="false">$F61+($L61-$F61)*K$17/5</f>
        <v>0.02</v>
      </c>
      <c r="L61" s="28" t="n">
        <v>0.02</v>
      </c>
    </row>
    <row r="62" customFormat="false" ht="15" hidden="false" customHeight="false" outlineLevel="0" collapsed="false">
      <c r="A62" s="0" t="s">
        <v>140</v>
      </c>
      <c r="B62" s="27" t="n">
        <f aca="false">B56*B61</f>
        <v>2.16</v>
      </c>
      <c r="C62" s="27" t="n">
        <f aca="false">C56*C61</f>
        <v>2.08</v>
      </c>
      <c r="D62" s="27" t="n">
        <f aca="false">D56*D61</f>
        <v>1.68</v>
      </c>
      <c r="E62" s="27" t="n">
        <f aca="false">E56*E61</f>
        <v>1.2</v>
      </c>
      <c r="F62" s="27" t="n">
        <f aca="false">F56*F61</f>
        <v>0.96</v>
      </c>
      <c r="G62" s="27" t="n">
        <f aca="false">G56*G61</f>
        <v>0.947370666666667</v>
      </c>
      <c r="H62" s="27" t="n">
        <f aca="false">H56*H61</f>
        <v>0.921926997333333</v>
      </c>
      <c r="I62" s="27" t="n">
        <f aca="false">I56*I61</f>
        <v>0.883915238058667</v>
      </c>
      <c r="J62" s="27" t="n">
        <f aca="false">J56*J61</f>
        <v>0.834023133510466</v>
      </c>
      <c r="K62" s="27" t="n">
        <f aca="false">K56*K61</f>
        <v>0.773366905618796</v>
      </c>
      <c r="L62" s="27" t="n">
        <f aca="false">L56*L61</f>
        <v>0.788834243731172</v>
      </c>
    </row>
    <row r="63" customFormat="false" ht="15" hidden="false" customHeight="false" outlineLevel="0" collapsed="false">
      <c r="A63" s="0" t="s">
        <v>141</v>
      </c>
      <c r="B63" s="27" t="n">
        <f aca="false">$B$11*(B56-$B$12)</f>
        <v>0</v>
      </c>
      <c r="C63" s="27" t="n">
        <f aca="false">$B$11*(C56-B56)</f>
        <v>0</v>
      </c>
      <c r="D63" s="27" t="n">
        <f aca="false">$B$11*(D56-C56)</f>
        <v>0</v>
      </c>
      <c r="E63" s="27" t="n">
        <f aca="false">$B$11*(E56-D56)</f>
        <v>0</v>
      </c>
      <c r="F63" s="27" t="n">
        <f aca="false">$B$11*(F56-E56)</f>
        <v>0</v>
      </c>
      <c r="G63" s="27" t="n">
        <f aca="false">$B$11*(G56-F56)</f>
        <v>0</v>
      </c>
      <c r="H63" s="27" t="n">
        <f aca="false">$B$11*(H56-G56)</f>
        <v>0</v>
      </c>
      <c r="I63" s="27" t="n">
        <f aca="false">$B$11*(I56-H56)</f>
        <v>0</v>
      </c>
      <c r="J63" s="27" t="n">
        <f aca="false">$B$11*(J56-I56)</f>
        <v>0</v>
      </c>
      <c r="K63" s="27" t="n">
        <f aca="false">$B$11*(K56-J56)</f>
        <v>0</v>
      </c>
      <c r="L63" s="27" t="n">
        <f aca="false">$B$11*(L56-K56)</f>
        <v>0</v>
      </c>
    </row>
    <row r="64" customFormat="false" ht="15" hidden="false" customHeight="false" outlineLevel="0" collapsed="false">
      <c r="A64" s="0" t="s">
        <v>142</v>
      </c>
      <c r="B64" s="27" t="n">
        <f aca="false">B60-B62-B63</f>
        <v>4.1376</v>
      </c>
      <c r="C64" s="27" t="n">
        <f aca="false">C60-C62-C63</f>
        <v>4.7424</v>
      </c>
      <c r="D64" s="27" t="n">
        <f aca="false">D60-D62-D63</f>
        <v>5.8968</v>
      </c>
      <c r="E64" s="27" t="n">
        <f aca="false">E60-E62-E63</f>
        <v>6.918</v>
      </c>
      <c r="F64" s="27" t="n">
        <f aca="false">F60-F62-F63</f>
        <v>7.6992</v>
      </c>
      <c r="G64" s="27" t="n">
        <f aca="false">G60-G62-G63</f>
        <v>8.09731242666667</v>
      </c>
      <c r="H64" s="27" t="n">
        <f aca="false">H60-H62-H63</f>
        <v>8.44059624789333</v>
      </c>
      <c r="I64" s="27" t="n">
        <f aca="false">I60-I62-I63</f>
        <v>8.71982382344875</v>
      </c>
      <c r="J64" s="27" t="n">
        <f aca="false">J60-J62-J63</f>
        <v>8.92708033995658</v>
      </c>
      <c r="K64" s="27" t="n">
        <f aca="false">K60-K62-K63</f>
        <v>9.05612646479611</v>
      </c>
      <c r="L64" s="27" t="n">
        <f aca="false">L60-L62-L63</f>
        <v>9.23724899409203</v>
      </c>
    </row>
    <row r="65" customFormat="false" ht="15" hidden="false" customHeight="false" outlineLevel="0" collapsed="false">
      <c r="A65" s="0" t="s">
        <v>143</v>
      </c>
      <c r="B65" s="30" t="n">
        <f aca="false">1/(1+$B$10)^B$16</f>
        <v>0.964485644340824</v>
      </c>
      <c r="C65" s="30" t="n">
        <f aca="false">1/(1+$B$10)^C$16</f>
        <v>0.897195948224023</v>
      </c>
      <c r="D65" s="30" t="n">
        <f aca="false">1/(1+$B$10)^D$16</f>
        <v>0.834600882068858</v>
      </c>
      <c r="E65" s="30" t="n">
        <f aca="false">1/(1+$B$10)^E$16</f>
        <v>0.776372913552426</v>
      </c>
      <c r="F65" s="30" t="n">
        <f aca="false">1/(1+$B$10)^F$16</f>
        <v>0.722207361444118</v>
      </c>
      <c r="G65" s="30" t="n">
        <f aca="false">1/(1+$B$10)^G$16</f>
        <v>0.671820801343365</v>
      </c>
      <c r="H65" s="30" t="n">
        <f aca="false">1/(1+$B$10)^H$16</f>
        <v>0.624949582644991</v>
      </c>
      <c r="I65" s="30" t="n">
        <f aca="false">1/(1+$B$10)^I$16</f>
        <v>0.581348448972085</v>
      </c>
      <c r="J65" s="30" t="n">
        <f aca="false">1/(1+$B$10)^J$16</f>
        <v>0.540789254857753</v>
      </c>
      <c r="K65" s="30" t="n">
        <f aca="false">1/(1+$B$10)^K$16</f>
        <v>0.503059771960701</v>
      </c>
    </row>
    <row r="66" customFormat="false" ht="15" hidden="false" customHeight="false" outlineLevel="0" collapsed="false">
      <c r="A66" s="0" t="s">
        <v>144</v>
      </c>
      <c r="B66" s="27" t="n">
        <f aca="false">B64*B65</f>
        <v>3.99065580202459</v>
      </c>
      <c r="C66" s="27" t="n">
        <f aca="false">C64*C65</f>
        <v>4.25486206485761</v>
      </c>
      <c r="D66" s="27" t="n">
        <f aca="false">D64*D65</f>
        <v>4.92147448138364</v>
      </c>
      <c r="E66" s="27" t="n">
        <f aca="false">E64*E65</f>
        <v>5.37094781595569</v>
      </c>
      <c r="F66" s="27" t="n">
        <f aca="false">F64*F65</f>
        <v>5.56041891723055</v>
      </c>
      <c r="G66" s="27" t="n">
        <f aca="false">G64*G65</f>
        <v>5.43994292321079</v>
      </c>
      <c r="H66" s="27" t="n">
        <f aca="false">H64*H65</f>
        <v>5.27494710239581</v>
      </c>
      <c r="I66" s="27" t="n">
        <f aca="false">I64*I65</f>
        <v>5.06925605507176</v>
      </c>
      <c r="J66" s="27" t="n">
        <f aca="false">J64*J65</f>
        <v>4.82766912510041</v>
      </c>
      <c r="K66" s="27" t="n">
        <f aca="false">K64*K65</f>
        <v>4.55577291422759</v>
      </c>
      <c r="L66" s="27"/>
    </row>
    <row r="67" customFormat="false" ht="15" hidden="false" customHeight="false" outlineLevel="0" collapsed="false">
      <c r="A67" s="0" t="s">
        <v>145</v>
      </c>
      <c r="B67" s="27" t="n">
        <f aca="false">L64/($B$10-L57)</f>
        <v>167.949981710764</v>
      </c>
      <c r="C67" s="0" t="str">
        <f aca="false">IF($B$10&gt;L57,"","Discount rate must exceed terminal growth")</f>
        <v/>
      </c>
    </row>
    <row r="68" customFormat="false" ht="15" hidden="false" customHeight="false" outlineLevel="0" collapsed="false">
      <c r="A68" s="0" t="s">
        <v>146</v>
      </c>
      <c r="B68" s="27" t="n">
        <f aca="false">B67/(1+$B$10)^$K$16</f>
        <v>84.4888795002209</v>
      </c>
    </row>
    <row r="69" customFormat="false" ht="15" hidden="false" customHeight="false" outlineLevel="0" collapsed="false">
      <c r="A69" s="0" t="s">
        <v>147</v>
      </c>
      <c r="B69" s="27" t="n">
        <f aca="false">SUM(B66:K66)+B68+$B$7+$B$8</f>
        <v>91.0848267016793</v>
      </c>
    </row>
    <row r="70" customFormat="false" ht="15" hidden="false" customHeight="false" outlineLevel="0" collapsed="false">
      <c r="A70" s="0" t="s">
        <v>148</v>
      </c>
      <c r="B70" s="31" t="n">
        <f aca="false">B69/$B$6</f>
        <v>441.024677778915</v>
      </c>
    </row>
    <row r="71" customFormat="false" ht="15" hidden="false" customHeight="false" outlineLevel="0" collapsed="false">
      <c r="A71" s="0" t="s">
        <v>149</v>
      </c>
      <c r="B71" s="6" t="n">
        <f aca="false">B70/$B$4-1</f>
        <v>0.481912863624317</v>
      </c>
    </row>
    <row r="74" customFormat="false" ht="15" hidden="false" customHeight="false" outlineLevel="0" collapsed="false">
      <c r="A74" s="12" t="s">
        <v>152</v>
      </c>
      <c r="B74" s="26"/>
      <c r="C74" s="12" t="s">
        <v>153</v>
      </c>
      <c r="D74" s="26"/>
      <c r="E74" s="26"/>
      <c r="F74" s="26"/>
      <c r="G74" s="26"/>
      <c r="H74" s="26"/>
      <c r="I74" s="26"/>
      <c r="J74" s="26"/>
      <c r="K74" s="26"/>
      <c r="L74" s="26"/>
    </row>
    <row r="75" customFormat="false" ht="15" hidden="false" customHeight="false" outlineLevel="0" collapsed="false">
      <c r="A75" s="0" t="s">
        <v>154</v>
      </c>
      <c r="B75" s="7" t="n">
        <f aca="false">B34</f>
        <v>135.17044339531</v>
      </c>
      <c r="C75" s="6" t="n">
        <f aca="false">B75/$B$4-1</f>
        <v>-0.545805872228927</v>
      </c>
    </row>
    <row r="76" customFormat="false" ht="15" hidden="false" customHeight="false" outlineLevel="0" collapsed="false">
      <c r="A76" s="0" t="s">
        <v>155</v>
      </c>
      <c r="B76" s="7" t="n">
        <f aca="false">B52</f>
        <v>305.060649546943</v>
      </c>
      <c r="C76" s="6" t="n">
        <f aca="false">B76/$B$4-1</f>
        <v>0.0250521649399122</v>
      </c>
    </row>
    <row r="77" customFormat="false" ht="15" hidden="false" customHeight="false" outlineLevel="0" collapsed="false">
      <c r="A77" s="0" t="s">
        <v>156</v>
      </c>
      <c r="B77" s="7" t="n">
        <f aca="false">B70</f>
        <v>441.024677778915</v>
      </c>
      <c r="C77" s="6" t="n">
        <f aca="false">B77/$B$4-1</f>
        <v>0.481912863624317</v>
      </c>
    </row>
    <row r="78" customFormat="false" ht="15" hidden="false" customHeight="false" outlineLevel="0" collapsed="false">
      <c r="A78" s="0" t="s">
        <v>157</v>
      </c>
      <c r="B78" s="7" t="n">
        <f aca="false">INDEX(B34:B70,1+($B$13-1)*18)</f>
        <v>305.060649546943</v>
      </c>
      <c r="C78" s="6" t="n">
        <f aca="false">B78/$B$4-1</f>
        <v>0.0250521649399122</v>
      </c>
    </row>
    <row r="79" customFormat="false" ht="15" hidden="false" customHeight="false" outlineLevel="0" collapsed="false">
      <c r="A79" s="0" t="s">
        <v>158</v>
      </c>
      <c r="B79" s="8" t="n">
        <f aca="false">B50/(SUM(B48:K48)+B50)</f>
        <v>0.593547653595603</v>
      </c>
    </row>
    <row r="81" customFormat="false" ht="15" hidden="false" customHeight="false" outlineLevel="0" collapsed="false">
      <c r="A81" s="9" t="s">
        <v>159</v>
      </c>
    </row>
    <row r="82" customFormat="false" ht="15" hidden="false" customHeight="false" outlineLevel="0" collapsed="false">
      <c r="A82" s="0" t="s">
        <v>5</v>
      </c>
      <c r="B82" s="11" t="n">
        <v>0.05</v>
      </c>
      <c r="C82" s="11" t="n">
        <v>0.06</v>
      </c>
      <c r="D82" s="11" t="n">
        <v>0.07</v>
      </c>
      <c r="E82" s="11" t="n">
        <v>0.08</v>
      </c>
      <c r="F82" s="11" t="n">
        <v>0.09</v>
      </c>
      <c r="G82" s="11" t="n">
        <v>0.1</v>
      </c>
      <c r="H82" s="11" t="n">
        <v>0.11</v>
      </c>
      <c r="I82" s="11" t="n">
        <v>0.12</v>
      </c>
      <c r="J82" s="11" t="n">
        <v>0.13</v>
      </c>
      <c r="K82" s="11" t="n">
        <v>0.14</v>
      </c>
    </row>
    <row r="83" customFormat="false" ht="15" hidden="false" customHeight="false" outlineLevel="0" collapsed="false">
      <c r="A83" s="0" t="s">
        <v>155</v>
      </c>
      <c r="B83" s="7" t="n">
        <f aca="false">IF(B82&gt;$L39,(SUMPRODUCT($B46:$K46/(1+B82)^$B$16:$K$16)+$L46/(B82-$L39)/(1+B82)^$K$16+$B$7+$B$8)/$B$6,"n/a")</f>
        <v>678.564795340189</v>
      </c>
      <c r="C83" s="7" t="n">
        <f aca="false">IF(C82&gt;$L39,(SUMPRODUCT($B46:$K46/(1+C82)^$B$16:$K$16)+$L46/(C82-$L39)/(1+C82)^$K$16+$B$7+$B$8)/$B$6,"n/a")</f>
        <v>479.257586455029</v>
      </c>
      <c r="D83" s="7" t="n">
        <f aca="false">IF(D82&gt;$L39,(SUMPRODUCT($B46:$K46/(1+D82)^$B$16:$K$16)+$L46/(D82-$L39)/(1+D82)^$K$16+$B$7+$B$8)/$B$6,"n/a")</f>
        <v>352.541019348523</v>
      </c>
      <c r="E83" s="7" t="n">
        <f aca="false">IF(E82&gt;$L39,(SUMPRODUCT($B46:$K46/(1+E82)^$B$16:$K$16)+$L46/(E82-$L39)/(1+E82)^$K$16+$B$7+$B$8)/$B$6,"n/a")</f>
        <v>264.907928570543</v>
      </c>
      <c r="F83" s="7" t="n">
        <f aca="false">IF(F82&gt;$L39,(SUMPRODUCT($B46:$K46/(1+F82)^$B$16:$K$16)+$L46/(F82-$L39)/(1+F82)^$K$16+$B$7+$B$8)/$B$6,"n/a")</f>
        <v>200.721745461392</v>
      </c>
      <c r="G83" s="7" t="n">
        <f aca="false">IF(G82&gt;$L39,(SUMPRODUCT($B46:$K46/(1+G82)^$B$16:$K$16)+$L46/(G82-$L39)/(1+G82)^$K$16+$B$7+$B$8)/$B$6,"n/a")</f>
        <v>151.70438330211</v>
      </c>
      <c r="H83" s="7" t="n">
        <f aca="false">IF(H82&gt;$L39,(SUMPRODUCT($B46:$K46/(1+H82)^$B$16:$K$16)+$L46/(H82-$L39)/(1+H82)^$K$16+$B$7+$B$8)/$B$6,"n/a")</f>
        <v>113.063352117941</v>
      </c>
      <c r="I83" s="7" t="n">
        <f aca="false">IF(I82&gt;$L39,(SUMPRODUCT($B46:$K46/(1+I82)^$B$16:$K$16)+$L46/(I82-$L39)/(1+I82)^$K$16+$B$7+$B$8)/$B$6,"n/a")</f>
        <v>81.8319501680315</v>
      </c>
      <c r="J83" s="7" t="n">
        <f aca="false">IF(J82&gt;$L39,(SUMPRODUCT($B46:$K46/(1+J82)^$B$16:$K$16)+$L46/(J82-$L39)/(1+J82)^$K$16+$B$7+$B$8)/$B$6,"n/a")</f>
        <v>56.0754420679196</v>
      </c>
      <c r="K83" s="7" t="n">
        <f aca="false">IF(K82&gt;$L39,(SUMPRODUCT($B46:$K46/(1+K82)^$B$16:$K$16)+$L46/(K82-$L39)/(1+K82)^$K$16+$B$7+$B$8)/$B$6,"n/a")</f>
        <v>34.4782711100344</v>
      </c>
    </row>
    <row r="84" customFormat="false" ht="15" hidden="false" customHeight="false" outlineLevel="0" collapsed="false">
      <c r="A84" s="0" t="s">
        <v>160</v>
      </c>
      <c r="B84" s="6" t="n">
        <f aca="false">IFERROR(B83/$B$4-1,"n/a")</f>
        <v>1.28008533237072</v>
      </c>
      <c r="C84" s="6" t="n">
        <f aca="false">IFERROR(C83/$B$4-1,"n/a")</f>
        <v>0.610381500495722</v>
      </c>
      <c r="D84" s="6" t="n">
        <f aca="false">IFERROR(D83/$B$4-1,"n/a")</f>
        <v>0.184593737835461</v>
      </c>
      <c r="E84" s="6" t="n">
        <f aca="false">IFERROR(E83/$B$4-1,"n/a")</f>
        <v>-0.109867345741694</v>
      </c>
      <c r="F84" s="6" t="n">
        <f aca="false">IFERROR(F83/$B$4-1,"n/a")</f>
        <v>-0.325543100884084</v>
      </c>
      <c r="G84" s="6" t="n">
        <f aca="false">IFERROR(G83/$B$4-1,"n/a")</f>
        <v>-0.490249211867711</v>
      </c>
      <c r="H84" s="6" t="n">
        <f aca="false">IFERROR(H83/$B$4-1,"n/a")</f>
        <v>-0.620089205094199</v>
      </c>
      <c r="I84" s="6" t="n">
        <f aca="false">IFERROR(I83/$B$4-1,"n/a")</f>
        <v>-0.725031668930188</v>
      </c>
      <c r="J84" s="6" t="n">
        <f aca="false">IFERROR(J83/$B$4-1,"n/a")</f>
        <v>-0.811577621115507</v>
      </c>
      <c r="K84" s="6" t="n">
        <f aca="false">IFERROR(K83/$B$4-1,"n/a")</f>
        <v>-0.884147540834212</v>
      </c>
    </row>
    <row r="86" customFormat="false" ht="15" hidden="false" customHeight="false" outlineLevel="0" collapsed="false">
      <c r="A86" s="9" t="s">
        <v>161</v>
      </c>
      <c r="B86" s="18" t="n">
        <f aca="false">IFERROR(IF(MATCH($B$4,$B$83:$K$83,-1)=10,"above 14%",INDEX($B$82:$K$82,MATCH($B$4,$B$83:$K$83,-1))+(INDEX($B$83:$K$83,MATCH($B$4,$B$83:$K$83,-1))-$B$4)/(INDEX($B$83:$K$83,MATCH($B$4,$B$83:$K$83,-1))-INDEX($B$83:$K$83,MATCH($B$4,$B$83:$K$83,-1)+1))*(INDEX($B$82:$K$82,MATCH($B$4,$B$83:$K$83,-1)+1)-INDEX($B$82:$K$82,MATCH($B$4,$B$83:$K$83,-1)))),"below 5%")</f>
        <v>0.0762688670296594</v>
      </c>
      <c r="C86"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1"/>
    <col collapsed="false" customWidth="true" hidden="false" outlineLevel="0" max="3" min="3" style="0" width="12"/>
    <col collapsed="false" customWidth="true" hidden="false" outlineLevel="0" max="12" min="4" style="0" width="11"/>
  </cols>
  <sheetData>
    <row r="1" customFormat="false" ht="16.15" hidden="false" customHeight="false" outlineLevel="0" collapsed="false">
      <c r="A1" s="1" t="s">
        <v>187</v>
      </c>
    </row>
    <row r="2" customFormat="false" ht="15" hidden="false" customHeight="false" outlineLevel="0" collapsed="false">
      <c r="A2" s="2" t="s">
        <v>100</v>
      </c>
    </row>
    <row r="4" customFormat="false" ht="15" hidden="false" customHeight="false" outlineLevel="0" collapsed="false">
      <c r="A4" s="0" t="s">
        <v>101</v>
      </c>
      <c r="B4" s="19" t="n">
        <v>156.84</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106</v>
      </c>
      <c r="B6" s="21" t="n">
        <v>1.03</v>
      </c>
      <c r="C6" s="2" t="s">
        <v>61</v>
      </c>
    </row>
    <row r="7" customFormat="false" ht="15" hidden="false" customHeight="false" outlineLevel="0" collapsed="false">
      <c r="A7" s="0" t="s">
        <v>107</v>
      </c>
      <c r="B7" s="22" t="n">
        <v>-1.75</v>
      </c>
      <c r="C7" s="2" t="s">
        <v>108</v>
      </c>
    </row>
    <row r="8" customFormat="false" ht="15" hidden="false" customHeight="false" outlineLevel="0" collapsed="false">
      <c r="A8" s="0" t="s">
        <v>109</v>
      </c>
      <c r="B8" s="22" t="n">
        <v>0</v>
      </c>
      <c r="C8" s="2" t="s">
        <v>188</v>
      </c>
    </row>
    <row r="9" customFormat="false" ht="15" hidden="false" customHeight="false" outlineLevel="0" collapsed="false">
      <c r="A9" s="0" t="s">
        <v>72</v>
      </c>
      <c r="B9" s="11" t="n">
        <v>0.2</v>
      </c>
      <c r="C9" s="2" t="s">
        <v>111</v>
      </c>
    </row>
    <row r="10" customFormat="false" ht="15" hidden="false" customHeight="false" outlineLevel="0" collapsed="false">
      <c r="A10" s="0" t="s">
        <v>112</v>
      </c>
      <c r="B10" s="23" t="n">
        <f aca="false">WACC!G29</f>
        <v>0.095</v>
      </c>
      <c r="C10" s="2" t="s">
        <v>113</v>
      </c>
    </row>
    <row r="11" customFormat="false" ht="15" hidden="false" customHeight="false" outlineLevel="0" collapsed="false">
      <c r="A11" s="0" t="s">
        <v>114</v>
      </c>
      <c r="B11" s="11" t="n">
        <v>-0.05</v>
      </c>
      <c r="C11" s="2" t="s">
        <v>45</v>
      </c>
    </row>
    <row r="12" customFormat="false" ht="15" hidden="false" customHeight="false" outlineLevel="0" collapsed="false">
      <c r="A12" s="0" t="s">
        <v>115</v>
      </c>
      <c r="B12" s="22" t="n">
        <v>16.22</v>
      </c>
      <c r="C12" s="2" t="s">
        <v>189</v>
      </c>
    </row>
    <row r="13" customFormat="false" ht="15" hidden="false" customHeight="false" outlineLevel="0" collapsed="false">
      <c r="A13" s="0" t="s">
        <v>117</v>
      </c>
      <c r="B13" s="10" t="n">
        <v>2</v>
      </c>
      <c r="C13" s="2" t="s">
        <v>118</v>
      </c>
    </row>
    <row r="15" customFormat="false" ht="15" hidden="false" customHeight="false" outlineLevel="0" collapsed="false">
      <c r="A15" s="9" t="s">
        <v>119</v>
      </c>
      <c r="B15" s="24" t="s">
        <v>120</v>
      </c>
      <c r="C15" s="24" t="s">
        <v>121</v>
      </c>
      <c r="D15" s="24" t="s">
        <v>122</v>
      </c>
      <c r="E15" s="24" t="s">
        <v>123</v>
      </c>
      <c r="F15" s="24" t="s">
        <v>124</v>
      </c>
      <c r="G15" s="24" t="s">
        <v>125</v>
      </c>
      <c r="H15" s="24" t="s">
        <v>126</v>
      </c>
      <c r="I15" s="24" t="s">
        <v>127</v>
      </c>
      <c r="J15" s="24" t="s">
        <v>128</v>
      </c>
      <c r="K15" s="24" t="s">
        <v>129</v>
      </c>
      <c r="L15" s="9" t="s">
        <v>130</v>
      </c>
    </row>
    <row r="16" customFormat="false" ht="15" hidden="false" customHeight="false" outlineLevel="0" collapsed="false">
      <c r="A16" s="0" t="s">
        <v>131</v>
      </c>
      <c r="B16" s="20" t="n">
        <v>0.5</v>
      </c>
      <c r="C16" s="25" t="n">
        <f aca="false">B16+1</f>
        <v>1.5</v>
      </c>
      <c r="D16" s="25" t="n">
        <f aca="false">C16+1</f>
        <v>2.5</v>
      </c>
      <c r="E16" s="25" t="n">
        <f aca="false">D16+1</f>
        <v>3.5</v>
      </c>
      <c r="F16" s="25" t="n">
        <f aca="false">E16+1</f>
        <v>4.5</v>
      </c>
      <c r="G16" s="25" t="n">
        <f aca="false">F16+1</f>
        <v>5.5</v>
      </c>
      <c r="H16" s="25" t="n">
        <f aca="false">G16+1</f>
        <v>6.5</v>
      </c>
      <c r="I16" s="25" t="n">
        <f aca="false">H16+1</f>
        <v>7.5</v>
      </c>
      <c r="J16" s="25" t="n">
        <f aca="false">I16+1</f>
        <v>8.5</v>
      </c>
      <c r="K16" s="25" t="n">
        <f aca="false">J16+1</f>
        <v>9.5</v>
      </c>
    </row>
    <row r="17" customFormat="false" ht="15" hidden="false" customHeight="false" outlineLevel="0" collapsed="false">
      <c r="A17" s="0" t="s">
        <v>132</v>
      </c>
      <c r="B17" s="0" t="n">
        <v>0</v>
      </c>
      <c r="C17" s="0" t="n">
        <v>0</v>
      </c>
      <c r="D17" s="0" t="n">
        <v>0</v>
      </c>
      <c r="E17" s="0" t="n">
        <v>0</v>
      </c>
      <c r="F17" s="0" t="n">
        <v>0</v>
      </c>
      <c r="G17" s="0" t="n">
        <v>1</v>
      </c>
      <c r="H17" s="0" t="n">
        <v>2</v>
      </c>
      <c r="I17" s="0" t="n">
        <v>3</v>
      </c>
      <c r="J17" s="0" t="n">
        <v>4</v>
      </c>
      <c r="K17" s="0" t="n">
        <v>5</v>
      </c>
    </row>
    <row r="19" customFormat="false" ht="15" hidden="false" customHeight="false" outlineLevel="0" collapsed="false">
      <c r="A19" s="12" t="s">
        <v>190</v>
      </c>
      <c r="B19" s="26"/>
      <c r="C19" s="26"/>
      <c r="D19" s="26"/>
      <c r="E19" s="26"/>
      <c r="F19" s="26"/>
      <c r="G19" s="26"/>
      <c r="H19" s="26"/>
      <c r="I19" s="26"/>
      <c r="J19" s="26"/>
      <c r="K19" s="26"/>
      <c r="L19" s="26"/>
    </row>
    <row r="20" customFormat="false" ht="15" hidden="false" customHeight="false" outlineLevel="0" collapsed="false">
      <c r="A20" s="0" t="s">
        <v>134</v>
      </c>
      <c r="B20" s="22" t="n">
        <v>18.3</v>
      </c>
      <c r="C20" s="22" t="n">
        <v>20.3</v>
      </c>
      <c r="D20" s="22" t="n">
        <v>22.2</v>
      </c>
      <c r="E20" s="22" t="n">
        <v>24</v>
      </c>
      <c r="F20" s="22" t="n">
        <v>25.7</v>
      </c>
      <c r="G20" s="27" t="n">
        <f aca="false">F20*(1+$F21+($L21-$F21)*G$17/5)</f>
        <v>27.3362333333333</v>
      </c>
      <c r="H20" s="27" t="n">
        <f aca="false">G20*(1+$F21+($L21-$F21)*H$17/5)</f>
        <v>28.8807305166667</v>
      </c>
      <c r="I20" s="27" t="n">
        <f aca="false">H20*(1+$F21+($L21-$F21)*I$17/5)</f>
        <v>30.3055132221556</v>
      </c>
      <c r="J20" s="27" t="n">
        <f aca="false">I20*(1+$F21+($L21-$F21)*J$17/5)</f>
        <v>31.5833956963564</v>
      </c>
      <c r="K20" s="27" t="n">
        <f aca="false">J20*(1+$F21+($L21-$F21)*K$17/5)</f>
        <v>32.6888145457289</v>
      </c>
      <c r="L20" s="27" t="n">
        <f aca="false">K20*(1+L21)</f>
        <v>33.8329230548294</v>
      </c>
    </row>
    <row r="21" customFormat="false" ht="15" hidden="false" customHeight="false" outlineLevel="0" collapsed="false">
      <c r="A21" s="0" t="s">
        <v>135</v>
      </c>
      <c r="B21" s="6" t="n">
        <f aca="false">B20/$B$12-1</f>
        <v>0.128236744759556</v>
      </c>
      <c r="C21" s="6" t="n">
        <f aca="false">C20/B20-1</f>
        <v>0.109289617486339</v>
      </c>
      <c r="D21" s="6" t="n">
        <f aca="false">D20/C20-1</f>
        <v>0.0935960591133005</v>
      </c>
      <c r="E21" s="6" t="n">
        <f aca="false">E20/D20-1</f>
        <v>0.0810810810810811</v>
      </c>
      <c r="F21" s="6" t="n">
        <f aca="false">F20/E20-1</f>
        <v>0.0708333333333333</v>
      </c>
      <c r="G21" s="6" t="n">
        <f aca="false">G20/F20-1</f>
        <v>0.0636666666666665</v>
      </c>
      <c r="H21" s="6" t="n">
        <f aca="false">H20/G20-1</f>
        <v>0.0565</v>
      </c>
      <c r="I21" s="6" t="n">
        <f aca="false">I20/H20-1</f>
        <v>0.0493333333333332</v>
      </c>
      <c r="J21" s="6" t="n">
        <f aca="false">J20/I20-1</f>
        <v>0.0421666666666667</v>
      </c>
      <c r="K21" s="6" t="n">
        <f aca="false">K20/J20-1</f>
        <v>0.0349999999999999</v>
      </c>
      <c r="L21" s="28" t="n">
        <v>0.035</v>
      </c>
    </row>
    <row r="22" customFormat="false" ht="15" hidden="false" customHeight="false" outlineLevel="0" collapsed="false">
      <c r="A22" s="0" t="s">
        <v>136</v>
      </c>
      <c r="B22" s="29" t="n">
        <v>0.17</v>
      </c>
      <c r="C22" s="29" t="n">
        <v>0.18</v>
      </c>
      <c r="D22" s="29" t="n">
        <v>0.19</v>
      </c>
      <c r="E22" s="29" t="n">
        <v>0.2</v>
      </c>
      <c r="F22" s="29" t="n">
        <v>0.21</v>
      </c>
      <c r="G22" s="6" t="n">
        <f aca="false">$F22+($L22-$F22)*G$17/5</f>
        <v>0.214</v>
      </c>
      <c r="H22" s="6" t="n">
        <f aca="false">$F22+($L22-$F22)*H$17/5</f>
        <v>0.218</v>
      </c>
      <c r="I22" s="6" t="n">
        <f aca="false">$F22+($L22-$F22)*I$17/5</f>
        <v>0.222</v>
      </c>
      <c r="J22" s="6" t="n">
        <f aca="false">$F22+($L22-$F22)*J$17/5</f>
        <v>0.226</v>
      </c>
      <c r="K22" s="6" t="n">
        <f aca="false">$F22+($L22-$F22)*K$17/5</f>
        <v>0.23</v>
      </c>
      <c r="L22" s="28" t="n">
        <v>0.23</v>
      </c>
    </row>
    <row r="23" customFormat="false" ht="15" hidden="false" customHeight="false" outlineLevel="0" collapsed="false">
      <c r="A23" s="0" t="s">
        <v>137</v>
      </c>
      <c r="B23" s="27" t="n">
        <f aca="false">B20*B22</f>
        <v>3.111</v>
      </c>
      <c r="C23" s="27" t="n">
        <f aca="false">C20*C22</f>
        <v>3.654</v>
      </c>
      <c r="D23" s="27" t="n">
        <f aca="false">D20*D22</f>
        <v>4.218</v>
      </c>
      <c r="E23" s="27" t="n">
        <f aca="false">E20*E22</f>
        <v>4.8</v>
      </c>
      <c r="F23" s="27" t="n">
        <f aca="false">F20*F22</f>
        <v>5.397</v>
      </c>
      <c r="G23" s="27" t="n">
        <f aca="false">G20*G22</f>
        <v>5.84995393333333</v>
      </c>
      <c r="H23" s="27" t="n">
        <f aca="false">H20*H22</f>
        <v>6.29599925263333</v>
      </c>
      <c r="I23" s="27" t="n">
        <f aca="false">I20*I22</f>
        <v>6.72782393531853</v>
      </c>
      <c r="J23" s="27" t="n">
        <f aca="false">J20*J22</f>
        <v>7.13784742737656</v>
      </c>
      <c r="K23" s="27" t="n">
        <f aca="false">K20*K22</f>
        <v>7.51842734551765</v>
      </c>
      <c r="L23" s="27" t="n">
        <f aca="false">L20*L22</f>
        <v>7.78157230261077</v>
      </c>
    </row>
    <row r="24" customFormat="false" ht="15" hidden="false" customHeight="false" outlineLevel="0" collapsed="false">
      <c r="A24" s="0" t="s">
        <v>138</v>
      </c>
      <c r="B24" s="27" t="n">
        <f aca="false">B23*(1-$B$9)</f>
        <v>2.4888</v>
      </c>
      <c r="C24" s="27" t="n">
        <f aca="false">C23*(1-$B$9)</f>
        <v>2.9232</v>
      </c>
      <c r="D24" s="27" t="n">
        <f aca="false">D23*(1-$B$9)</f>
        <v>3.3744</v>
      </c>
      <c r="E24" s="27" t="n">
        <f aca="false">E23*(1-$B$9)</f>
        <v>3.84</v>
      </c>
      <c r="F24" s="27" t="n">
        <f aca="false">F23*(1-$B$9)</f>
        <v>4.3176</v>
      </c>
      <c r="G24" s="27" t="n">
        <f aca="false">G23*(1-$B$9)</f>
        <v>4.67996314666667</v>
      </c>
      <c r="H24" s="27" t="n">
        <f aca="false">H23*(1-$B$9)</f>
        <v>5.03679940210667</v>
      </c>
      <c r="I24" s="27" t="n">
        <f aca="false">I23*(1-$B$9)</f>
        <v>5.38225914825483</v>
      </c>
      <c r="J24" s="27" t="n">
        <f aca="false">J23*(1-$B$9)</f>
        <v>5.71027794190125</v>
      </c>
      <c r="K24" s="27" t="n">
        <f aca="false">K23*(1-$B$9)</f>
        <v>6.01474187641412</v>
      </c>
      <c r="L24" s="27" t="n">
        <f aca="false">L23*(1-$B$9)</f>
        <v>6.22525784208862</v>
      </c>
    </row>
    <row r="25" customFormat="false" ht="15" hidden="false" customHeight="false" outlineLevel="0" collapsed="false">
      <c r="A25" s="0" t="s">
        <v>139</v>
      </c>
      <c r="B25" s="29" t="n">
        <v>0.03</v>
      </c>
      <c r="C25" s="29" t="n">
        <v>0.03</v>
      </c>
      <c r="D25" s="29" t="n">
        <v>0.03</v>
      </c>
      <c r="E25" s="29" t="n">
        <v>0.03</v>
      </c>
      <c r="F25" s="29" t="n">
        <v>0.03</v>
      </c>
      <c r="G25" s="6" t="n">
        <f aca="false">$F25+($L25-$F25)*G$17/5</f>
        <v>0.028</v>
      </c>
      <c r="H25" s="6" t="n">
        <f aca="false">$F25+($L25-$F25)*H$17/5</f>
        <v>0.026</v>
      </c>
      <c r="I25" s="6" t="n">
        <f aca="false">$F25+($L25-$F25)*I$17/5</f>
        <v>0.024</v>
      </c>
      <c r="J25" s="6" t="n">
        <f aca="false">$F25+($L25-$F25)*J$17/5</f>
        <v>0.022</v>
      </c>
      <c r="K25" s="6" t="n">
        <f aca="false">$F25+($L25-$F25)*K$17/5</f>
        <v>0.02</v>
      </c>
      <c r="L25" s="28" t="n">
        <v>0.02</v>
      </c>
    </row>
    <row r="26" customFormat="false" ht="15" hidden="false" customHeight="false" outlineLevel="0" collapsed="false">
      <c r="A26" s="0" t="s">
        <v>140</v>
      </c>
      <c r="B26" s="27" t="n">
        <f aca="false">B20*B25</f>
        <v>0.549</v>
      </c>
      <c r="C26" s="27" t="n">
        <f aca="false">C20*C25</f>
        <v>0.609</v>
      </c>
      <c r="D26" s="27" t="n">
        <f aca="false">D20*D25</f>
        <v>0.666</v>
      </c>
      <c r="E26" s="27" t="n">
        <f aca="false">E20*E25</f>
        <v>0.72</v>
      </c>
      <c r="F26" s="27" t="n">
        <f aca="false">F20*F25</f>
        <v>0.771</v>
      </c>
      <c r="G26" s="27" t="n">
        <f aca="false">G20*G25</f>
        <v>0.765414533333333</v>
      </c>
      <c r="H26" s="27" t="n">
        <f aca="false">H20*H25</f>
        <v>0.750898993433333</v>
      </c>
      <c r="I26" s="27" t="n">
        <f aca="false">I20*I25</f>
        <v>0.727332317331733</v>
      </c>
      <c r="J26" s="27" t="n">
        <f aca="false">J20*J25</f>
        <v>0.694834705319842</v>
      </c>
      <c r="K26" s="27" t="n">
        <f aca="false">K20*K25</f>
        <v>0.653776290914578</v>
      </c>
      <c r="L26" s="27" t="n">
        <f aca="false">L20*L25</f>
        <v>0.676658461096589</v>
      </c>
    </row>
    <row r="27" customFormat="false" ht="15" hidden="false" customHeight="false" outlineLevel="0" collapsed="false">
      <c r="A27" s="0" t="s">
        <v>141</v>
      </c>
      <c r="B27" s="27" t="n">
        <f aca="false">$B$11*(B20-$B$12)</f>
        <v>-0.104</v>
      </c>
      <c r="C27" s="27" t="n">
        <f aca="false">$B$11*(C20-B20)</f>
        <v>-0.1</v>
      </c>
      <c r="D27" s="27" t="n">
        <f aca="false">$B$11*(D20-C20)</f>
        <v>-0.0949999999999999</v>
      </c>
      <c r="E27" s="27" t="n">
        <f aca="false">$B$11*(E20-D20)</f>
        <v>-0.09</v>
      </c>
      <c r="F27" s="27" t="n">
        <f aca="false">$B$11*(F20-E20)</f>
        <v>-0.085</v>
      </c>
      <c r="G27" s="27" t="n">
        <f aca="false">$B$11*(G20-F20)</f>
        <v>-0.0818116666666665</v>
      </c>
      <c r="H27" s="27" t="n">
        <f aca="false">$B$11*(H20-G20)</f>
        <v>-0.0772248591666667</v>
      </c>
      <c r="I27" s="27" t="n">
        <f aca="false">$B$11*(I20-H20)</f>
        <v>-0.0712391352744444</v>
      </c>
      <c r="J27" s="27" t="n">
        <f aca="false">$B$11*(J20-I20)</f>
        <v>-0.0638941237100447</v>
      </c>
      <c r="K27" s="27" t="n">
        <f aca="false">$B$11*(K20-J20)</f>
        <v>-0.0552709424686237</v>
      </c>
      <c r="L27" s="27" t="n">
        <f aca="false">$B$11*(L20-K20)</f>
        <v>-0.0572054254550256</v>
      </c>
    </row>
    <row r="28" customFormat="false" ht="15" hidden="false" customHeight="false" outlineLevel="0" collapsed="false">
      <c r="A28" s="0" t="s">
        <v>142</v>
      </c>
      <c r="B28" s="27" t="n">
        <f aca="false">B24-B26-B27</f>
        <v>2.0438</v>
      </c>
      <c r="C28" s="27" t="n">
        <f aca="false">C24-C26-C27</f>
        <v>2.4142</v>
      </c>
      <c r="D28" s="27" t="n">
        <f aca="false">D24-D26-D27</f>
        <v>2.8034</v>
      </c>
      <c r="E28" s="27" t="n">
        <f aca="false">E24-E26-E27</f>
        <v>3.21</v>
      </c>
      <c r="F28" s="27" t="n">
        <f aca="false">F24-F26-F27</f>
        <v>3.6316</v>
      </c>
      <c r="G28" s="27" t="n">
        <f aca="false">G24-G26-G27</f>
        <v>3.99636028</v>
      </c>
      <c r="H28" s="27" t="n">
        <f aca="false">H24-H26-H27</f>
        <v>4.36312526784</v>
      </c>
      <c r="I28" s="27" t="n">
        <f aca="false">I24-I26-I27</f>
        <v>4.72616596619754</v>
      </c>
      <c r="J28" s="27" t="n">
        <f aca="false">J24-J26-J27</f>
        <v>5.07933736029145</v>
      </c>
      <c r="K28" s="27" t="n">
        <f aca="false">K24-K26-K27</f>
        <v>5.41623652796817</v>
      </c>
      <c r="L28" s="27" t="n">
        <f aca="false">L24-L26-L27</f>
        <v>5.60580480644705</v>
      </c>
    </row>
    <row r="29" customFormat="false" ht="15" hidden="false" customHeight="false" outlineLevel="0" collapsed="false">
      <c r="A29" s="0" t="s">
        <v>143</v>
      </c>
      <c r="B29" s="30" t="n">
        <f aca="false">1/(1+$B$10)^B$16</f>
        <v>0.955636965134993</v>
      </c>
      <c r="C29" s="30" t="n">
        <f aca="false">1/(1+$B$10)^C$16</f>
        <v>0.87272782204109</v>
      </c>
      <c r="D29" s="30" t="n">
        <f aca="false">1/(1+$B$10)^D$16</f>
        <v>0.797011709626566</v>
      </c>
      <c r="E29" s="30" t="n">
        <f aca="false">1/(1+$B$10)^E$16</f>
        <v>0.72786457500143</v>
      </c>
      <c r="F29" s="30" t="n">
        <f aca="false">1/(1+$B$10)^F$16</f>
        <v>0.664716506850621</v>
      </c>
      <c r="G29" s="30" t="n">
        <f aca="false">1/(1+$B$10)^G$16</f>
        <v>0.607047038219745</v>
      </c>
      <c r="H29" s="30" t="n">
        <f aca="false">1/(1+$B$10)^H$16</f>
        <v>0.554380856821685</v>
      </c>
      <c r="I29" s="30" t="n">
        <f aca="false">1/(1+$B$10)^I$16</f>
        <v>0.506283887508388</v>
      </c>
      <c r="J29" s="30" t="n">
        <f aca="false">1/(1+$B$10)^J$16</f>
        <v>0.462359714619533</v>
      </c>
      <c r="K29" s="30" t="n">
        <f aca="false">1/(1+$B$10)^K$16</f>
        <v>0.422246314721034</v>
      </c>
    </row>
    <row r="30" customFormat="false" ht="15" hidden="false" customHeight="false" outlineLevel="0" collapsed="false">
      <c r="A30" s="0" t="s">
        <v>144</v>
      </c>
      <c r="B30" s="27" t="n">
        <f aca="false">B28*B29</f>
        <v>1.9531308293429</v>
      </c>
      <c r="C30" s="27" t="n">
        <f aca="false">C28*C29</f>
        <v>2.1069395079716</v>
      </c>
      <c r="D30" s="27" t="n">
        <f aca="false">D28*D29</f>
        <v>2.23434262676712</v>
      </c>
      <c r="E30" s="27" t="n">
        <f aca="false">E28*E29</f>
        <v>2.33644528575459</v>
      </c>
      <c r="F30" s="27" t="n">
        <f aca="false">F28*F29</f>
        <v>2.41398446627872</v>
      </c>
      <c r="G30" s="27" t="n">
        <f aca="false">G28*G29</f>
        <v>2.42597867163303</v>
      </c>
      <c r="H30" s="27" t="n">
        <f aca="false">H28*H29</f>
        <v>2.41883312440548</v>
      </c>
      <c r="I30" s="27" t="n">
        <f aca="false">I28*I29</f>
        <v>2.39278167837633</v>
      </c>
      <c r="J30" s="27" t="n">
        <f aca="false">J28*J29</f>
        <v>2.34848097236068</v>
      </c>
      <c r="K30" s="27" t="n">
        <f aca="false">K28*K29</f>
        <v>2.28698591359201</v>
      </c>
      <c r="L30" s="27"/>
    </row>
    <row r="31" customFormat="false" ht="15" hidden="false" customHeight="false" outlineLevel="0" collapsed="false">
      <c r="A31" s="0" t="s">
        <v>145</v>
      </c>
      <c r="B31" s="27" t="n">
        <f aca="false">L28/($B$10-L21)</f>
        <v>93.4300801074509</v>
      </c>
      <c r="C31" s="0" t="str">
        <f aca="false">IF($B$10&gt;L21,"","Discount rate must exceed terminal growth")</f>
        <v/>
      </c>
    </row>
    <row r="32" customFormat="false" ht="15" hidden="false" customHeight="false" outlineLevel="0" collapsed="false">
      <c r="A32" s="0" t="s">
        <v>146</v>
      </c>
      <c r="B32" s="27" t="n">
        <f aca="false">B31/(1+$B$10)^$K$16</f>
        <v>39.4505070094622</v>
      </c>
    </row>
    <row r="33" customFormat="false" ht="15" hidden="false" customHeight="false" outlineLevel="0" collapsed="false">
      <c r="A33" s="0" t="s">
        <v>147</v>
      </c>
      <c r="B33" s="27" t="n">
        <f aca="false">SUM(B30:K30)+B32+$B$7+$B$8</f>
        <v>60.6184100859446</v>
      </c>
    </row>
    <row r="34" customFormat="false" ht="15" hidden="false" customHeight="false" outlineLevel="0" collapsed="false">
      <c r="A34" s="0" t="s">
        <v>148</v>
      </c>
      <c r="B34" s="31" t="n">
        <f aca="false">B33/$B$6</f>
        <v>58.8528253261598</v>
      </c>
    </row>
    <row r="35" customFormat="false" ht="15" hidden="false" customHeight="false" outlineLevel="0" collapsed="false">
      <c r="A35" s="0" t="s">
        <v>149</v>
      </c>
      <c r="B35" s="6" t="n">
        <f aca="false">B34/$B$4-1</f>
        <v>-0.624758828575875</v>
      </c>
    </row>
    <row r="37" customFormat="false" ht="15" hidden="false" customHeight="false" outlineLevel="0" collapsed="false">
      <c r="A37" s="12" t="s">
        <v>191</v>
      </c>
      <c r="B37" s="26"/>
      <c r="C37" s="26"/>
      <c r="D37" s="26"/>
      <c r="E37" s="26"/>
      <c r="F37" s="26"/>
      <c r="G37" s="26"/>
      <c r="H37" s="26"/>
      <c r="I37" s="26"/>
      <c r="J37" s="26"/>
      <c r="K37" s="26"/>
      <c r="L37" s="26"/>
    </row>
    <row r="38" customFormat="false" ht="15" hidden="false" customHeight="false" outlineLevel="0" collapsed="false">
      <c r="A38" s="0" t="s">
        <v>134</v>
      </c>
      <c r="B38" s="22" t="n">
        <v>19.2</v>
      </c>
      <c r="C38" s="22" t="n">
        <v>22.4</v>
      </c>
      <c r="D38" s="22" t="n">
        <v>25.8</v>
      </c>
      <c r="E38" s="22" t="n">
        <v>29.2</v>
      </c>
      <c r="F38" s="22" t="n">
        <v>32.6</v>
      </c>
      <c r="G38" s="27" t="n">
        <f aca="false">F38*(1+$F39+($L39-$F39)*G$17/5)</f>
        <v>35.8975123287671</v>
      </c>
      <c r="H38" s="27" t="n">
        <f aca="false">G38*(1+$F39+($L39-$F39)*H$17/5)</f>
        <v>38.9797809215988</v>
      </c>
      <c r="I38" s="27" t="n">
        <f aca="false">H38*(1+$F39+($L39-$F39)*I$17/5)</f>
        <v>41.7307923093807</v>
      </c>
      <c r="J38" s="27" t="n">
        <f aca="false">I38*(1+$F39+($L39-$F39)*J$17/5)</f>
        <v>44.0379906348692</v>
      </c>
      <c r="K38" s="27" t="n">
        <f aca="false">J38*(1+$F39+($L39-$F39)*K$17/5)</f>
        <v>45.799510260264</v>
      </c>
      <c r="L38" s="27" t="n">
        <f aca="false">K38*(1+L39)</f>
        <v>47.6314906706745</v>
      </c>
    </row>
    <row r="39" customFormat="false" ht="15" hidden="false" customHeight="false" outlineLevel="0" collapsed="false">
      <c r="A39" s="0" t="s">
        <v>135</v>
      </c>
      <c r="B39" s="6" t="n">
        <f aca="false">B38/$B$12-1</f>
        <v>0.183723797780518</v>
      </c>
      <c r="C39" s="6" t="n">
        <f aca="false">C38/B38-1</f>
        <v>0.166666666666667</v>
      </c>
      <c r="D39" s="6" t="n">
        <f aca="false">D38/C38-1</f>
        <v>0.151785714285714</v>
      </c>
      <c r="E39" s="6" t="n">
        <f aca="false">E38/D38-1</f>
        <v>0.131782945736434</v>
      </c>
      <c r="F39" s="6" t="n">
        <f aca="false">F38/E38-1</f>
        <v>0.116438356164384</v>
      </c>
      <c r="G39" s="6" t="n">
        <f aca="false">G38/F38-1</f>
        <v>0.101150684931507</v>
      </c>
      <c r="H39" s="6" t="n">
        <f aca="false">H38/G38-1</f>
        <v>0.0858630136986303</v>
      </c>
      <c r="I39" s="6" t="n">
        <f aca="false">I38/H38-1</f>
        <v>0.0705753424657534</v>
      </c>
      <c r="J39" s="6" t="n">
        <f aca="false">J38/I38-1</f>
        <v>0.0552876712328767</v>
      </c>
      <c r="K39" s="6" t="n">
        <f aca="false">K38/J38-1</f>
        <v>0.04</v>
      </c>
      <c r="L39" s="28" t="n">
        <v>0.04</v>
      </c>
    </row>
    <row r="40" customFormat="false" ht="15" hidden="false" customHeight="false" outlineLevel="0" collapsed="false">
      <c r="A40" s="0" t="s">
        <v>136</v>
      </c>
      <c r="B40" s="29" t="n">
        <v>0.19</v>
      </c>
      <c r="C40" s="29" t="n">
        <v>0.21</v>
      </c>
      <c r="D40" s="29" t="n">
        <v>0.23</v>
      </c>
      <c r="E40" s="29" t="n">
        <v>0.245</v>
      </c>
      <c r="F40" s="29" t="n">
        <v>0.26</v>
      </c>
      <c r="G40" s="6" t="n">
        <f aca="false">$F40+($L40-$F40)*G$17/5</f>
        <v>0.262</v>
      </c>
      <c r="H40" s="6" t="n">
        <f aca="false">$F40+($L40-$F40)*H$17/5</f>
        <v>0.264</v>
      </c>
      <c r="I40" s="6" t="n">
        <f aca="false">$F40+($L40-$F40)*I$17/5</f>
        <v>0.266</v>
      </c>
      <c r="J40" s="6" t="n">
        <f aca="false">$F40+($L40-$F40)*J$17/5</f>
        <v>0.268</v>
      </c>
      <c r="K40" s="6" t="n">
        <f aca="false">$F40+($L40-$F40)*K$17/5</f>
        <v>0.27</v>
      </c>
      <c r="L40" s="28" t="n">
        <v>0.27</v>
      </c>
    </row>
    <row r="41" customFormat="false" ht="15" hidden="false" customHeight="false" outlineLevel="0" collapsed="false">
      <c r="A41" s="0" t="s">
        <v>137</v>
      </c>
      <c r="B41" s="27" t="n">
        <f aca="false">B38*B40</f>
        <v>3.648</v>
      </c>
      <c r="C41" s="27" t="n">
        <f aca="false">C38*C40</f>
        <v>4.704</v>
      </c>
      <c r="D41" s="27" t="n">
        <f aca="false">D38*D40</f>
        <v>5.934</v>
      </c>
      <c r="E41" s="27" t="n">
        <f aca="false">E38*E40</f>
        <v>7.154</v>
      </c>
      <c r="F41" s="27" t="n">
        <f aca="false">F38*F40</f>
        <v>8.476</v>
      </c>
      <c r="G41" s="27" t="n">
        <f aca="false">G38*G40</f>
        <v>9.40514823013699</v>
      </c>
      <c r="H41" s="27" t="n">
        <f aca="false">H38*H40</f>
        <v>10.2906621633021</v>
      </c>
      <c r="I41" s="27" t="n">
        <f aca="false">I38*I40</f>
        <v>11.1003907542953</v>
      </c>
      <c r="J41" s="27" t="n">
        <f aca="false">J38*J40</f>
        <v>11.8021814901449</v>
      </c>
      <c r="K41" s="27" t="n">
        <f aca="false">K38*K40</f>
        <v>12.3658677702713</v>
      </c>
      <c r="L41" s="27" t="n">
        <f aca="false">L38*L40</f>
        <v>12.8605024810821</v>
      </c>
    </row>
    <row r="42" customFormat="false" ht="15" hidden="false" customHeight="false" outlineLevel="0" collapsed="false">
      <c r="A42" s="0" t="s">
        <v>138</v>
      </c>
      <c r="B42" s="27" t="n">
        <f aca="false">B41*(1-$B$9)</f>
        <v>2.9184</v>
      </c>
      <c r="C42" s="27" t="n">
        <f aca="false">C41*(1-$B$9)</f>
        <v>3.7632</v>
      </c>
      <c r="D42" s="27" t="n">
        <f aca="false">D41*(1-$B$9)</f>
        <v>4.7472</v>
      </c>
      <c r="E42" s="27" t="n">
        <f aca="false">E41*(1-$B$9)</f>
        <v>5.7232</v>
      </c>
      <c r="F42" s="27" t="n">
        <f aca="false">F41*(1-$B$9)</f>
        <v>6.7808</v>
      </c>
      <c r="G42" s="27" t="n">
        <f aca="false">G41*(1-$B$9)</f>
        <v>7.52411858410959</v>
      </c>
      <c r="H42" s="27" t="n">
        <f aca="false">H41*(1-$B$9)</f>
        <v>8.23252973064167</v>
      </c>
      <c r="I42" s="27" t="n">
        <f aca="false">I41*(1-$B$9)</f>
        <v>8.88031260343621</v>
      </c>
      <c r="J42" s="27" t="n">
        <f aca="false">J41*(1-$B$9)</f>
        <v>9.44174519211595</v>
      </c>
      <c r="K42" s="27" t="n">
        <f aca="false">K41*(1-$B$9)</f>
        <v>9.89269421621702</v>
      </c>
      <c r="L42" s="27" t="n">
        <f aca="false">L41*(1-$B$9)</f>
        <v>10.2884019848657</v>
      </c>
    </row>
    <row r="43" customFormat="false" ht="15" hidden="false" customHeight="false" outlineLevel="0" collapsed="false">
      <c r="A43" s="0" t="s">
        <v>139</v>
      </c>
      <c r="B43" s="29" t="n">
        <v>0.03</v>
      </c>
      <c r="C43" s="29" t="n">
        <v>0.03</v>
      </c>
      <c r="D43" s="29" t="n">
        <v>0.03</v>
      </c>
      <c r="E43" s="29" t="n">
        <v>0.03</v>
      </c>
      <c r="F43" s="29" t="n">
        <v>0.03</v>
      </c>
      <c r="G43" s="6" t="n">
        <f aca="false">$F43+($L43-$F43)*G$17/5</f>
        <v>0.028</v>
      </c>
      <c r="H43" s="6" t="n">
        <f aca="false">$F43+($L43-$F43)*H$17/5</f>
        <v>0.026</v>
      </c>
      <c r="I43" s="6" t="n">
        <f aca="false">$F43+($L43-$F43)*I$17/5</f>
        <v>0.024</v>
      </c>
      <c r="J43" s="6" t="n">
        <f aca="false">$F43+($L43-$F43)*J$17/5</f>
        <v>0.022</v>
      </c>
      <c r="K43" s="6" t="n">
        <f aca="false">$F43+($L43-$F43)*K$17/5</f>
        <v>0.02</v>
      </c>
      <c r="L43" s="28" t="n">
        <v>0.02</v>
      </c>
    </row>
    <row r="44" customFormat="false" ht="15" hidden="false" customHeight="false" outlineLevel="0" collapsed="false">
      <c r="A44" s="0" t="s">
        <v>140</v>
      </c>
      <c r="B44" s="27" t="n">
        <f aca="false">B38*B43</f>
        <v>0.576</v>
      </c>
      <c r="C44" s="27" t="n">
        <f aca="false">C38*C43</f>
        <v>0.672</v>
      </c>
      <c r="D44" s="27" t="n">
        <f aca="false">D38*D43</f>
        <v>0.774</v>
      </c>
      <c r="E44" s="27" t="n">
        <f aca="false">E38*E43</f>
        <v>0.876</v>
      </c>
      <c r="F44" s="27" t="n">
        <f aca="false">F38*F43</f>
        <v>0.978</v>
      </c>
      <c r="G44" s="27" t="n">
        <f aca="false">G38*G43</f>
        <v>1.00513034520548</v>
      </c>
      <c r="H44" s="27" t="n">
        <f aca="false">H38*H43</f>
        <v>1.01347430396157</v>
      </c>
      <c r="I44" s="27" t="n">
        <f aca="false">I38*I43</f>
        <v>1.00153901542514</v>
      </c>
      <c r="J44" s="27" t="n">
        <f aca="false">J38*J43</f>
        <v>0.968835793967122</v>
      </c>
      <c r="K44" s="27" t="n">
        <f aca="false">K38*K43</f>
        <v>0.915990205205279</v>
      </c>
      <c r="L44" s="27" t="n">
        <f aca="false">L38*L43</f>
        <v>0.95262981341349</v>
      </c>
    </row>
    <row r="45" customFormat="false" ht="15" hidden="false" customHeight="false" outlineLevel="0" collapsed="false">
      <c r="A45" s="0" t="s">
        <v>141</v>
      </c>
      <c r="B45" s="27" t="n">
        <f aca="false">$B$11*(B38-$B$12)</f>
        <v>-0.149</v>
      </c>
      <c r="C45" s="27" t="n">
        <f aca="false">$B$11*(C38-B38)</f>
        <v>-0.16</v>
      </c>
      <c r="D45" s="27" t="n">
        <f aca="false">$B$11*(D38-C38)</f>
        <v>-0.17</v>
      </c>
      <c r="E45" s="27" t="n">
        <f aca="false">$B$11*(E38-D38)</f>
        <v>-0.17</v>
      </c>
      <c r="F45" s="27" t="n">
        <f aca="false">$B$11*(F38-E38)</f>
        <v>-0.17</v>
      </c>
      <c r="G45" s="27" t="n">
        <f aca="false">$B$11*(G38-F38)</f>
        <v>-0.164875616438356</v>
      </c>
      <c r="H45" s="27" t="n">
        <f aca="false">$B$11*(H38-G38)</f>
        <v>-0.154113429641584</v>
      </c>
      <c r="I45" s="27" t="n">
        <f aca="false">$B$11*(I38-H38)</f>
        <v>-0.137550569389094</v>
      </c>
      <c r="J45" s="27" t="n">
        <f aca="false">$B$11*(J38-I38)</f>
        <v>-0.115359916274425</v>
      </c>
      <c r="K45" s="27" t="n">
        <f aca="false">$B$11*(K38-J38)</f>
        <v>-0.0880759812697384</v>
      </c>
      <c r="L45" s="27" t="n">
        <f aca="false">$B$11*(L38-K38)</f>
        <v>-0.0915990205205279</v>
      </c>
    </row>
    <row r="46" customFormat="false" ht="15" hidden="false" customHeight="false" outlineLevel="0" collapsed="false">
      <c r="A46" s="0" t="s">
        <v>142</v>
      </c>
      <c r="B46" s="27" t="n">
        <f aca="false">B42-B44-B45</f>
        <v>2.4914</v>
      </c>
      <c r="C46" s="27" t="n">
        <f aca="false">C42-C44-C45</f>
        <v>3.2512</v>
      </c>
      <c r="D46" s="27" t="n">
        <f aca="false">D42-D44-D45</f>
        <v>4.1432</v>
      </c>
      <c r="E46" s="27" t="n">
        <f aca="false">E42-E44-E45</f>
        <v>5.0172</v>
      </c>
      <c r="F46" s="27" t="n">
        <f aca="false">F42-F44-F45</f>
        <v>5.9728</v>
      </c>
      <c r="G46" s="27" t="n">
        <f aca="false">G42-G44-G45</f>
        <v>6.68386385534247</v>
      </c>
      <c r="H46" s="27" t="n">
        <f aca="false">H42-H44-H45</f>
        <v>7.37316885632168</v>
      </c>
      <c r="I46" s="27" t="n">
        <f aca="false">I42-I44-I45</f>
        <v>8.01632415740017</v>
      </c>
      <c r="J46" s="27" t="n">
        <f aca="false">J42-J44-J45</f>
        <v>8.58826931442326</v>
      </c>
      <c r="K46" s="27" t="n">
        <f aca="false">K42-K44-K45</f>
        <v>9.06477999228147</v>
      </c>
      <c r="L46" s="27" t="n">
        <f aca="false">L42-L44-L45</f>
        <v>9.42737119197273</v>
      </c>
    </row>
    <row r="47" customFormat="false" ht="15" hidden="false" customHeight="false" outlineLevel="0" collapsed="false">
      <c r="A47" s="0" t="s">
        <v>143</v>
      </c>
      <c r="B47" s="30" t="n">
        <f aca="false">1/(1+$B$10)^B$16</f>
        <v>0.955636965134993</v>
      </c>
      <c r="C47" s="30" t="n">
        <f aca="false">1/(1+$B$10)^C$16</f>
        <v>0.87272782204109</v>
      </c>
      <c r="D47" s="30" t="n">
        <f aca="false">1/(1+$B$10)^D$16</f>
        <v>0.797011709626566</v>
      </c>
      <c r="E47" s="30" t="n">
        <f aca="false">1/(1+$B$10)^E$16</f>
        <v>0.72786457500143</v>
      </c>
      <c r="F47" s="30" t="n">
        <f aca="false">1/(1+$B$10)^F$16</f>
        <v>0.664716506850621</v>
      </c>
      <c r="G47" s="30" t="n">
        <f aca="false">1/(1+$B$10)^G$16</f>
        <v>0.607047038219745</v>
      </c>
      <c r="H47" s="30" t="n">
        <f aca="false">1/(1+$B$10)^H$16</f>
        <v>0.554380856821685</v>
      </c>
      <c r="I47" s="30" t="n">
        <f aca="false">1/(1+$B$10)^I$16</f>
        <v>0.506283887508388</v>
      </c>
      <c r="J47" s="30" t="n">
        <f aca="false">1/(1+$B$10)^J$16</f>
        <v>0.462359714619533</v>
      </c>
      <c r="K47" s="30" t="n">
        <f aca="false">1/(1+$B$10)^K$16</f>
        <v>0.422246314721034</v>
      </c>
    </row>
    <row r="48" customFormat="false" ht="15" hidden="false" customHeight="false" outlineLevel="0" collapsed="false">
      <c r="A48" s="0" t="s">
        <v>144</v>
      </c>
      <c r="B48" s="27" t="n">
        <f aca="false">B46*B47</f>
        <v>2.38087393493732</v>
      </c>
      <c r="C48" s="27" t="n">
        <f aca="false">C46*C47</f>
        <v>2.83741269501999</v>
      </c>
      <c r="D48" s="27" t="n">
        <f aca="false">D46*D47</f>
        <v>3.30217891532479</v>
      </c>
      <c r="E48" s="27" t="n">
        <f aca="false">E46*E47</f>
        <v>3.65184214569718</v>
      </c>
      <c r="F48" s="27" t="n">
        <f aca="false">F46*F47</f>
        <v>3.97021875211739</v>
      </c>
      <c r="G48" s="27" t="n">
        <f aca="false">G46*G47</f>
        <v>4.05741975724965</v>
      </c>
      <c r="H48" s="27" t="n">
        <f aca="false">H46*H47</f>
        <v>4.08754366805858</v>
      </c>
      <c r="I48" s="27" t="n">
        <f aca="false">I46*I47</f>
        <v>4.05853575793596</v>
      </c>
      <c r="J48" s="27" t="n">
        <f aca="false">J46*J47</f>
        <v>3.97086974929243</v>
      </c>
      <c r="K48" s="27" t="n">
        <f aca="false">K46*K47</f>
        <v>3.82756994549782</v>
      </c>
      <c r="L48" s="27"/>
    </row>
    <row r="49" customFormat="false" ht="15" hidden="false" customHeight="false" outlineLevel="0" collapsed="false">
      <c r="A49" s="0" t="s">
        <v>145</v>
      </c>
      <c r="B49" s="27" t="n">
        <f aca="false">L46/($B$10-L39)</f>
        <v>171.406748944959</v>
      </c>
      <c r="C49" s="0" t="str">
        <f aca="false">IF($B$10&gt;L39,"","Discount rate must exceed terminal growth")</f>
        <v/>
      </c>
    </row>
    <row r="50" customFormat="false" ht="15" hidden="false" customHeight="false" outlineLevel="0" collapsed="false">
      <c r="A50" s="0" t="s">
        <v>146</v>
      </c>
      <c r="B50" s="27" t="n">
        <f aca="false">B49/(1+$B$10)^$K$16</f>
        <v>72.3758680603224</v>
      </c>
    </row>
    <row r="51" customFormat="false" ht="15" hidden="false" customHeight="false" outlineLevel="0" collapsed="false">
      <c r="A51" s="0" t="s">
        <v>147</v>
      </c>
      <c r="B51" s="27" t="n">
        <f aca="false">SUM(B48:K48)+B50+$B$7+$B$8</f>
        <v>106.770333381454</v>
      </c>
    </row>
    <row r="52" customFormat="false" ht="15" hidden="false" customHeight="false" outlineLevel="0" collapsed="false">
      <c r="A52" s="0" t="s">
        <v>148</v>
      </c>
      <c r="B52" s="31" t="n">
        <f aca="false">B51/$B$6</f>
        <v>103.660517846071</v>
      </c>
    </row>
    <row r="53" customFormat="false" ht="15" hidden="false" customHeight="false" outlineLevel="0" collapsed="false">
      <c r="A53" s="0" t="s">
        <v>149</v>
      </c>
      <c r="B53" s="6" t="n">
        <f aca="false">B52/$B$4-1</f>
        <v>-0.339068363644023</v>
      </c>
    </row>
    <row r="55" customFormat="false" ht="15" hidden="false" customHeight="false" outlineLevel="0" collapsed="false">
      <c r="A55" s="12" t="s">
        <v>192</v>
      </c>
      <c r="B55" s="26"/>
      <c r="C55" s="26"/>
      <c r="D55" s="26"/>
      <c r="E55" s="26"/>
      <c r="F55" s="26"/>
      <c r="G55" s="26"/>
      <c r="H55" s="26"/>
      <c r="I55" s="26"/>
      <c r="J55" s="26"/>
      <c r="K55" s="26"/>
      <c r="L55" s="26"/>
    </row>
    <row r="56" customFormat="false" ht="15" hidden="false" customHeight="false" outlineLevel="0" collapsed="false">
      <c r="A56" s="0" t="s">
        <v>134</v>
      </c>
      <c r="B56" s="22" t="n">
        <v>19.6</v>
      </c>
      <c r="C56" s="22" t="n">
        <v>23.6</v>
      </c>
      <c r="D56" s="22" t="n">
        <v>28</v>
      </c>
      <c r="E56" s="22" t="n">
        <v>32.7</v>
      </c>
      <c r="F56" s="22" t="n">
        <v>37.6</v>
      </c>
      <c r="G56" s="27" t="n">
        <f aca="false">F56*(1+$F57+($L57-$F57)*G$17/5)</f>
        <v>42.4458006116208</v>
      </c>
      <c r="H56" s="27" t="n">
        <f aca="false">G56*(1+$F57+($L57-$F57)*H$17/5)</f>
        <v>47.026052967528</v>
      </c>
      <c r="I56" s="27" t="n">
        <f aca="false">H56*(1+$F57+($L57-$F57)*I$17/5)</f>
        <v>51.1144433645122</v>
      </c>
      <c r="J56" s="27" t="n">
        <f aca="false">I56*(1+$F57+($L57-$F57)*J$17/5)</f>
        <v>54.4864334937454</v>
      </c>
      <c r="K56" s="27" t="n">
        <f aca="false">J56*(1+$F57+($L57-$F57)*K$17/5)</f>
        <v>56.938323000964</v>
      </c>
      <c r="L56" s="27" t="n">
        <f aca="false">K56*(1+L57)</f>
        <v>59.5005475360074</v>
      </c>
    </row>
    <row r="57" customFormat="false" ht="15" hidden="false" customHeight="false" outlineLevel="0" collapsed="false">
      <c r="A57" s="0" t="s">
        <v>135</v>
      </c>
      <c r="B57" s="6" t="n">
        <f aca="false">B56/$B$12-1</f>
        <v>0.208384710234279</v>
      </c>
      <c r="C57" s="6" t="n">
        <f aca="false">C56/B56-1</f>
        <v>0.204081632653061</v>
      </c>
      <c r="D57" s="6" t="n">
        <f aca="false">D56/C56-1</f>
        <v>0.186440677966102</v>
      </c>
      <c r="E57" s="6" t="n">
        <f aca="false">E56/D56-1</f>
        <v>0.167857142857143</v>
      </c>
      <c r="F57" s="6" t="n">
        <f aca="false">F56/E56-1</f>
        <v>0.149847094801223</v>
      </c>
      <c r="G57" s="6" t="n">
        <f aca="false">G56/F56-1</f>
        <v>0.128877675840978</v>
      </c>
      <c r="H57" s="6" t="n">
        <f aca="false">H56/G56-1</f>
        <v>0.107908256880734</v>
      </c>
      <c r="I57" s="6" t="n">
        <f aca="false">I56/H56-1</f>
        <v>0.0869388379204892</v>
      </c>
      <c r="J57" s="6" t="n">
        <f aca="false">J56/I56-1</f>
        <v>0.0659694189602447</v>
      </c>
      <c r="K57" s="6" t="n">
        <f aca="false">K56/J56-1</f>
        <v>0.0449999999999999</v>
      </c>
      <c r="L57" s="28" t="n">
        <v>0.045</v>
      </c>
    </row>
    <row r="58" customFormat="false" ht="15" hidden="false" customHeight="false" outlineLevel="0" collapsed="false">
      <c r="A58" s="0" t="s">
        <v>136</v>
      </c>
      <c r="B58" s="29" t="n">
        <v>0.2</v>
      </c>
      <c r="C58" s="29" t="n">
        <v>0.23</v>
      </c>
      <c r="D58" s="29" t="n">
        <v>0.25</v>
      </c>
      <c r="E58" s="29" t="n">
        <v>0.27</v>
      </c>
      <c r="F58" s="29" t="n">
        <v>0.28</v>
      </c>
      <c r="G58" s="6" t="n">
        <f aca="false">$F58+($L58-$F58)*G$17/5</f>
        <v>0.284</v>
      </c>
      <c r="H58" s="6" t="n">
        <f aca="false">$F58+($L58-$F58)*H$17/5</f>
        <v>0.288</v>
      </c>
      <c r="I58" s="6" t="n">
        <f aca="false">$F58+($L58-$F58)*I$17/5</f>
        <v>0.292</v>
      </c>
      <c r="J58" s="6" t="n">
        <f aca="false">$F58+($L58-$F58)*J$17/5</f>
        <v>0.296</v>
      </c>
      <c r="K58" s="6" t="n">
        <f aca="false">$F58+($L58-$F58)*K$17/5</f>
        <v>0.3</v>
      </c>
      <c r="L58" s="28" t="n">
        <v>0.3</v>
      </c>
    </row>
    <row r="59" customFormat="false" ht="15" hidden="false" customHeight="false" outlineLevel="0" collapsed="false">
      <c r="A59" s="0" t="s">
        <v>137</v>
      </c>
      <c r="B59" s="27" t="n">
        <f aca="false">B56*B58</f>
        <v>3.92</v>
      </c>
      <c r="C59" s="27" t="n">
        <f aca="false">C56*C58</f>
        <v>5.428</v>
      </c>
      <c r="D59" s="27" t="n">
        <f aca="false">D56*D58</f>
        <v>7</v>
      </c>
      <c r="E59" s="27" t="n">
        <f aca="false">E56*E58</f>
        <v>8.829</v>
      </c>
      <c r="F59" s="27" t="n">
        <f aca="false">F56*F58</f>
        <v>10.528</v>
      </c>
      <c r="G59" s="27" t="n">
        <f aca="false">G56*G58</f>
        <v>12.0546073737003</v>
      </c>
      <c r="H59" s="27" t="n">
        <f aca="false">H56*H58</f>
        <v>13.5435032546481</v>
      </c>
      <c r="I59" s="27" t="n">
        <f aca="false">I56*I58</f>
        <v>14.9254174624376</v>
      </c>
      <c r="J59" s="27" t="n">
        <f aca="false">J56*J58</f>
        <v>16.1279843141486</v>
      </c>
      <c r="K59" s="27" t="n">
        <f aca="false">K56*K58</f>
        <v>17.0814969002892</v>
      </c>
      <c r="L59" s="27" t="n">
        <f aca="false">L56*L58</f>
        <v>17.8501642608022</v>
      </c>
    </row>
    <row r="60" customFormat="false" ht="15" hidden="false" customHeight="false" outlineLevel="0" collapsed="false">
      <c r="A60" s="0" t="s">
        <v>138</v>
      </c>
      <c r="B60" s="27" t="n">
        <f aca="false">B59*(1-$B$9)</f>
        <v>3.136</v>
      </c>
      <c r="C60" s="27" t="n">
        <f aca="false">C59*(1-$B$9)</f>
        <v>4.3424</v>
      </c>
      <c r="D60" s="27" t="n">
        <f aca="false">D59*(1-$B$9)</f>
        <v>5.6</v>
      </c>
      <c r="E60" s="27" t="n">
        <f aca="false">E59*(1-$B$9)</f>
        <v>7.0632</v>
      </c>
      <c r="F60" s="27" t="n">
        <f aca="false">F59*(1-$B$9)</f>
        <v>8.4224</v>
      </c>
      <c r="G60" s="27" t="n">
        <f aca="false">G59*(1-$B$9)</f>
        <v>9.64368589896025</v>
      </c>
      <c r="H60" s="27" t="n">
        <f aca="false">H59*(1-$B$9)</f>
        <v>10.8348026037185</v>
      </c>
      <c r="I60" s="27" t="n">
        <f aca="false">I59*(1-$B$9)</f>
        <v>11.9403339699501</v>
      </c>
      <c r="J60" s="27" t="n">
        <f aca="false">J59*(1-$B$9)</f>
        <v>12.9023874513189</v>
      </c>
      <c r="K60" s="27" t="n">
        <f aca="false">K59*(1-$B$9)</f>
        <v>13.6651975202314</v>
      </c>
      <c r="L60" s="27" t="n">
        <f aca="false">L59*(1-$B$9)</f>
        <v>14.2801314086418</v>
      </c>
    </row>
    <row r="61" customFormat="false" ht="15" hidden="false" customHeight="false" outlineLevel="0" collapsed="false">
      <c r="A61" s="0" t="s">
        <v>139</v>
      </c>
      <c r="B61" s="29" t="n">
        <v>0.03</v>
      </c>
      <c r="C61" s="29" t="n">
        <v>0.03</v>
      </c>
      <c r="D61" s="29" t="n">
        <v>0.03</v>
      </c>
      <c r="E61" s="29" t="n">
        <v>0.03</v>
      </c>
      <c r="F61" s="29" t="n">
        <v>0.03</v>
      </c>
      <c r="G61" s="6" t="n">
        <f aca="false">$F61+($L61-$F61)*G$17/5</f>
        <v>0.028</v>
      </c>
      <c r="H61" s="6" t="n">
        <f aca="false">$F61+($L61-$F61)*H$17/5</f>
        <v>0.026</v>
      </c>
      <c r="I61" s="6" t="n">
        <f aca="false">$F61+($L61-$F61)*I$17/5</f>
        <v>0.024</v>
      </c>
      <c r="J61" s="6" t="n">
        <f aca="false">$F61+($L61-$F61)*J$17/5</f>
        <v>0.022</v>
      </c>
      <c r="K61" s="6" t="n">
        <f aca="false">$F61+($L61-$F61)*K$17/5</f>
        <v>0.02</v>
      </c>
      <c r="L61" s="28" t="n">
        <v>0.02</v>
      </c>
    </row>
    <row r="62" customFormat="false" ht="15" hidden="false" customHeight="false" outlineLevel="0" collapsed="false">
      <c r="A62" s="0" t="s">
        <v>140</v>
      </c>
      <c r="B62" s="27" t="n">
        <f aca="false">B56*B61</f>
        <v>0.588</v>
      </c>
      <c r="C62" s="27" t="n">
        <f aca="false">C56*C61</f>
        <v>0.708</v>
      </c>
      <c r="D62" s="27" t="n">
        <f aca="false">D56*D61</f>
        <v>0.84</v>
      </c>
      <c r="E62" s="27" t="n">
        <f aca="false">E56*E61</f>
        <v>0.981</v>
      </c>
      <c r="F62" s="27" t="n">
        <f aca="false">F56*F61</f>
        <v>1.128</v>
      </c>
      <c r="G62" s="27" t="n">
        <f aca="false">G56*G61</f>
        <v>1.18848241712538</v>
      </c>
      <c r="H62" s="27" t="n">
        <f aca="false">H56*H61</f>
        <v>1.22267737715573</v>
      </c>
      <c r="I62" s="27" t="n">
        <f aca="false">I56*I61</f>
        <v>1.22674664074829</v>
      </c>
      <c r="J62" s="27" t="n">
        <f aca="false">J56*J61</f>
        <v>1.1987015368624</v>
      </c>
      <c r="K62" s="27" t="n">
        <f aca="false">K56*K61</f>
        <v>1.13876646001928</v>
      </c>
      <c r="L62" s="27" t="n">
        <f aca="false">L56*L61</f>
        <v>1.19001095072015</v>
      </c>
    </row>
    <row r="63" customFormat="false" ht="15" hidden="false" customHeight="false" outlineLevel="0" collapsed="false">
      <c r="A63" s="0" t="s">
        <v>141</v>
      </c>
      <c r="B63" s="27" t="n">
        <f aca="false">$B$11*(B56-$B$12)</f>
        <v>-0.169</v>
      </c>
      <c r="C63" s="27" t="n">
        <f aca="false">$B$11*(C56-B56)</f>
        <v>-0.2</v>
      </c>
      <c r="D63" s="27" t="n">
        <f aca="false">$B$11*(D56-C56)</f>
        <v>-0.22</v>
      </c>
      <c r="E63" s="27" t="n">
        <f aca="false">$B$11*(E56-D56)</f>
        <v>-0.235</v>
      </c>
      <c r="F63" s="27" t="n">
        <f aca="false">$B$11*(F56-E56)</f>
        <v>-0.245</v>
      </c>
      <c r="G63" s="27" t="n">
        <f aca="false">$B$11*(G56-F56)</f>
        <v>-0.242290030581039</v>
      </c>
      <c r="H63" s="27" t="n">
        <f aca="false">$B$11*(H56-G56)</f>
        <v>-0.22901261779536</v>
      </c>
      <c r="I63" s="27" t="n">
        <f aca="false">$B$11*(I56-H56)</f>
        <v>-0.204419519849213</v>
      </c>
      <c r="J63" s="27" t="n">
        <f aca="false">$B$11*(J56-I56)</f>
        <v>-0.16859950646166</v>
      </c>
      <c r="K63" s="27" t="n">
        <f aca="false">$B$11*(K56-J56)</f>
        <v>-0.122594475360927</v>
      </c>
      <c r="L63" s="27" t="n">
        <f aca="false">$B$11*(L56-K56)</f>
        <v>-0.128111226752169</v>
      </c>
    </row>
    <row r="64" customFormat="false" ht="15" hidden="false" customHeight="false" outlineLevel="0" collapsed="false">
      <c r="A64" s="0" t="s">
        <v>142</v>
      </c>
      <c r="B64" s="27" t="n">
        <f aca="false">B60-B62-B63</f>
        <v>2.717</v>
      </c>
      <c r="C64" s="27" t="n">
        <f aca="false">C60-C62-C63</f>
        <v>3.8344</v>
      </c>
      <c r="D64" s="27" t="n">
        <f aca="false">D60-D62-D63</f>
        <v>4.98</v>
      </c>
      <c r="E64" s="27" t="n">
        <f aca="false">E60-E62-E63</f>
        <v>6.3172</v>
      </c>
      <c r="F64" s="27" t="n">
        <f aca="false">F60-F62-F63</f>
        <v>7.5394</v>
      </c>
      <c r="G64" s="27" t="n">
        <f aca="false">G60-G62-G63</f>
        <v>8.6974935124159</v>
      </c>
      <c r="H64" s="27" t="n">
        <f aca="false">H60-H62-H63</f>
        <v>9.84113784435808</v>
      </c>
      <c r="I64" s="27" t="n">
        <f aca="false">I60-I62-I63</f>
        <v>10.918006849051</v>
      </c>
      <c r="J64" s="27" t="n">
        <f aca="false">J60-J62-J63</f>
        <v>11.8722854209182</v>
      </c>
      <c r="K64" s="27" t="n">
        <f aca="false">K60-K62-K63</f>
        <v>12.649025535573</v>
      </c>
      <c r="L64" s="27" t="n">
        <f aca="false">L60-L62-L63</f>
        <v>13.2182316846738</v>
      </c>
    </row>
    <row r="65" customFormat="false" ht="15" hidden="false" customHeight="false" outlineLevel="0" collapsed="false">
      <c r="A65" s="0" t="s">
        <v>143</v>
      </c>
      <c r="B65" s="30" t="n">
        <f aca="false">1/(1+$B$10)^B$16</f>
        <v>0.955636965134993</v>
      </c>
      <c r="C65" s="30" t="n">
        <f aca="false">1/(1+$B$10)^C$16</f>
        <v>0.87272782204109</v>
      </c>
      <c r="D65" s="30" t="n">
        <f aca="false">1/(1+$B$10)^D$16</f>
        <v>0.797011709626566</v>
      </c>
      <c r="E65" s="30" t="n">
        <f aca="false">1/(1+$B$10)^E$16</f>
        <v>0.72786457500143</v>
      </c>
      <c r="F65" s="30" t="n">
        <f aca="false">1/(1+$B$10)^F$16</f>
        <v>0.664716506850621</v>
      </c>
      <c r="G65" s="30" t="n">
        <f aca="false">1/(1+$B$10)^G$16</f>
        <v>0.607047038219745</v>
      </c>
      <c r="H65" s="30" t="n">
        <f aca="false">1/(1+$B$10)^H$16</f>
        <v>0.554380856821685</v>
      </c>
      <c r="I65" s="30" t="n">
        <f aca="false">1/(1+$B$10)^I$16</f>
        <v>0.506283887508388</v>
      </c>
      <c r="J65" s="30" t="n">
        <f aca="false">1/(1+$B$10)^J$16</f>
        <v>0.462359714619533</v>
      </c>
      <c r="K65" s="30" t="n">
        <f aca="false">1/(1+$B$10)^K$16</f>
        <v>0.422246314721034</v>
      </c>
    </row>
    <row r="66" customFormat="false" ht="15" hidden="false" customHeight="false" outlineLevel="0" collapsed="false">
      <c r="A66" s="0" t="s">
        <v>144</v>
      </c>
      <c r="B66" s="27" t="n">
        <f aca="false">B64*B65</f>
        <v>2.59646563427178</v>
      </c>
      <c r="C66" s="27" t="n">
        <f aca="false">C64*C65</f>
        <v>3.34638756083435</v>
      </c>
      <c r="D66" s="27" t="n">
        <f aca="false">D64*D65</f>
        <v>3.9691183139403</v>
      </c>
      <c r="E66" s="27" t="n">
        <f aca="false">E64*E65</f>
        <v>4.59806609319904</v>
      </c>
      <c r="F66" s="27" t="n">
        <f aca="false">F64*F65</f>
        <v>5.01156363174957</v>
      </c>
      <c r="G66" s="27" t="n">
        <f aca="false">G64*G65</f>
        <v>5.27978767664752</v>
      </c>
      <c r="H66" s="27" t="n">
        <f aca="false">H64*H65</f>
        <v>5.45573843025555</v>
      </c>
      <c r="I66" s="27" t="n">
        <f aca="false">I64*I65</f>
        <v>5.52761095138074</v>
      </c>
      <c r="J66" s="27" t="n">
        <f aca="false">J64*J65</f>
        <v>5.48926649909737</v>
      </c>
      <c r="K66" s="27" t="n">
        <f aca="false">K64*K65</f>
        <v>5.34100441720796</v>
      </c>
      <c r="L66" s="27"/>
    </row>
    <row r="67" customFormat="false" ht="15" hidden="false" customHeight="false" outlineLevel="0" collapsed="false">
      <c r="A67" s="0" t="s">
        <v>145</v>
      </c>
      <c r="B67" s="27" t="n">
        <f aca="false">L64/($B$10-L57)</f>
        <v>264.364633693476</v>
      </c>
      <c r="C67" s="0" t="str">
        <f aca="false">IF($B$10&gt;L57,"","Discount rate must exceed terminal growth")</f>
        <v/>
      </c>
    </row>
    <row r="68" customFormat="false" ht="15" hidden="false" customHeight="false" outlineLevel="0" collapsed="false">
      <c r="A68" s="0" t="s">
        <v>146</v>
      </c>
      <c r="B68" s="27" t="n">
        <f aca="false">B67/(1+$B$10)^$K$16</f>
        <v>111.626992319646</v>
      </c>
    </row>
    <row r="69" customFormat="false" ht="15" hidden="false" customHeight="false" outlineLevel="0" collapsed="false">
      <c r="A69" s="0" t="s">
        <v>147</v>
      </c>
      <c r="B69" s="27" t="n">
        <f aca="false">SUM(B66:K66)+B68+$B$7+$B$8</f>
        <v>156.492001528231</v>
      </c>
    </row>
    <row r="70" customFormat="false" ht="15" hidden="false" customHeight="false" outlineLevel="0" collapsed="false">
      <c r="A70" s="0" t="s">
        <v>148</v>
      </c>
      <c r="B70" s="31" t="n">
        <f aca="false">B69/$B$6</f>
        <v>151.933982066243</v>
      </c>
    </row>
    <row r="71" customFormat="false" ht="15" hidden="false" customHeight="false" outlineLevel="0" collapsed="false">
      <c r="A71" s="0" t="s">
        <v>149</v>
      </c>
      <c r="B71" s="6" t="n">
        <f aca="false">B70/$B$4-1</f>
        <v>-0.0312803999856973</v>
      </c>
    </row>
    <row r="74" customFormat="false" ht="15" hidden="false" customHeight="false" outlineLevel="0" collapsed="false">
      <c r="A74" s="12" t="s">
        <v>152</v>
      </c>
      <c r="B74" s="26"/>
      <c r="C74" s="12" t="s">
        <v>153</v>
      </c>
      <c r="D74" s="26"/>
      <c r="E74" s="26"/>
      <c r="F74" s="26"/>
      <c r="G74" s="26"/>
      <c r="H74" s="26"/>
      <c r="I74" s="26"/>
      <c r="J74" s="26"/>
      <c r="K74" s="26"/>
      <c r="L74" s="26"/>
    </row>
    <row r="75" customFormat="false" ht="15" hidden="false" customHeight="false" outlineLevel="0" collapsed="false">
      <c r="A75" s="0" t="s">
        <v>154</v>
      </c>
      <c r="B75" s="7" t="n">
        <f aca="false">B34</f>
        <v>58.8528253261598</v>
      </c>
      <c r="C75" s="6" t="n">
        <f aca="false">B75/$B$4-1</f>
        <v>-0.624758828575875</v>
      </c>
    </row>
    <row r="76" customFormat="false" ht="15" hidden="false" customHeight="false" outlineLevel="0" collapsed="false">
      <c r="A76" s="0" t="s">
        <v>155</v>
      </c>
      <c r="B76" s="7" t="n">
        <f aca="false">B52</f>
        <v>103.660517846071</v>
      </c>
      <c r="C76" s="6" t="n">
        <f aca="false">B76/$B$4-1</f>
        <v>-0.339068363644023</v>
      </c>
    </row>
    <row r="77" customFormat="false" ht="15" hidden="false" customHeight="false" outlineLevel="0" collapsed="false">
      <c r="A77" s="0" t="s">
        <v>156</v>
      </c>
      <c r="B77" s="7" t="n">
        <f aca="false">B70</f>
        <v>151.933982066243</v>
      </c>
      <c r="C77" s="6" t="n">
        <f aca="false">B77/$B$4-1</f>
        <v>-0.0312803999856973</v>
      </c>
    </row>
    <row r="78" customFormat="false" ht="15" hidden="false" customHeight="false" outlineLevel="0" collapsed="false">
      <c r="A78" s="0" t="s">
        <v>157</v>
      </c>
      <c r="B78" s="7" t="n">
        <f aca="false">INDEX(B34:B70,1+($B$13-1)*18)</f>
        <v>103.660517846071</v>
      </c>
      <c r="C78" s="6" t="n">
        <f aca="false">B78/$B$4-1</f>
        <v>-0.339068363644023</v>
      </c>
    </row>
    <row r="79" customFormat="false" ht="15" hidden="false" customHeight="false" outlineLevel="0" collapsed="false">
      <c r="A79" s="0" t="s">
        <v>158</v>
      </c>
      <c r="B79" s="8" t="n">
        <f aca="false">B50/(SUM(B48:K48)+B50)</f>
        <v>0.666933705464378</v>
      </c>
    </row>
    <row r="81" customFormat="false" ht="15" hidden="false" customHeight="false" outlineLevel="0" collapsed="false">
      <c r="A81" s="9" t="s">
        <v>159</v>
      </c>
    </row>
    <row r="82" customFormat="false" ht="15" hidden="false" customHeight="false" outlineLevel="0" collapsed="false">
      <c r="A82" s="0" t="s">
        <v>5</v>
      </c>
      <c r="B82" s="11" t="n">
        <v>0.05</v>
      </c>
      <c r="C82" s="11" t="n">
        <v>0.06</v>
      </c>
      <c r="D82" s="11" t="n">
        <v>0.07</v>
      </c>
      <c r="E82" s="11" t="n">
        <v>0.08</v>
      </c>
      <c r="F82" s="11" t="n">
        <v>0.09</v>
      </c>
      <c r="G82" s="11" t="n">
        <v>0.1</v>
      </c>
      <c r="H82" s="11" t="n">
        <v>0.11</v>
      </c>
      <c r="I82" s="11" t="n">
        <v>0.12</v>
      </c>
      <c r="J82" s="11" t="n">
        <v>0.13</v>
      </c>
      <c r="K82" s="11" t="n">
        <v>0.14</v>
      </c>
    </row>
    <row r="83" customFormat="false" ht="15" hidden="false" customHeight="false" outlineLevel="0" collapsed="false">
      <c r="A83" s="0" t="s">
        <v>155</v>
      </c>
      <c r="B83" s="7" t="n">
        <f aca="false">IF(B82&gt;$L39,(SUMPRODUCT($B46:$K46/(1+B82)^$B$16:$K$16)+$L46/(B82-$L39)/(1+B82)^$K$16+$B$7+$B$8)/$B$6,"n/a")</f>
        <v>618.312595065672</v>
      </c>
      <c r="C83" s="7" t="n">
        <f aca="false">IF(C82&gt;$L39,(SUMPRODUCT($B46:$K46/(1+C82)^$B$16:$K$16)+$L46/(C82-$L39)/(1+C82)^$K$16+$B$7+$B$8)/$B$6,"n/a")</f>
        <v>303.331295200872</v>
      </c>
      <c r="D83" s="7" t="n">
        <f aca="false">IF(D82&gt;$L39,(SUMPRODUCT($B46:$K46/(1+D82)^$B$16:$K$16)+$L46/(D82-$L39)/(1+D82)^$K$16+$B$7+$B$8)/$B$6,"n/a")</f>
        <v>198.527621986931</v>
      </c>
      <c r="E83" s="7" t="n">
        <f aca="false">IF(E82&gt;$L39,(SUMPRODUCT($B46:$K46/(1+E82)^$B$16:$K$16)+$L46/(E82-$L39)/(1+E82)^$K$16+$B$7+$B$8)/$B$6,"n/a")</f>
        <v>146.258709049454</v>
      </c>
      <c r="F83" s="7" t="n">
        <f aca="false">IF(F82&gt;$L39,(SUMPRODUCT($B46:$K46/(1+F82)^$B$16:$K$16)+$L46/(F82-$L39)/(1+F82)^$K$16+$B$7+$B$8)/$B$6,"n/a")</f>
        <v>114.996601171465</v>
      </c>
      <c r="G83" s="7" t="n">
        <f aca="false">IF(G82&gt;$L39,(SUMPRODUCT($B46:$K46/(1+G82)^$B$16:$K$16)+$L46/(G82-$L39)/(1+G82)^$K$16+$B$7+$B$8)/$B$6,"n/a")</f>
        <v>94.2324479617951</v>
      </c>
      <c r="H83" s="7" t="n">
        <f aca="false">IF(H82&gt;$L39,(SUMPRODUCT($B46:$K46/(1+H82)^$B$16:$K$16)+$L46/(H82-$L39)/(1+H82)^$K$16+$B$7+$B$8)/$B$6,"n/a")</f>
        <v>79.4628213320494</v>
      </c>
      <c r="I83" s="7" t="n">
        <f aca="false">IF(I82&gt;$L39,(SUMPRODUCT($B46:$K46/(1+I82)^$B$16:$K$16)+$L46/(I82-$L39)/(1+I82)^$K$16+$B$7+$B$8)/$B$6,"n/a")</f>
        <v>68.4362980512501</v>
      </c>
      <c r="J83" s="7" t="n">
        <f aca="false">IF(J82&gt;$L39,(SUMPRODUCT($B46:$K46/(1+J82)^$B$16:$K$16)+$L46/(J82-$L39)/(1+J82)^$K$16+$B$7+$B$8)/$B$6,"n/a")</f>
        <v>59.9023231172952</v>
      </c>
      <c r="K83" s="7" t="n">
        <f aca="false">IF(K82&gt;$L39,(SUMPRODUCT($B46:$K46/(1+K82)^$B$16:$K$16)+$L46/(K82-$L39)/(1+K82)^$K$16+$B$7+$B$8)/$B$6,"n/a")</f>
        <v>53.1107571264277</v>
      </c>
    </row>
    <row r="84" customFormat="false" ht="15" hidden="false" customHeight="false" outlineLevel="0" collapsed="false">
      <c r="A84" s="0" t="s">
        <v>160</v>
      </c>
      <c r="B84" s="6" t="n">
        <f aca="false">IFERROR(B83/$B$4-1,"n/a")</f>
        <v>2.94231442913588</v>
      </c>
      <c r="C84" s="6" t="n">
        <f aca="false">IFERROR(C83/$B$4-1,"n/a")</f>
        <v>0.934017439434276</v>
      </c>
      <c r="D84" s="6" t="n">
        <f aca="false">IFERROR(D83/$B$4-1,"n/a")</f>
        <v>0.265797130750646</v>
      </c>
      <c r="E84" s="6" t="n">
        <f aca="false">IFERROR(E83/$B$4-1,"n/a")</f>
        <v>-0.0674655123090162</v>
      </c>
      <c r="F84" s="6" t="n">
        <f aca="false">IFERROR(F83/$B$4-1,"n/a")</f>
        <v>-0.266790352132973</v>
      </c>
      <c r="G84" s="6" t="n">
        <f aca="false">IFERROR(G83/$B$4-1,"n/a")</f>
        <v>-0.399181025492253</v>
      </c>
      <c r="H84" s="6" t="n">
        <f aca="false">IFERROR(H83/$B$4-1,"n/a")</f>
        <v>-0.493351049910422</v>
      </c>
      <c r="I84" s="6" t="n">
        <f aca="false">IFERROR(I83/$B$4-1,"n/a")</f>
        <v>-0.563655329946123</v>
      </c>
      <c r="J84" s="6" t="n">
        <f aca="false">IFERROR(J83/$B$4-1,"n/a")</f>
        <v>-0.618067309887177</v>
      </c>
      <c r="K84" s="6" t="n">
        <f aca="false">IFERROR(K83/$B$4-1,"n/a")</f>
        <v>-0.661369821943205</v>
      </c>
    </row>
    <row r="86" customFormat="false" ht="15" hidden="false" customHeight="false" outlineLevel="0" collapsed="false">
      <c r="A86" s="9" t="s">
        <v>161</v>
      </c>
      <c r="B86" s="18" t="n">
        <f aca="false">IFERROR(IF(MATCH($B$4,$B$83:$K$83,-1)=10,"above 14%",INDEX($B$82:$K$82,MATCH($B$4,$B$83:$K$83,-1))+(INDEX($B$83:$K$83,MATCH($B$4,$B$83:$K$83,-1))-$B$4)/(INDEX($B$83:$K$83,MATCH($B$4,$B$83:$K$83,-1))-INDEX($B$83:$K$83,MATCH($B$4,$B$83:$K$83,-1)+1))*(INDEX($B$82:$K$82,MATCH($B$4,$B$83:$K$83,-1)+1)-INDEX($B$82:$K$82,MATCH($B$4,$B$83:$K$83,-1)))),"below 5%")</f>
        <v>0.0779756053156868</v>
      </c>
      <c r="C86"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1"/>
    <col collapsed="false" customWidth="true" hidden="false" outlineLevel="0" max="3" min="3" style="0" width="12"/>
    <col collapsed="false" customWidth="true" hidden="false" outlineLevel="0" max="12" min="4" style="0" width="11"/>
  </cols>
  <sheetData>
    <row r="1" customFormat="false" ht="16.15" hidden="false" customHeight="false" outlineLevel="0" collapsed="false">
      <c r="A1" s="1" t="s">
        <v>193</v>
      </c>
    </row>
    <row r="2" customFormat="false" ht="15" hidden="false" customHeight="false" outlineLevel="0" collapsed="false">
      <c r="A2" s="2" t="s">
        <v>100</v>
      </c>
    </row>
    <row r="4" customFormat="false" ht="15" hidden="false" customHeight="false" outlineLevel="0" collapsed="false">
      <c r="A4" s="0" t="s">
        <v>101</v>
      </c>
      <c r="B4" s="19" t="n">
        <v>246.65</v>
      </c>
      <c r="C4" s="2" t="s">
        <v>194</v>
      </c>
    </row>
    <row r="5" customFormat="false" ht="15" hidden="false" customHeight="false" outlineLevel="0" collapsed="false">
      <c r="A5" s="0" t="s">
        <v>103</v>
      </c>
      <c r="B5" s="20" t="s">
        <v>194</v>
      </c>
      <c r="C5" s="2" t="s">
        <v>105</v>
      </c>
    </row>
    <row r="6" customFormat="false" ht="15" hidden="false" customHeight="false" outlineLevel="0" collapsed="false">
      <c r="A6" s="0" t="s">
        <v>106</v>
      </c>
      <c r="B6" s="21" t="n">
        <v>0.1261</v>
      </c>
      <c r="C6" s="2" t="s">
        <v>195</v>
      </c>
    </row>
    <row r="7" customFormat="false" ht="15" hidden="false" customHeight="false" outlineLevel="0" collapsed="false">
      <c r="A7" s="0" t="s">
        <v>107</v>
      </c>
      <c r="B7" s="22" t="n">
        <v>3.1425</v>
      </c>
      <c r="C7" s="2" t="s">
        <v>196</v>
      </c>
    </row>
    <row r="8" customFormat="false" ht="15" hidden="false" customHeight="false" outlineLevel="0" collapsed="false">
      <c r="A8" s="0" t="s">
        <v>109</v>
      </c>
      <c r="B8" s="22" t="n">
        <v>0</v>
      </c>
      <c r="C8" s="2" t="s">
        <v>176</v>
      </c>
    </row>
    <row r="9" customFormat="false" ht="15" hidden="false" customHeight="false" outlineLevel="0" collapsed="false">
      <c r="A9" s="0" t="s">
        <v>72</v>
      </c>
      <c r="B9" s="11" t="n">
        <v>0.21</v>
      </c>
      <c r="C9" s="2" t="s">
        <v>111</v>
      </c>
    </row>
    <row r="10" customFormat="false" ht="15" hidden="false" customHeight="false" outlineLevel="0" collapsed="false">
      <c r="A10" s="0" t="s">
        <v>112</v>
      </c>
      <c r="B10" s="23" t="n">
        <f aca="false">WACC!H29</f>
        <v>0.105</v>
      </c>
      <c r="C10" s="2" t="s">
        <v>113</v>
      </c>
    </row>
    <row r="11" customFormat="false" ht="15" hidden="false" customHeight="false" outlineLevel="0" collapsed="false">
      <c r="A11" s="0" t="s">
        <v>114</v>
      </c>
      <c r="B11" s="11" t="n">
        <v>0.1</v>
      </c>
      <c r="C11" s="2" t="s">
        <v>45</v>
      </c>
    </row>
    <row r="12" customFormat="false" ht="15" hidden="false" customHeight="false" outlineLevel="0" collapsed="false">
      <c r="A12" s="0" t="s">
        <v>115</v>
      </c>
      <c r="B12" s="22" t="n">
        <v>21</v>
      </c>
      <c r="C12" s="2" t="s">
        <v>197</v>
      </c>
    </row>
    <row r="13" customFormat="false" ht="15" hidden="false" customHeight="false" outlineLevel="0" collapsed="false">
      <c r="A13" s="0" t="s">
        <v>117</v>
      </c>
      <c r="B13" s="10" t="n">
        <v>2</v>
      </c>
      <c r="C13" s="2" t="s">
        <v>118</v>
      </c>
    </row>
    <row r="15" customFormat="false" ht="15" hidden="false" customHeight="false" outlineLevel="0" collapsed="false">
      <c r="A15" s="9" t="s">
        <v>119</v>
      </c>
      <c r="B15" s="24" t="s">
        <v>120</v>
      </c>
      <c r="C15" s="24" t="s">
        <v>121</v>
      </c>
      <c r="D15" s="24" t="s">
        <v>122</v>
      </c>
      <c r="E15" s="24" t="s">
        <v>123</v>
      </c>
      <c r="F15" s="24" t="s">
        <v>124</v>
      </c>
      <c r="G15" s="24" t="s">
        <v>125</v>
      </c>
      <c r="H15" s="24" t="s">
        <v>126</v>
      </c>
      <c r="I15" s="24" t="s">
        <v>127</v>
      </c>
      <c r="J15" s="24" t="s">
        <v>128</v>
      </c>
      <c r="K15" s="24" t="s">
        <v>129</v>
      </c>
      <c r="L15" s="9" t="s">
        <v>130</v>
      </c>
    </row>
    <row r="16" customFormat="false" ht="15" hidden="false" customHeight="false" outlineLevel="0" collapsed="false">
      <c r="A16" s="0" t="s">
        <v>131</v>
      </c>
      <c r="B16" s="20" t="n">
        <v>0.5</v>
      </c>
      <c r="C16" s="25" t="n">
        <f aca="false">B16+1</f>
        <v>1.5</v>
      </c>
      <c r="D16" s="25" t="n">
        <f aca="false">C16+1</f>
        <v>2.5</v>
      </c>
      <c r="E16" s="25" t="n">
        <f aca="false">D16+1</f>
        <v>3.5</v>
      </c>
      <c r="F16" s="25" t="n">
        <f aca="false">E16+1</f>
        <v>4.5</v>
      </c>
      <c r="G16" s="25" t="n">
        <f aca="false">F16+1</f>
        <v>5.5</v>
      </c>
      <c r="H16" s="25" t="n">
        <f aca="false">G16+1</f>
        <v>6.5</v>
      </c>
      <c r="I16" s="25" t="n">
        <f aca="false">H16+1</f>
        <v>7.5</v>
      </c>
      <c r="J16" s="25" t="n">
        <f aca="false">I16+1</f>
        <v>8.5</v>
      </c>
      <c r="K16" s="25" t="n">
        <f aca="false">J16+1</f>
        <v>9.5</v>
      </c>
    </row>
    <row r="17" customFormat="false" ht="15" hidden="false" customHeight="false" outlineLevel="0" collapsed="false">
      <c r="A17" s="0" t="s">
        <v>132</v>
      </c>
      <c r="B17" s="0" t="n">
        <v>0</v>
      </c>
      <c r="C17" s="0" t="n">
        <v>0</v>
      </c>
      <c r="D17" s="0" t="n">
        <v>0</v>
      </c>
      <c r="E17" s="0" t="n">
        <v>0</v>
      </c>
      <c r="F17" s="0" t="n">
        <v>0</v>
      </c>
      <c r="G17" s="0" t="n">
        <v>1</v>
      </c>
      <c r="H17" s="0" t="n">
        <v>2</v>
      </c>
      <c r="I17" s="0" t="n">
        <v>3</v>
      </c>
      <c r="J17" s="0" t="n">
        <v>4</v>
      </c>
      <c r="K17" s="0" t="n">
        <v>5</v>
      </c>
    </row>
    <row r="19" customFormat="false" ht="15" hidden="false" customHeight="false" outlineLevel="0" collapsed="false">
      <c r="A19" s="12" t="s">
        <v>198</v>
      </c>
      <c r="B19" s="26"/>
      <c r="C19" s="26"/>
      <c r="D19" s="26"/>
      <c r="E19" s="26"/>
      <c r="F19" s="26"/>
      <c r="G19" s="26"/>
      <c r="H19" s="26"/>
      <c r="I19" s="26"/>
      <c r="J19" s="26"/>
      <c r="K19" s="26"/>
      <c r="L19" s="26"/>
    </row>
    <row r="20" customFormat="false" ht="15" hidden="false" customHeight="false" outlineLevel="0" collapsed="false">
      <c r="A20" s="0" t="s">
        <v>134</v>
      </c>
      <c r="B20" s="22" t="n">
        <v>33</v>
      </c>
      <c r="C20" s="22" t="n">
        <v>28</v>
      </c>
      <c r="D20" s="22" t="n">
        <v>27</v>
      </c>
      <c r="E20" s="22" t="n">
        <v>29</v>
      </c>
      <c r="F20" s="22" t="n">
        <v>31</v>
      </c>
      <c r="G20" s="27" t="n">
        <f aca="false">F20*(1+$F21+($L21-$F21)*G$17/5)</f>
        <v>32.8653448275862</v>
      </c>
      <c r="H20" s="27" t="n">
        <f aca="false">G20*(1+$F21+($L21-$F21)*H$17/5)</f>
        <v>34.5539435790725</v>
      </c>
      <c r="I20" s="27" t="n">
        <f aca="false">H20*(1+$F21+($L21-$F21)*I$17/5)</f>
        <v>36.0254649694227</v>
      </c>
      <c r="J20" s="27" t="n">
        <f aca="false">I20*(1+$F21+($L21-$F21)*J$17/5)</f>
        <v>37.2428772339066</v>
      </c>
      <c r="K20" s="27" t="n">
        <f aca="false">J20*(1+$F21+($L21-$F21)*K$17/5)</f>
        <v>38.1739491647543</v>
      </c>
      <c r="L20" s="27" t="n">
        <f aca="false">K20*(1+L21)</f>
        <v>39.1282978938731</v>
      </c>
    </row>
    <row r="21" customFormat="false" ht="15" hidden="false" customHeight="false" outlineLevel="0" collapsed="false">
      <c r="A21" s="0" t="s">
        <v>135</v>
      </c>
      <c r="B21" s="6" t="n">
        <f aca="false">B20/$B$12-1</f>
        <v>0.571428571428571</v>
      </c>
      <c r="C21" s="6" t="n">
        <f aca="false">C20/B20-1</f>
        <v>-0.151515151515152</v>
      </c>
      <c r="D21" s="6" t="n">
        <f aca="false">D20/C20-1</f>
        <v>-0.0357142857142857</v>
      </c>
      <c r="E21" s="6" t="n">
        <f aca="false">E20/D20-1</f>
        <v>0.0740740740740742</v>
      </c>
      <c r="F21" s="6" t="n">
        <f aca="false">F20/E20-1</f>
        <v>0.0689655172413792</v>
      </c>
      <c r="G21" s="6" t="n">
        <f aca="false">G20/F20-1</f>
        <v>0.0601724137931035</v>
      </c>
      <c r="H21" s="6" t="n">
        <f aca="false">H20/G20-1</f>
        <v>0.0513793103448275</v>
      </c>
      <c r="I21" s="6" t="n">
        <f aca="false">I20/H20-1</f>
        <v>0.0425862068965517</v>
      </c>
      <c r="J21" s="6" t="n">
        <f aca="false">J20/I20-1</f>
        <v>0.0337931034482759</v>
      </c>
      <c r="K21" s="6" t="n">
        <f aca="false">K20/J20-1</f>
        <v>0.0249999999999999</v>
      </c>
      <c r="L21" s="28" t="n">
        <v>0.025</v>
      </c>
    </row>
    <row r="22" customFormat="false" ht="15" hidden="false" customHeight="false" outlineLevel="0" collapsed="false">
      <c r="A22" s="0" t="s">
        <v>136</v>
      </c>
      <c r="B22" s="29" t="n">
        <v>0.08</v>
      </c>
      <c r="C22" s="29" t="n">
        <v>0.07</v>
      </c>
      <c r="D22" s="29" t="n">
        <v>0.065</v>
      </c>
      <c r="E22" s="29" t="n">
        <v>0.065</v>
      </c>
      <c r="F22" s="29" t="n">
        <v>0.065</v>
      </c>
      <c r="G22" s="6" t="n">
        <f aca="false">$F22+($L22-$F22)*G$17/5</f>
        <v>0.064</v>
      </c>
      <c r="H22" s="6" t="n">
        <f aca="false">$F22+($L22-$F22)*H$17/5</f>
        <v>0.063</v>
      </c>
      <c r="I22" s="6" t="n">
        <f aca="false">$F22+($L22-$F22)*I$17/5</f>
        <v>0.062</v>
      </c>
      <c r="J22" s="6" t="n">
        <f aca="false">$F22+($L22-$F22)*J$17/5</f>
        <v>0.061</v>
      </c>
      <c r="K22" s="6" t="n">
        <f aca="false">$F22+($L22-$F22)*K$17/5</f>
        <v>0.06</v>
      </c>
      <c r="L22" s="28" t="n">
        <v>0.06</v>
      </c>
    </row>
    <row r="23" customFormat="false" ht="15" hidden="false" customHeight="false" outlineLevel="0" collapsed="false">
      <c r="A23" s="0" t="s">
        <v>137</v>
      </c>
      <c r="B23" s="27" t="n">
        <f aca="false">B20*B22</f>
        <v>2.64</v>
      </c>
      <c r="C23" s="27" t="n">
        <f aca="false">C20*C22</f>
        <v>1.96</v>
      </c>
      <c r="D23" s="27" t="n">
        <f aca="false">D20*D22</f>
        <v>1.755</v>
      </c>
      <c r="E23" s="27" t="n">
        <f aca="false">E20*E22</f>
        <v>1.885</v>
      </c>
      <c r="F23" s="27" t="n">
        <f aca="false">F20*F22</f>
        <v>2.015</v>
      </c>
      <c r="G23" s="27" t="n">
        <f aca="false">G20*G22</f>
        <v>2.10338206896552</v>
      </c>
      <c r="H23" s="27" t="n">
        <f aca="false">H20*H22</f>
        <v>2.17689844548157</v>
      </c>
      <c r="I23" s="27" t="n">
        <f aca="false">I20*I22</f>
        <v>2.23357882810421</v>
      </c>
      <c r="J23" s="27" t="n">
        <f aca="false">J20*J22</f>
        <v>2.2718155112683</v>
      </c>
      <c r="K23" s="27" t="n">
        <f aca="false">K20*K22</f>
        <v>2.29043694988526</v>
      </c>
      <c r="L23" s="27" t="n">
        <f aca="false">L20*L22</f>
        <v>2.34769787363239</v>
      </c>
    </row>
    <row r="24" customFormat="false" ht="15" hidden="false" customHeight="false" outlineLevel="0" collapsed="false">
      <c r="A24" s="0" t="s">
        <v>138</v>
      </c>
      <c r="B24" s="27" t="n">
        <f aca="false">B23*(1-$B$9)</f>
        <v>2.0856</v>
      </c>
      <c r="C24" s="27" t="n">
        <f aca="false">C23*(1-$B$9)</f>
        <v>1.5484</v>
      </c>
      <c r="D24" s="27" t="n">
        <f aca="false">D23*(1-$B$9)</f>
        <v>1.38645</v>
      </c>
      <c r="E24" s="27" t="n">
        <f aca="false">E23*(1-$B$9)</f>
        <v>1.48915</v>
      </c>
      <c r="F24" s="27" t="n">
        <f aca="false">F23*(1-$B$9)</f>
        <v>1.59185</v>
      </c>
      <c r="G24" s="27" t="n">
        <f aca="false">G23*(1-$B$9)</f>
        <v>1.66167183448276</v>
      </c>
      <c r="H24" s="27" t="n">
        <f aca="false">H23*(1-$B$9)</f>
        <v>1.71974977193044</v>
      </c>
      <c r="I24" s="27" t="n">
        <f aca="false">I23*(1-$B$9)</f>
        <v>1.76452727420232</v>
      </c>
      <c r="J24" s="27" t="n">
        <f aca="false">J23*(1-$B$9)</f>
        <v>1.79473425390196</v>
      </c>
      <c r="K24" s="27" t="n">
        <f aca="false">K23*(1-$B$9)</f>
        <v>1.80944519040935</v>
      </c>
      <c r="L24" s="27" t="n">
        <f aca="false">L23*(1-$B$9)</f>
        <v>1.85468132016959</v>
      </c>
    </row>
    <row r="25" customFormat="false" ht="15" hidden="false" customHeight="false" outlineLevel="0" collapsed="false">
      <c r="A25" s="0" t="s">
        <v>139</v>
      </c>
      <c r="B25" s="29" t="n">
        <v>0.035</v>
      </c>
      <c r="C25" s="29" t="n">
        <v>0.02</v>
      </c>
      <c r="D25" s="29" t="n">
        <v>0.012</v>
      </c>
      <c r="E25" s="29" t="n">
        <v>0.012</v>
      </c>
      <c r="F25" s="29" t="n">
        <v>0.012</v>
      </c>
      <c r="G25" s="6" t="n">
        <f aca="false">$F25+($L25-$F25)*G$17/5</f>
        <v>0.0116</v>
      </c>
      <c r="H25" s="6" t="n">
        <f aca="false">$F25+($L25-$F25)*H$17/5</f>
        <v>0.0112</v>
      </c>
      <c r="I25" s="6" t="n">
        <f aca="false">$F25+($L25-$F25)*I$17/5</f>
        <v>0.0108</v>
      </c>
      <c r="J25" s="6" t="n">
        <f aca="false">$F25+($L25-$F25)*J$17/5</f>
        <v>0.0104</v>
      </c>
      <c r="K25" s="6" t="n">
        <f aca="false">$F25+($L25-$F25)*K$17/5</f>
        <v>0.01</v>
      </c>
      <c r="L25" s="28" t="n">
        <v>0.01</v>
      </c>
    </row>
    <row r="26" customFormat="false" ht="15" hidden="false" customHeight="false" outlineLevel="0" collapsed="false">
      <c r="A26" s="0" t="s">
        <v>140</v>
      </c>
      <c r="B26" s="27" t="n">
        <f aca="false">B20*B25</f>
        <v>1.155</v>
      </c>
      <c r="C26" s="27" t="n">
        <f aca="false">C20*C25</f>
        <v>0.56</v>
      </c>
      <c r="D26" s="27" t="n">
        <f aca="false">D20*D25</f>
        <v>0.324</v>
      </c>
      <c r="E26" s="27" t="n">
        <f aca="false">E20*E25</f>
        <v>0.348</v>
      </c>
      <c r="F26" s="27" t="n">
        <f aca="false">F20*F25</f>
        <v>0.372</v>
      </c>
      <c r="G26" s="27" t="n">
        <f aca="false">G20*G25</f>
        <v>0.381238</v>
      </c>
      <c r="H26" s="27" t="n">
        <f aca="false">H20*H25</f>
        <v>0.387004168085612</v>
      </c>
      <c r="I26" s="27" t="n">
        <f aca="false">I20*I25</f>
        <v>0.389075021669765</v>
      </c>
      <c r="J26" s="27" t="n">
        <f aca="false">J20*J25</f>
        <v>0.387325923232629</v>
      </c>
      <c r="K26" s="27" t="n">
        <f aca="false">K20*K25</f>
        <v>0.381739491647543</v>
      </c>
      <c r="L26" s="27" t="n">
        <f aca="false">L20*L25</f>
        <v>0.391282978938732</v>
      </c>
    </row>
    <row r="27" customFormat="false" ht="15" hidden="false" customHeight="false" outlineLevel="0" collapsed="false">
      <c r="A27" s="0" t="s">
        <v>141</v>
      </c>
      <c r="B27" s="27" t="n">
        <f aca="false">$B$11*(B20-$B$12)</f>
        <v>1.2</v>
      </c>
      <c r="C27" s="27" t="n">
        <f aca="false">$B$11*(C20-B20)</f>
        <v>-0.5</v>
      </c>
      <c r="D27" s="27" t="n">
        <f aca="false">$B$11*(D20-C20)</f>
        <v>-0.1</v>
      </c>
      <c r="E27" s="27" t="n">
        <f aca="false">$B$11*(E20-D20)</f>
        <v>0.2</v>
      </c>
      <c r="F27" s="27" t="n">
        <f aca="false">$B$11*(F20-E20)</f>
        <v>0.2</v>
      </c>
      <c r="G27" s="27" t="n">
        <f aca="false">$B$11*(G20-F20)</f>
        <v>0.186534482758621</v>
      </c>
      <c r="H27" s="27" t="n">
        <f aca="false">$B$11*(H20-G20)</f>
        <v>0.168859875148632</v>
      </c>
      <c r="I27" s="27" t="n">
        <f aca="false">$B$11*(I20-H20)</f>
        <v>0.147152139035016</v>
      </c>
      <c r="J27" s="27" t="n">
        <f aca="false">$B$11*(J20-I20)</f>
        <v>0.121741226448394</v>
      </c>
      <c r="K27" s="27" t="n">
        <f aca="false">$B$11*(K20-J20)</f>
        <v>0.0931071930847665</v>
      </c>
      <c r="L27" s="27" t="n">
        <f aca="false">$B$11*(L20-K20)</f>
        <v>0.0954348729118856</v>
      </c>
    </row>
    <row r="28" customFormat="false" ht="15" hidden="false" customHeight="false" outlineLevel="0" collapsed="false">
      <c r="A28" s="0" t="s">
        <v>142</v>
      </c>
      <c r="B28" s="27" t="n">
        <f aca="false">B24-B26-B27</f>
        <v>-0.2694</v>
      </c>
      <c r="C28" s="27" t="n">
        <f aca="false">C24-C26-C27</f>
        <v>1.4884</v>
      </c>
      <c r="D28" s="27" t="n">
        <f aca="false">D24-D26-D27</f>
        <v>1.16245</v>
      </c>
      <c r="E28" s="27" t="n">
        <f aca="false">E24-E26-E27</f>
        <v>0.94115</v>
      </c>
      <c r="F28" s="27" t="n">
        <f aca="false">F24-F26-F27</f>
        <v>1.01985</v>
      </c>
      <c r="G28" s="27" t="n">
        <f aca="false">G24-G26-G27</f>
        <v>1.09389935172414</v>
      </c>
      <c r="H28" s="27" t="n">
        <f aca="false">H24-H26-H27</f>
        <v>1.1638857286962</v>
      </c>
      <c r="I28" s="27" t="n">
        <f aca="false">I24-I26-I27</f>
        <v>1.22830011349754</v>
      </c>
      <c r="J28" s="27" t="n">
        <f aca="false">J24-J26-J27</f>
        <v>1.28566710422094</v>
      </c>
      <c r="K28" s="27" t="n">
        <f aca="false">K24-K26-K27</f>
        <v>1.33459850567704</v>
      </c>
      <c r="L28" s="27" t="n">
        <f aca="false">L24-L26-L27</f>
        <v>1.36796346831897</v>
      </c>
    </row>
    <row r="29" customFormat="false" ht="15" hidden="false" customHeight="false" outlineLevel="0" collapsed="false">
      <c r="A29" s="0" t="s">
        <v>143</v>
      </c>
      <c r="B29" s="30" t="n">
        <f aca="false">1/(1+$B$10)^B$16</f>
        <v>0.951302988308988</v>
      </c>
      <c r="C29" s="30" t="n">
        <f aca="false">1/(1+$B$10)^C$16</f>
        <v>0.860907681727591</v>
      </c>
      <c r="D29" s="30" t="n">
        <f aca="false">1/(1+$B$10)^D$16</f>
        <v>0.77910197441411</v>
      </c>
      <c r="E29" s="30" t="n">
        <f aca="false">1/(1+$B$10)^E$16</f>
        <v>0.705069660103267</v>
      </c>
      <c r="F29" s="30" t="n">
        <f aca="false">1/(1+$B$10)^F$16</f>
        <v>0.638072090591192</v>
      </c>
      <c r="G29" s="30" t="n">
        <f aca="false">1/(1+$B$10)^G$16</f>
        <v>0.577440805964879</v>
      </c>
      <c r="H29" s="30" t="n">
        <f aca="false">1/(1+$B$10)^H$16</f>
        <v>0.522570865126588</v>
      </c>
      <c r="I29" s="30" t="n">
        <f aca="false">1/(1+$B$10)^I$16</f>
        <v>0.47291481006931</v>
      </c>
      <c r="J29" s="30" t="n">
        <f aca="false">1/(1+$B$10)^J$16</f>
        <v>0.427977203682634</v>
      </c>
      <c r="K29" s="30" t="n">
        <f aca="false">1/(1+$B$10)^K$16</f>
        <v>0.387309686590619</v>
      </c>
    </row>
    <row r="30" customFormat="false" ht="15" hidden="false" customHeight="false" outlineLevel="0" collapsed="false">
      <c r="A30" s="0" t="s">
        <v>144</v>
      </c>
      <c r="B30" s="27" t="n">
        <f aca="false">B28*B29</f>
        <v>-0.256281025050441</v>
      </c>
      <c r="C30" s="27" t="n">
        <f aca="false">C28*C29</f>
        <v>1.28137499348335</v>
      </c>
      <c r="D30" s="27" t="n">
        <f aca="false">D28*D29</f>
        <v>0.905667090157682</v>
      </c>
      <c r="E30" s="27" t="n">
        <f aca="false">E28*E29</f>
        <v>0.663576310606189</v>
      </c>
      <c r="F30" s="27" t="n">
        <f aca="false">F28*F29</f>
        <v>0.650737821589427</v>
      </c>
      <c r="G30" s="27" t="n">
        <f aca="false">G28*G29</f>
        <v>0.631662123304045</v>
      </c>
      <c r="H30" s="27" t="n">
        <f aca="false">H28*H29</f>
        <v>0.608212772153259</v>
      </c>
      <c r="I30" s="27" t="n">
        <f aca="false">I28*I29</f>
        <v>0.580881314882802</v>
      </c>
      <c r="J30" s="27" t="n">
        <f aca="false">J28*J29</f>
        <v>0.550236212131226</v>
      </c>
      <c r="K30" s="27" t="n">
        <f aca="false">K28*K29</f>
        <v>0.516902928958084</v>
      </c>
      <c r="L30" s="27"/>
    </row>
    <row r="31" customFormat="false" ht="15" hidden="false" customHeight="false" outlineLevel="0" collapsed="false">
      <c r="A31" s="0" t="s">
        <v>145</v>
      </c>
      <c r="B31" s="27" t="n">
        <f aca="false">L28/($B$10-L21)</f>
        <v>17.0995433539871</v>
      </c>
      <c r="C31" s="0" t="str">
        <f aca="false">IF($B$10&gt;L21,"","Discount rate must exceed terminal growth")</f>
        <v/>
      </c>
    </row>
    <row r="32" customFormat="false" ht="15" hidden="false" customHeight="false" outlineLevel="0" collapsed="false">
      <c r="A32" s="0" t="s">
        <v>146</v>
      </c>
      <c r="B32" s="27" t="n">
        <f aca="false">B31/(1+$B$10)^$K$16</f>
        <v>6.62281877727545</v>
      </c>
    </row>
    <row r="33" customFormat="false" ht="15" hidden="false" customHeight="false" outlineLevel="0" collapsed="false">
      <c r="A33" s="0" t="s">
        <v>147</v>
      </c>
      <c r="B33" s="27" t="n">
        <f aca="false">SUM(B30:K30)+B32+$B$7+$B$8</f>
        <v>15.8982893194911</v>
      </c>
    </row>
    <row r="34" customFormat="false" ht="15" hidden="false" customHeight="false" outlineLevel="0" collapsed="false">
      <c r="A34" s="0" t="s">
        <v>148</v>
      </c>
      <c r="B34" s="31" t="n">
        <f aca="false">B33/$B$6</f>
        <v>126.0768383782</v>
      </c>
    </row>
    <row r="35" customFormat="false" ht="15" hidden="false" customHeight="false" outlineLevel="0" collapsed="false">
      <c r="A35" s="0" t="s">
        <v>149</v>
      </c>
      <c r="B35" s="6" t="n">
        <f aca="false">B34/$B$4-1</f>
        <v>-0.488843144625176</v>
      </c>
    </row>
    <row r="37" customFormat="false" ht="15" hidden="false" customHeight="false" outlineLevel="0" collapsed="false">
      <c r="A37" s="12" t="s">
        <v>199</v>
      </c>
      <c r="B37" s="26"/>
      <c r="C37" s="26"/>
      <c r="D37" s="26"/>
      <c r="E37" s="26"/>
      <c r="F37" s="26"/>
      <c r="G37" s="26"/>
      <c r="H37" s="26"/>
      <c r="I37" s="26"/>
      <c r="J37" s="26"/>
      <c r="K37" s="26"/>
      <c r="L37" s="26"/>
    </row>
    <row r="38" customFormat="false" ht="15" hidden="false" customHeight="false" outlineLevel="0" collapsed="false">
      <c r="A38" s="0" t="s">
        <v>134</v>
      </c>
      <c r="B38" s="22" t="n">
        <v>37</v>
      </c>
      <c r="C38" s="22" t="n">
        <v>42</v>
      </c>
      <c r="D38" s="22" t="n">
        <v>40</v>
      </c>
      <c r="E38" s="22" t="n">
        <v>42</v>
      </c>
      <c r="F38" s="22" t="n">
        <v>44</v>
      </c>
      <c r="G38" s="27" t="n">
        <f aca="false">F38*(1+$F39+($L39-$F39)*G$17/5)</f>
        <v>45.9401904761905</v>
      </c>
      <c r="H38" s="27" t="n">
        <f aca="false">G38*(1+$F39+($L39-$F39)*H$17/5)</f>
        <v>47.8040496326531</v>
      </c>
      <c r="I38" s="27" t="n">
        <f aca="false">H38*(1+$F39+($L39-$F39)*I$17/5)</f>
        <v>49.5750758523771</v>
      </c>
      <c r="J38" s="27" t="n">
        <f aca="false">I38*(1+$F39+($L39-$F39)*J$17/5)</f>
        <v>51.2370212523806</v>
      </c>
      <c r="K38" s="27" t="n">
        <f aca="false">J38*(1+$F39+($L39-$F39)*K$17/5)</f>
        <v>52.774131889952</v>
      </c>
      <c r="L38" s="27" t="n">
        <f aca="false">K38*(1+L39)</f>
        <v>54.3573558466505</v>
      </c>
    </row>
    <row r="39" customFormat="false" ht="15" hidden="false" customHeight="false" outlineLevel="0" collapsed="false">
      <c r="A39" s="0" t="s">
        <v>135</v>
      </c>
      <c r="B39" s="6" t="n">
        <f aca="false">B38/$B$12-1</f>
        <v>0.761904761904762</v>
      </c>
      <c r="C39" s="6" t="n">
        <f aca="false">C38/B38-1</f>
        <v>0.135135135135135</v>
      </c>
      <c r="D39" s="6" t="n">
        <f aca="false">D38/C38-1</f>
        <v>-0.0476190476190477</v>
      </c>
      <c r="E39" s="6" t="n">
        <f aca="false">E38/D38-1</f>
        <v>0.05</v>
      </c>
      <c r="F39" s="6" t="n">
        <f aca="false">F38/E38-1</f>
        <v>0.0476190476190477</v>
      </c>
      <c r="G39" s="6" t="n">
        <f aca="false">G38/F38-1</f>
        <v>0.0440952380952382</v>
      </c>
      <c r="H39" s="6" t="n">
        <f aca="false">H38/G38-1</f>
        <v>0.0405714285714287</v>
      </c>
      <c r="I39" s="6" t="n">
        <f aca="false">I38/H38-1</f>
        <v>0.037047619047619</v>
      </c>
      <c r="J39" s="6" t="n">
        <f aca="false">J38/I38-1</f>
        <v>0.0335238095238095</v>
      </c>
      <c r="K39" s="6" t="n">
        <f aca="false">K38/J38-1</f>
        <v>0.03</v>
      </c>
      <c r="L39" s="28" t="n">
        <v>0.03</v>
      </c>
    </row>
    <row r="40" customFormat="false" ht="15" hidden="false" customHeight="false" outlineLevel="0" collapsed="false">
      <c r="A40" s="0" t="s">
        <v>136</v>
      </c>
      <c r="B40" s="29" t="n">
        <v>0.086</v>
      </c>
      <c r="C40" s="29" t="n">
        <v>0.086</v>
      </c>
      <c r="D40" s="29" t="n">
        <v>0.082</v>
      </c>
      <c r="E40" s="29" t="n">
        <v>0.08</v>
      </c>
      <c r="F40" s="29" t="n">
        <v>0.08</v>
      </c>
      <c r="G40" s="6" t="n">
        <f aca="false">$F40+($L40-$F40)*G$17/5</f>
        <v>0.078</v>
      </c>
      <c r="H40" s="6" t="n">
        <f aca="false">$F40+($L40-$F40)*H$17/5</f>
        <v>0.076</v>
      </c>
      <c r="I40" s="6" t="n">
        <f aca="false">$F40+($L40-$F40)*I$17/5</f>
        <v>0.074</v>
      </c>
      <c r="J40" s="6" t="n">
        <f aca="false">$F40+($L40-$F40)*J$17/5</f>
        <v>0.072</v>
      </c>
      <c r="K40" s="6" t="n">
        <f aca="false">$F40+($L40-$F40)*K$17/5</f>
        <v>0.07</v>
      </c>
      <c r="L40" s="28" t="n">
        <v>0.07</v>
      </c>
    </row>
    <row r="41" customFormat="false" ht="15" hidden="false" customHeight="false" outlineLevel="0" collapsed="false">
      <c r="A41" s="0" t="s">
        <v>137</v>
      </c>
      <c r="B41" s="27" t="n">
        <f aca="false">B38*B40</f>
        <v>3.182</v>
      </c>
      <c r="C41" s="27" t="n">
        <f aca="false">C38*C40</f>
        <v>3.612</v>
      </c>
      <c r="D41" s="27" t="n">
        <f aca="false">D38*D40</f>
        <v>3.28</v>
      </c>
      <c r="E41" s="27" t="n">
        <f aca="false">E38*E40</f>
        <v>3.36</v>
      </c>
      <c r="F41" s="27" t="n">
        <f aca="false">F38*F40</f>
        <v>3.52</v>
      </c>
      <c r="G41" s="27" t="n">
        <f aca="false">G38*G40</f>
        <v>3.58333485714286</v>
      </c>
      <c r="H41" s="27" t="n">
        <f aca="false">H38*H40</f>
        <v>3.63310777208163</v>
      </c>
      <c r="I41" s="27" t="n">
        <f aca="false">I38*I40</f>
        <v>3.6685556130759</v>
      </c>
      <c r="J41" s="27" t="n">
        <f aca="false">J38*J40</f>
        <v>3.6890655301714</v>
      </c>
      <c r="K41" s="27" t="n">
        <f aca="false">K38*K40</f>
        <v>3.69418923229664</v>
      </c>
      <c r="L41" s="27" t="n">
        <f aca="false">L38*L40</f>
        <v>3.80501490926554</v>
      </c>
    </row>
    <row r="42" customFormat="false" ht="15" hidden="false" customHeight="false" outlineLevel="0" collapsed="false">
      <c r="A42" s="0" t="s">
        <v>138</v>
      </c>
      <c r="B42" s="27" t="n">
        <f aca="false">B41*(1-$B$9)</f>
        <v>2.51378</v>
      </c>
      <c r="C42" s="27" t="n">
        <f aca="false">C41*(1-$B$9)</f>
        <v>2.85348</v>
      </c>
      <c r="D42" s="27" t="n">
        <f aca="false">D41*(1-$B$9)</f>
        <v>2.5912</v>
      </c>
      <c r="E42" s="27" t="n">
        <f aca="false">E41*(1-$B$9)</f>
        <v>2.6544</v>
      </c>
      <c r="F42" s="27" t="n">
        <f aca="false">F41*(1-$B$9)</f>
        <v>2.7808</v>
      </c>
      <c r="G42" s="27" t="n">
        <f aca="false">G41*(1-$B$9)</f>
        <v>2.83083453714286</v>
      </c>
      <c r="H42" s="27" t="n">
        <f aca="false">H41*(1-$B$9)</f>
        <v>2.87015513994449</v>
      </c>
      <c r="I42" s="27" t="n">
        <f aca="false">I41*(1-$B$9)</f>
        <v>2.89815893432996</v>
      </c>
      <c r="J42" s="27" t="n">
        <f aca="false">J41*(1-$B$9)</f>
        <v>2.91436176883541</v>
      </c>
      <c r="K42" s="27" t="n">
        <f aca="false">K41*(1-$B$9)</f>
        <v>2.91840949351435</v>
      </c>
      <c r="L42" s="27" t="n">
        <f aca="false">L41*(1-$B$9)</f>
        <v>3.00596177831978</v>
      </c>
    </row>
    <row r="43" customFormat="false" ht="15" hidden="false" customHeight="false" outlineLevel="0" collapsed="false">
      <c r="A43" s="0" t="s">
        <v>139</v>
      </c>
      <c r="B43" s="29" t="n">
        <v>0.035</v>
      </c>
      <c r="C43" s="29" t="n">
        <v>0.025</v>
      </c>
      <c r="D43" s="29" t="n">
        <v>0.015</v>
      </c>
      <c r="E43" s="29" t="n">
        <v>0.015</v>
      </c>
      <c r="F43" s="29" t="n">
        <v>0.015</v>
      </c>
      <c r="G43" s="6" t="n">
        <f aca="false">$F43+($L43-$F43)*G$17/5</f>
        <v>0.014</v>
      </c>
      <c r="H43" s="6" t="n">
        <f aca="false">$F43+($L43-$F43)*H$17/5</f>
        <v>0.013</v>
      </c>
      <c r="I43" s="6" t="n">
        <f aca="false">$F43+($L43-$F43)*I$17/5</f>
        <v>0.012</v>
      </c>
      <c r="J43" s="6" t="n">
        <f aca="false">$F43+($L43-$F43)*J$17/5</f>
        <v>0.011</v>
      </c>
      <c r="K43" s="6" t="n">
        <f aca="false">$F43+($L43-$F43)*K$17/5</f>
        <v>0.01</v>
      </c>
      <c r="L43" s="28" t="n">
        <v>0.01</v>
      </c>
    </row>
    <row r="44" customFormat="false" ht="15" hidden="false" customHeight="false" outlineLevel="0" collapsed="false">
      <c r="A44" s="0" t="s">
        <v>140</v>
      </c>
      <c r="B44" s="27" t="n">
        <f aca="false">B38*B43</f>
        <v>1.295</v>
      </c>
      <c r="C44" s="27" t="n">
        <f aca="false">C38*C43</f>
        <v>1.05</v>
      </c>
      <c r="D44" s="27" t="n">
        <f aca="false">D38*D43</f>
        <v>0.6</v>
      </c>
      <c r="E44" s="27" t="n">
        <f aca="false">E38*E43</f>
        <v>0.63</v>
      </c>
      <c r="F44" s="27" t="n">
        <f aca="false">F38*F43</f>
        <v>0.66</v>
      </c>
      <c r="G44" s="27" t="n">
        <f aca="false">G38*G43</f>
        <v>0.643162666666667</v>
      </c>
      <c r="H44" s="27" t="n">
        <f aca="false">H38*H43</f>
        <v>0.62145264522449</v>
      </c>
      <c r="I44" s="27" t="n">
        <f aca="false">I38*I43</f>
        <v>0.594900910228525</v>
      </c>
      <c r="J44" s="27" t="n">
        <f aca="false">J38*J43</f>
        <v>0.563607233776186</v>
      </c>
      <c r="K44" s="27" t="n">
        <f aca="false">K38*K43</f>
        <v>0.52774131889952</v>
      </c>
      <c r="L44" s="27" t="n">
        <f aca="false">L38*L43</f>
        <v>0.543573558466506</v>
      </c>
    </row>
    <row r="45" customFormat="false" ht="15" hidden="false" customHeight="false" outlineLevel="0" collapsed="false">
      <c r="A45" s="0" t="s">
        <v>141</v>
      </c>
      <c r="B45" s="27" t="n">
        <f aca="false">$B$11*(B38-$B$12)</f>
        <v>1.6</v>
      </c>
      <c r="C45" s="27" t="n">
        <f aca="false">$B$11*(C38-B38)</f>
        <v>0.5</v>
      </c>
      <c r="D45" s="27" t="n">
        <f aca="false">$B$11*(D38-C38)</f>
        <v>-0.2</v>
      </c>
      <c r="E45" s="27" t="n">
        <f aca="false">$B$11*(E38-D38)</f>
        <v>0.2</v>
      </c>
      <c r="F45" s="27" t="n">
        <f aca="false">$B$11*(F38-E38)</f>
        <v>0.2</v>
      </c>
      <c r="G45" s="27" t="n">
        <f aca="false">$B$11*(G38-F38)</f>
        <v>0.194019047619048</v>
      </c>
      <c r="H45" s="27" t="n">
        <f aca="false">$B$11*(H38-G38)</f>
        <v>0.186385915646259</v>
      </c>
      <c r="I45" s="27" t="n">
        <f aca="false">$B$11*(I38-H38)</f>
        <v>0.1771026219724</v>
      </c>
      <c r="J45" s="27" t="n">
        <f aca="false">$B$11*(J38-I38)</f>
        <v>0.16619454000035</v>
      </c>
      <c r="K45" s="27" t="n">
        <f aca="false">$B$11*(K38-J38)</f>
        <v>0.153711063757142</v>
      </c>
      <c r="L45" s="27" t="n">
        <f aca="false">$B$11*(L38-K38)</f>
        <v>0.158322395669856</v>
      </c>
    </row>
    <row r="46" customFormat="false" ht="15" hidden="false" customHeight="false" outlineLevel="0" collapsed="false">
      <c r="A46" s="0" t="s">
        <v>142</v>
      </c>
      <c r="B46" s="27" t="n">
        <f aca="false">B42-B44-B45</f>
        <v>-0.38122</v>
      </c>
      <c r="C46" s="27" t="n">
        <f aca="false">C42-C44-C45</f>
        <v>1.30348</v>
      </c>
      <c r="D46" s="27" t="n">
        <f aca="false">D42-D44-D45</f>
        <v>2.1912</v>
      </c>
      <c r="E46" s="27" t="n">
        <f aca="false">E42-E44-E45</f>
        <v>1.8244</v>
      </c>
      <c r="F46" s="27" t="n">
        <f aca="false">F42-F44-F45</f>
        <v>1.9208</v>
      </c>
      <c r="G46" s="27" t="n">
        <f aca="false">G42-G44-G45</f>
        <v>1.99365282285714</v>
      </c>
      <c r="H46" s="27" t="n">
        <f aca="false">H42-H44-H45</f>
        <v>2.06231657907374</v>
      </c>
      <c r="I46" s="27" t="n">
        <f aca="false">I42-I44-I45</f>
        <v>2.12615540212904</v>
      </c>
      <c r="J46" s="27" t="n">
        <f aca="false">J42-J44-J45</f>
        <v>2.18455999505887</v>
      </c>
      <c r="K46" s="27" t="n">
        <f aca="false">K42-K44-K45</f>
        <v>2.23695711085768</v>
      </c>
      <c r="L46" s="27" t="n">
        <f aca="false">L42-L44-L45</f>
        <v>2.30406582418341</v>
      </c>
    </row>
    <row r="47" customFormat="false" ht="15" hidden="false" customHeight="false" outlineLevel="0" collapsed="false">
      <c r="A47" s="0" t="s">
        <v>143</v>
      </c>
      <c r="B47" s="30" t="n">
        <f aca="false">1/(1+$B$10)^B$16</f>
        <v>0.951302988308988</v>
      </c>
      <c r="C47" s="30" t="n">
        <f aca="false">1/(1+$B$10)^C$16</f>
        <v>0.860907681727591</v>
      </c>
      <c r="D47" s="30" t="n">
        <f aca="false">1/(1+$B$10)^D$16</f>
        <v>0.77910197441411</v>
      </c>
      <c r="E47" s="30" t="n">
        <f aca="false">1/(1+$B$10)^E$16</f>
        <v>0.705069660103267</v>
      </c>
      <c r="F47" s="30" t="n">
        <f aca="false">1/(1+$B$10)^F$16</f>
        <v>0.638072090591192</v>
      </c>
      <c r="G47" s="30" t="n">
        <f aca="false">1/(1+$B$10)^G$16</f>
        <v>0.577440805964879</v>
      </c>
      <c r="H47" s="30" t="n">
        <f aca="false">1/(1+$B$10)^H$16</f>
        <v>0.522570865126588</v>
      </c>
      <c r="I47" s="30" t="n">
        <f aca="false">1/(1+$B$10)^I$16</f>
        <v>0.47291481006931</v>
      </c>
      <c r="J47" s="30" t="n">
        <f aca="false">1/(1+$B$10)^J$16</f>
        <v>0.427977203682634</v>
      </c>
      <c r="K47" s="30" t="n">
        <f aca="false">1/(1+$B$10)^K$16</f>
        <v>0.387309686590619</v>
      </c>
    </row>
    <row r="48" customFormat="false" ht="15" hidden="false" customHeight="false" outlineLevel="0" collapsed="false">
      <c r="A48" s="0" t="s">
        <v>144</v>
      </c>
      <c r="B48" s="27" t="n">
        <f aca="false">B46*B47</f>
        <v>-0.362655725203153</v>
      </c>
      <c r="C48" s="27" t="n">
        <f aca="false">C46*C47</f>
        <v>1.12217594497828</v>
      </c>
      <c r="D48" s="27" t="n">
        <f aca="false">D46*D47</f>
        <v>1.7071682463362</v>
      </c>
      <c r="E48" s="27" t="n">
        <f aca="false">E46*E47</f>
        <v>1.2863290878924</v>
      </c>
      <c r="F48" s="27" t="n">
        <f aca="false">F46*F47</f>
        <v>1.22560887160756</v>
      </c>
      <c r="G48" s="27" t="n">
        <f aca="false">G46*G47</f>
        <v>1.15121649284479</v>
      </c>
      <c r="H48" s="27" t="n">
        <f aca="false">H46*H47</f>
        <v>1.07770655889147</v>
      </c>
      <c r="I48" s="27" t="n">
        <f aca="false">I46*I47</f>
        <v>1.00549037817569</v>
      </c>
      <c r="J48" s="27" t="n">
        <f aca="false">J46*J47</f>
        <v>0.934941877962244</v>
      </c>
      <c r="K48" s="27" t="n">
        <f aca="false">K46*K47</f>
        <v>0.866395157522945</v>
      </c>
      <c r="L48" s="27"/>
    </row>
    <row r="49" customFormat="false" ht="15" hidden="false" customHeight="false" outlineLevel="0" collapsed="false">
      <c r="A49" s="0" t="s">
        <v>145</v>
      </c>
      <c r="B49" s="27" t="n">
        <f aca="false">L46/($B$10-L39)</f>
        <v>30.7208776557789</v>
      </c>
      <c r="C49" s="0" t="str">
        <f aca="false">IF($B$10&gt;L39,"","Discount rate must exceed terminal growth")</f>
        <v/>
      </c>
    </row>
    <row r="50" customFormat="false" ht="15" hidden="false" customHeight="false" outlineLevel="0" collapsed="false">
      <c r="A50" s="0" t="s">
        <v>146</v>
      </c>
      <c r="B50" s="27" t="n">
        <f aca="false">B49/(1+$B$10)^$K$16</f>
        <v>11.8984934966484</v>
      </c>
    </row>
    <row r="51" customFormat="false" ht="15" hidden="false" customHeight="false" outlineLevel="0" collapsed="false">
      <c r="A51" s="0" t="s">
        <v>147</v>
      </c>
      <c r="B51" s="27" t="n">
        <f aca="false">SUM(B48:K48)+B50+$B$7+$B$8</f>
        <v>25.0553703876569</v>
      </c>
    </row>
    <row r="52" customFormat="false" ht="15" hidden="false" customHeight="false" outlineLevel="0" collapsed="false">
      <c r="A52" s="0" t="s">
        <v>148</v>
      </c>
      <c r="B52" s="31" t="n">
        <f aca="false">B51/$B$6</f>
        <v>198.694451924321</v>
      </c>
    </row>
    <row r="53" customFormat="false" ht="15" hidden="false" customHeight="false" outlineLevel="0" collapsed="false">
      <c r="A53" s="0" t="s">
        <v>149</v>
      </c>
      <c r="B53" s="6" t="n">
        <f aca="false">B52/$B$4-1</f>
        <v>-0.194427521085259</v>
      </c>
    </row>
    <row r="55" customFormat="false" ht="15" hidden="false" customHeight="false" outlineLevel="0" collapsed="false">
      <c r="A55" s="12" t="s">
        <v>200</v>
      </c>
      <c r="B55" s="26"/>
      <c r="C55" s="26"/>
      <c r="D55" s="26"/>
      <c r="E55" s="26"/>
      <c r="F55" s="26"/>
      <c r="G55" s="26"/>
      <c r="H55" s="26"/>
      <c r="I55" s="26"/>
      <c r="J55" s="26"/>
      <c r="K55" s="26"/>
      <c r="L55" s="26"/>
    </row>
    <row r="56" customFormat="false" ht="15" hidden="false" customHeight="false" outlineLevel="0" collapsed="false">
      <c r="A56" s="0" t="s">
        <v>134</v>
      </c>
      <c r="B56" s="22" t="n">
        <v>40</v>
      </c>
      <c r="C56" s="22" t="n">
        <v>50</v>
      </c>
      <c r="D56" s="22" t="n">
        <v>54</v>
      </c>
      <c r="E56" s="22" t="n">
        <v>58</v>
      </c>
      <c r="F56" s="22" t="n">
        <v>62</v>
      </c>
      <c r="G56" s="27" t="n">
        <f aca="false">F56*(1+$F57+($L57-$F57)*G$17/5)</f>
        <v>65.8546896551724</v>
      </c>
      <c r="H56" s="27" t="n">
        <f aca="false">G56*(1+$F57+($L57-$F57)*H$17/5)</f>
        <v>69.5016769512485</v>
      </c>
      <c r="I56" s="27" t="n">
        <f aca="false">H56*(1+$F57+($L57-$F57)*I$17/5)</f>
        <v>72.8784998072592</v>
      </c>
      <c r="J56" s="27" t="n">
        <f aca="false">I56*(1+$F57+($L57-$F57)*J$17/5)</f>
        <v>75.9243184888591</v>
      </c>
      <c r="K56" s="27" t="n">
        <f aca="false">J56*(1+$F57+($L57-$F57)*K$17/5)</f>
        <v>78.5816696359692</v>
      </c>
      <c r="L56" s="27" t="n">
        <f aca="false">K56*(1+L57)</f>
        <v>81.3320280732281</v>
      </c>
    </row>
    <row r="57" customFormat="false" ht="15" hidden="false" customHeight="false" outlineLevel="0" collapsed="false">
      <c r="A57" s="0" t="s">
        <v>135</v>
      </c>
      <c r="B57" s="6" t="n">
        <f aca="false">B56/$B$12-1</f>
        <v>0.904761904761905</v>
      </c>
      <c r="C57" s="6" t="n">
        <f aca="false">C56/B56-1</f>
        <v>0.25</v>
      </c>
      <c r="D57" s="6" t="n">
        <f aca="false">D56/C56-1</f>
        <v>0.0800000000000001</v>
      </c>
      <c r="E57" s="6" t="n">
        <f aca="false">E56/D56-1</f>
        <v>0.0740740740740742</v>
      </c>
      <c r="F57" s="6" t="n">
        <f aca="false">F56/E56-1</f>
        <v>0.0689655172413792</v>
      </c>
      <c r="G57" s="6" t="n">
        <f aca="false">G56/F56-1</f>
        <v>0.0621724137931035</v>
      </c>
      <c r="H57" s="6" t="n">
        <f aca="false">H56/G56-1</f>
        <v>0.0553793103448275</v>
      </c>
      <c r="I57" s="6" t="n">
        <f aca="false">I56/H56-1</f>
        <v>0.0485862068965517</v>
      </c>
      <c r="J57" s="6" t="n">
        <f aca="false">J56/I56-1</f>
        <v>0.0417931034482759</v>
      </c>
      <c r="K57" s="6" t="n">
        <f aca="false">K56/J56-1</f>
        <v>0.0349999999999999</v>
      </c>
      <c r="L57" s="28" t="n">
        <v>0.035</v>
      </c>
    </row>
    <row r="58" customFormat="false" ht="15" hidden="false" customHeight="false" outlineLevel="0" collapsed="false">
      <c r="A58" s="0" t="s">
        <v>136</v>
      </c>
      <c r="B58" s="29" t="n">
        <v>0.088</v>
      </c>
      <c r="C58" s="29" t="n">
        <v>0.09</v>
      </c>
      <c r="D58" s="29" t="n">
        <v>0.09</v>
      </c>
      <c r="E58" s="29" t="n">
        <v>0.09</v>
      </c>
      <c r="F58" s="29" t="n">
        <v>0.088</v>
      </c>
      <c r="G58" s="6" t="n">
        <f aca="false">$F58+($L58-$F58)*G$17/5</f>
        <v>0.0864</v>
      </c>
      <c r="H58" s="6" t="n">
        <f aca="false">$F58+($L58-$F58)*H$17/5</f>
        <v>0.0848</v>
      </c>
      <c r="I58" s="6" t="n">
        <f aca="false">$F58+($L58-$F58)*I$17/5</f>
        <v>0.0832</v>
      </c>
      <c r="J58" s="6" t="n">
        <f aca="false">$F58+($L58-$F58)*J$17/5</f>
        <v>0.0816</v>
      </c>
      <c r="K58" s="6" t="n">
        <f aca="false">$F58+($L58-$F58)*K$17/5</f>
        <v>0.08</v>
      </c>
      <c r="L58" s="28" t="n">
        <v>0.08</v>
      </c>
    </row>
    <row r="59" customFormat="false" ht="15" hidden="false" customHeight="false" outlineLevel="0" collapsed="false">
      <c r="A59" s="0" t="s">
        <v>137</v>
      </c>
      <c r="B59" s="27" t="n">
        <f aca="false">B56*B58</f>
        <v>3.52</v>
      </c>
      <c r="C59" s="27" t="n">
        <f aca="false">C56*C58</f>
        <v>4.5</v>
      </c>
      <c r="D59" s="27" t="n">
        <f aca="false">D56*D58</f>
        <v>4.86</v>
      </c>
      <c r="E59" s="27" t="n">
        <f aca="false">E56*E58</f>
        <v>5.22</v>
      </c>
      <c r="F59" s="27" t="n">
        <f aca="false">F56*F58</f>
        <v>5.456</v>
      </c>
      <c r="G59" s="27" t="n">
        <f aca="false">G56*G58</f>
        <v>5.6898451862069</v>
      </c>
      <c r="H59" s="27" t="n">
        <f aca="false">H56*H58</f>
        <v>5.89374220546587</v>
      </c>
      <c r="I59" s="27" t="n">
        <f aca="false">I56*I58</f>
        <v>6.06349118396396</v>
      </c>
      <c r="J59" s="27" t="n">
        <f aca="false">J56*J58</f>
        <v>6.1954243886909</v>
      </c>
      <c r="K59" s="27" t="n">
        <f aca="false">K56*K58</f>
        <v>6.28653357087753</v>
      </c>
      <c r="L59" s="27" t="n">
        <f aca="false">L56*L58</f>
        <v>6.50656224585825</v>
      </c>
    </row>
    <row r="60" customFormat="false" ht="15" hidden="false" customHeight="false" outlineLevel="0" collapsed="false">
      <c r="A60" s="0" t="s">
        <v>138</v>
      </c>
      <c r="B60" s="27" t="n">
        <f aca="false">B59*(1-$B$9)</f>
        <v>2.7808</v>
      </c>
      <c r="C60" s="27" t="n">
        <f aca="false">C59*(1-$B$9)</f>
        <v>3.555</v>
      </c>
      <c r="D60" s="27" t="n">
        <f aca="false">D59*(1-$B$9)</f>
        <v>3.8394</v>
      </c>
      <c r="E60" s="27" t="n">
        <f aca="false">E59*(1-$B$9)</f>
        <v>4.1238</v>
      </c>
      <c r="F60" s="27" t="n">
        <f aca="false">F59*(1-$B$9)</f>
        <v>4.31024</v>
      </c>
      <c r="G60" s="27" t="n">
        <f aca="false">G59*(1-$B$9)</f>
        <v>4.49497769710345</v>
      </c>
      <c r="H60" s="27" t="n">
        <f aca="false">H59*(1-$B$9)</f>
        <v>4.65605634231804</v>
      </c>
      <c r="I60" s="27" t="n">
        <f aca="false">I59*(1-$B$9)</f>
        <v>4.79015803533153</v>
      </c>
      <c r="J60" s="27" t="n">
        <f aca="false">J59*(1-$B$9)</f>
        <v>4.89438526706581</v>
      </c>
      <c r="K60" s="27" t="n">
        <f aca="false">K59*(1-$B$9)</f>
        <v>4.96636152099325</v>
      </c>
      <c r="L60" s="27" t="n">
        <f aca="false">L59*(1-$B$9)</f>
        <v>5.14018417422802</v>
      </c>
    </row>
    <row r="61" customFormat="false" ht="15" hidden="false" customHeight="false" outlineLevel="0" collapsed="false">
      <c r="A61" s="0" t="s">
        <v>139</v>
      </c>
      <c r="B61" s="29" t="n">
        <v>0.04</v>
      </c>
      <c r="C61" s="29" t="n">
        <v>0.03</v>
      </c>
      <c r="D61" s="29" t="n">
        <v>0.02</v>
      </c>
      <c r="E61" s="29" t="n">
        <v>0.015</v>
      </c>
      <c r="F61" s="29" t="n">
        <v>0.015</v>
      </c>
      <c r="G61" s="6" t="n">
        <f aca="false">$F61+($L61-$F61)*G$17/5</f>
        <v>0.014</v>
      </c>
      <c r="H61" s="6" t="n">
        <f aca="false">$F61+($L61-$F61)*H$17/5</f>
        <v>0.013</v>
      </c>
      <c r="I61" s="6" t="n">
        <f aca="false">$F61+($L61-$F61)*I$17/5</f>
        <v>0.012</v>
      </c>
      <c r="J61" s="6" t="n">
        <f aca="false">$F61+($L61-$F61)*J$17/5</f>
        <v>0.011</v>
      </c>
      <c r="K61" s="6" t="n">
        <f aca="false">$F61+($L61-$F61)*K$17/5</f>
        <v>0.01</v>
      </c>
      <c r="L61" s="28" t="n">
        <v>0.01</v>
      </c>
    </row>
    <row r="62" customFormat="false" ht="15" hidden="false" customHeight="false" outlineLevel="0" collapsed="false">
      <c r="A62" s="0" t="s">
        <v>140</v>
      </c>
      <c r="B62" s="27" t="n">
        <f aca="false">B56*B61</f>
        <v>1.6</v>
      </c>
      <c r="C62" s="27" t="n">
        <f aca="false">C56*C61</f>
        <v>1.5</v>
      </c>
      <c r="D62" s="27" t="n">
        <f aca="false">D56*D61</f>
        <v>1.08</v>
      </c>
      <c r="E62" s="27" t="n">
        <f aca="false">E56*E61</f>
        <v>0.87</v>
      </c>
      <c r="F62" s="27" t="n">
        <f aca="false">F56*F61</f>
        <v>0.93</v>
      </c>
      <c r="G62" s="27" t="n">
        <f aca="false">G56*G61</f>
        <v>0.921965655172414</v>
      </c>
      <c r="H62" s="27" t="n">
        <f aca="false">H56*H61</f>
        <v>0.90352180036623</v>
      </c>
      <c r="I62" s="27" t="n">
        <f aca="false">I56*I61</f>
        <v>0.87454199768711</v>
      </c>
      <c r="J62" s="27" t="n">
        <f aca="false">J56*J61</f>
        <v>0.83516750337745</v>
      </c>
      <c r="K62" s="27" t="n">
        <f aca="false">K56*K61</f>
        <v>0.785816696359692</v>
      </c>
      <c r="L62" s="27" t="n">
        <f aca="false">L56*L61</f>
        <v>0.813320280732281</v>
      </c>
    </row>
    <row r="63" customFormat="false" ht="15" hidden="false" customHeight="false" outlineLevel="0" collapsed="false">
      <c r="A63" s="0" t="s">
        <v>141</v>
      </c>
      <c r="B63" s="27" t="n">
        <f aca="false">$B$11*(B56-$B$12)</f>
        <v>1.9</v>
      </c>
      <c r="C63" s="27" t="n">
        <f aca="false">$B$11*(C56-B56)</f>
        <v>1</v>
      </c>
      <c r="D63" s="27" t="n">
        <f aca="false">$B$11*(D56-C56)</f>
        <v>0.4</v>
      </c>
      <c r="E63" s="27" t="n">
        <f aca="false">$B$11*(E56-D56)</f>
        <v>0.4</v>
      </c>
      <c r="F63" s="27" t="n">
        <f aca="false">$B$11*(F56-E56)</f>
        <v>0.4</v>
      </c>
      <c r="G63" s="27" t="n">
        <f aca="false">$B$11*(G56-F56)</f>
        <v>0.385468965517241</v>
      </c>
      <c r="H63" s="27" t="n">
        <f aca="false">$B$11*(H56-G56)</f>
        <v>0.364698729607609</v>
      </c>
      <c r="I63" s="27" t="n">
        <f aca="false">$B$11*(I56-H56)</f>
        <v>0.337682285601066</v>
      </c>
      <c r="J63" s="27" t="n">
        <f aca="false">$B$11*(J56-I56)</f>
        <v>0.304581868159994</v>
      </c>
      <c r="K63" s="27" t="n">
        <f aca="false">$B$11*(K56-J56)</f>
        <v>0.265735114711006</v>
      </c>
      <c r="L63" s="27" t="n">
        <f aca="false">$B$11*(L56-K56)</f>
        <v>0.275035843725891</v>
      </c>
    </row>
    <row r="64" customFormat="false" ht="15" hidden="false" customHeight="false" outlineLevel="0" collapsed="false">
      <c r="A64" s="0" t="s">
        <v>142</v>
      </c>
      <c r="B64" s="27" t="n">
        <f aca="false">B60-B62-B63</f>
        <v>-0.719200000000001</v>
      </c>
      <c r="C64" s="27" t="n">
        <f aca="false">C60-C62-C63</f>
        <v>1.055</v>
      </c>
      <c r="D64" s="27" t="n">
        <f aca="false">D60-D62-D63</f>
        <v>2.3594</v>
      </c>
      <c r="E64" s="27" t="n">
        <f aca="false">E60-E62-E63</f>
        <v>2.8538</v>
      </c>
      <c r="F64" s="27" t="n">
        <f aca="false">F60-F62-F63</f>
        <v>2.98024</v>
      </c>
      <c r="G64" s="27" t="n">
        <f aca="false">G60-G62-G63</f>
        <v>3.18754307641379</v>
      </c>
      <c r="H64" s="27" t="n">
        <f aca="false">H60-H62-H63</f>
        <v>3.3878358123442</v>
      </c>
      <c r="I64" s="27" t="n">
        <f aca="false">I60-I62-I63</f>
        <v>3.57793375204335</v>
      </c>
      <c r="J64" s="27" t="n">
        <f aca="false">J60-J62-J63</f>
        <v>3.75463589552837</v>
      </c>
      <c r="K64" s="27" t="n">
        <f aca="false">K60-K62-K63</f>
        <v>3.91480970992255</v>
      </c>
      <c r="L64" s="27" t="n">
        <f aca="false">L60-L62-L63</f>
        <v>4.05182804976984</v>
      </c>
    </row>
    <row r="65" customFormat="false" ht="15" hidden="false" customHeight="false" outlineLevel="0" collapsed="false">
      <c r="A65" s="0" t="s">
        <v>143</v>
      </c>
      <c r="B65" s="30" t="n">
        <f aca="false">1/(1+$B$10)^B$16</f>
        <v>0.951302988308988</v>
      </c>
      <c r="C65" s="30" t="n">
        <f aca="false">1/(1+$B$10)^C$16</f>
        <v>0.860907681727591</v>
      </c>
      <c r="D65" s="30" t="n">
        <f aca="false">1/(1+$B$10)^D$16</f>
        <v>0.77910197441411</v>
      </c>
      <c r="E65" s="30" t="n">
        <f aca="false">1/(1+$B$10)^E$16</f>
        <v>0.705069660103267</v>
      </c>
      <c r="F65" s="30" t="n">
        <f aca="false">1/(1+$B$10)^F$16</f>
        <v>0.638072090591192</v>
      </c>
      <c r="G65" s="30" t="n">
        <f aca="false">1/(1+$B$10)^G$16</f>
        <v>0.577440805964879</v>
      </c>
      <c r="H65" s="30" t="n">
        <f aca="false">1/(1+$B$10)^H$16</f>
        <v>0.522570865126588</v>
      </c>
      <c r="I65" s="30" t="n">
        <f aca="false">1/(1+$B$10)^I$16</f>
        <v>0.47291481006931</v>
      </c>
      <c r="J65" s="30" t="n">
        <f aca="false">1/(1+$B$10)^J$16</f>
        <v>0.427977203682634</v>
      </c>
      <c r="K65" s="30" t="n">
        <f aca="false">1/(1+$B$10)^K$16</f>
        <v>0.387309686590619</v>
      </c>
    </row>
    <row r="66" customFormat="false" ht="15" hidden="false" customHeight="false" outlineLevel="0" collapsed="false">
      <c r="A66" s="0" t="s">
        <v>144</v>
      </c>
      <c r="B66" s="27" t="n">
        <f aca="false">B64*B65</f>
        <v>-0.684177109191825</v>
      </c>
      <c r="C66" s="27" t="n">
        <f aca="false">C64*C65</f>
        <v>0.908257604222609</v>
      </c>
      <c r="D66" s="27" t="n">
        <f aca="false">D64*D65</f>
        <v>1.83821319843265</v>
      </c>
      <c r="E66" s="27" t="n">
        <f aca="false">E64*E65</f>
        <v>2.0121277960027</v>
      </c>
      <c r="F66" s="27" t="n">
        <f aca="false">F64*F65</f>
        <v>1.90160796726349</v>
      </c>
      <c r="G66" s="27" t="n">
        <f aca="false">G64*G65</f>
        <v>1.84061744309215</v>
      </c>
      <c r="H66" s="27" t="n">
        <f aca="false">H64*H65</f>
        <v>1.77038429136354</v>
      </c>
      <c r="I66" s="27" t="n">
        <f aca="false">I64*I65</f>
        <v>1.69205786078816</v>
      </c>
      <c r="J66" s="27" t="n">
        <f aca="false">J64*J65</f>
        <v>1.60689857141467</v>
      </c>
      <c r="K66" s="27" t="n">
        <f aca="false">K64*K65</f>
        <v>1.51624372181201</v>
      </c>
      <c r="L66" s="27"/>
    </row>
    <row r="67" customFormat="false" ht="15" hidden="false" customHeight="false" outlineLevel="0" collapsed="false">
      <c r="A67" s="0" t="s">
        <v>145</v>
      </c>
      <c r="B67" s="27" t="n">
        <f aca="false">L64/($B$10-L57)</f>
        <v>57.8832578538549</v>
      </c>
      <c r="C67" s="0" t="str">
        <f aca="false">IF($B$10&gt;L57,"","Discount rate must exceed terminal growth")</f>
        <v/>
      </c>
    </row>
    <row r="68" customFormat="false" ht="15" hidden="false" customHeight="false" outlineLevel="0" collapsed="false">
      <c r="A68" s="0" t="s">
        <v>146</v>
      </c>
      <c r="B68" s="27" t="n">
        <f aca="false">B67/(1+$B$10)^$K$16</f>
        <v>22.4187464582205</v>
      </c>
    </row>
    <row r="69" customFormat="false" ht="15" hidden="false" customHeight="false" outlineLevel="0" collapsed="false">
      <c r="A69" s="0" t="s">
        <v>147</v>
      </c>
      <c r="B69" s="27" t="n">
        <f aca="false">SUM(B66:K66)+B68+$B$7+$B$8</f>
        <v>39.9634778034207</v>
      </c>
    </row>
    <row r="70" customFormat="false" ht="15" hidden="false" customHeight="false" outlineLevel="0" collapsed="false">
      <c r="A70" s="0" t="s">
        <v>148</v>
      </c>
      <c r="B70" s="31" t="n">
        <f aca="false">B69/$B$6</f>
        <v>316.918935792392</v>
      </c>
    </row>
    <row r="71" customFormat="false" ht="15" hidden="false" customHeight="false" outlineLevel="0" collapsed="false">
      <c r="A71" s="0" t="s">
        <v>149</v>
      </c>
      <c r="B71" s="6" t="n">
        <f aca="false">B70/$B$4-1</f>
        <v>0.284893313571426</v>
      </c>
    </row>
    <row r="74" customFormat="false" ht="15" hidden="false" customHeight="false" outlineLevel="0" collapsed="false">
      <c r="A74" s="12" t="s">
        <v>152</v>
      </c>
      <c r="B74" s="26"/>
      <c r="C74" s="12" t="s">
        <v>153</v>
      </c>
      <c r="D74" s="26"/>
      <c r="E74" s="26"/>
      <c r="F74" s="26"/>
      <c r="G74" s="26"/>
      <c r="H74" s="26"/>
      <c r="I74" s="26"/>
      <c r="J74" s="26"/>
      <c r="K74" s="26"/>
      <c r="L74" s="26"/>
    </row>
    <row r="75" customFormat="false" ht="15" hidden="false" customHeight="false" outlineLevel="0" collapsed="false">
      <c r="A75" s="0" t="s">
        <v>154</v>
      </c>
      <c r="B75" s="7" t="n">
        <f aca="false">B34</f>
        <v>126.0768383782</v>
      </c>
      <c r="C75" s="6" t="n">
        <f aca="false">B75/$B$4-1</f>
        <v>-0.488843144625176</v>
      </c>
    </row>
    <row r="76" customFormat="false" ht="15" hidden="false" customHeight="false" outlineLevel="0" collapsed="false">
      <c r="A76" s="0" t="s">
        <v>155</v>
      </c>
      <c r="B76" s="7" t="n">
        <f aca="false">B52</f>
        <v>198.694451924321</v>
      </c>
      <c r="C76" s="6" t="n">
        <f aca="false">B76/$B$4-1</f>
        <v>-0.194427521085259</v>
      </c>
    </row>
    <row r="77" customFormat="false" ht="15" hidden="false" customHeight="false" outlineLevel="0" collapsed="false">
      <c r="A77" s="0" t="s">
        <v>156</v>
      </c>
      <c r="B77" s="7" t="n">
        <f aca="false">B70</f>
        <v>316.918935792392</v>
      </c>
      <c r="C77" s="6" t="n">
        <f aca="false">B77/$B$4-1</f>
        <v>0.284893313571426</v>
      </c>
    </row>
    <row r="78" customFormat="false" ht="15" hidden="false" customHeight="false" outlineLevel="0" collapsed="false">
      <c r="A78" s="0" t="s">
        <v>157</v>
      </c>
      <c r="B78" s="7" t="n">
        <f aca="false">INDEX(B34:B70,1+($B$13-1)*18)</f>
        <v>198.694451924321</v>
      </c>
      <c r="C78" s="6" t="n">
        <f aca="false">B78/$B$4-1</f>
        <v>-0.194427521085259</v>
      </c>
    </row>
    <row r="79" customFormat="false" ht="15" hidden="false" customHeight="false" outlineLevel="0" collapsed="false">
      <c r="A79" s="0" t="s">
        <v>158</v>
      </c>
      <c r="B79" s="8" t="n">
        <f aca="false">B50/(SUM(B48:K48)+B50)</f>
        <v>0.54299109546829</v>
      </c>
    </row>
    <row r="81" customFormat="false" ht="15" hidden="false" customHeight="false" outlineLevel="0" collapsed="false">
      <c r="A81" s="9" t="s">
        <v>159</v>
      </c>
    </row>
    <row r="82" customFormat="false" ht="15" hidden="false" customHeight="false" outlineLevel="0" collapsed="false">
      <c r="A82" s="0" t="s">
        <v>5</v>
      </c>
      <c r="B82" s="11" t="n">
        <v>0.05</v>
      </c>
      <c r="C82" s="11" t="n">
        <v>0.06</v>
      </c>
      <c r="D82" s="11" t="n">
        <v>0.07</v>
      </c>
      <c r="E82" s="11" t="n">
        <v>0.08</v>
      </c>
      <c r="F82" s="11" t="n">
        <v>0.09</v>
      </c>
      <c r="G82" s="11" t="n">
        <v>0.1</v>
      </c>
      <c r="H82" s="11" t="n">
        <v>0.11</v>
      </c>
      <c r="I82" s="11" t="n">
        <v>0.12</v>
      </c>
      <c r="J82" s="11" t="n">
        <v>0.13</v>
      </c>
      <c r="K82" s="11" t="n">
        <v>0.14</v>
      </c>
    </row>
    <row r="83" customFormat="false" ht="15" hidden="false" customHeight="false" outlineLevel="0" collapsed="false">
      <c r="A83" s="0" t="s">
        <v>155</v>
      </c>
      <c r="B83" s="7" t="n">
        <f aca="false">IF(B82&gt;$L39,(SUMPRODUCT($B46:$K46/(1+B82)^$B$16:$K$16)+$L46/(B82-$L39)/(1+B82)^$K$16+$B$7+$B$8)/$B$6,"n/a")</f>
        <v>704.39451039781</v>
      </c>
      <c r="C83" s="7" t="n">
        <f aca="false">IF(C82&gt;$L39,(SUMPRODUCT($B46:$K46/(1+C82)^$B$16:$K$16)+$L46/(C82-$L39)/(1+C82)^$K$16+$B$7+$B$8)/$B$6,"n/a")</f>
        <v>474.46434067676</v>
      </c>
      <c r="D83" s="7" t="n">
        <f aca="false">IF(D82&gt;$L39,(SUMPRODUCT($B46:$K46/(1+D82)^$B$16:$K$16)+$L46/(D82-$L39)/(1+D82)^$K$16+$B$7+$B$8)/$B$6,"n/a")</f>
        <v>359.520959051058</v>
      </c>
      <c r="E83" s="7" t="n">
        <f aca="false">IF(E82&gt;$L39,(SUMPRODUCT($B46:$K46/(1+E82)^$B$16:$K$16)+$L46/(E82-$L39)/(1+E82)^$K$16+$B$7+$B$8)/$B$6,"n/a")</f>
        <v>290.572659028855</v>
      </c>
      <c r="F83" s="7" t="n">
        <f aca="false">IF(F82&gt;$L39,(SUMPRODUCT($B46:$K46/(1+F82)^$B$16:$K$16)+$L46/(F82-$L39)/(1+F82)^$K$16+$B$7+$B$8)/$B$6,"n/a")</f>
        <v>244.622139994527</v>
      </c>
      <c r="G83" s="7" t="n">
        <f aca="false">IF(G82&gt;$L39,(SUMPRODUCT($B46:$K46/(1+G82)^$B$16:$K$16)+$L46/(G82-$L39)/(1+G82)^$K$16+$B$7+$B$8)/$B$6,"n/a")</f>
        <v>211.813367100302</v>
      </c>
      <c r="H83" s="7" t="n">
        <f aca="false">IF(H82&gt;$L39,(SUMPRODUCT($B46:$K46/(1+H82)^$B$16:$K$16)+$L46/(H82-$L39)/(1+H82)^$K$16+$B$7+$B$8)/$B$6,"n/a")</f>
        <v>187.218285496945</v>
      </c>
      <c r="I83" s="7" t="n">
        <f aca="false">IF(I82&gt;$L39,(SUMPRODUCT($B46:$K46/(1+I82)^$B$16:$K$16)+$L46/(I82-$L39)/(1+I82)^$K$16+$B$7+$B$8)/$B$6,"n/a")</f>
        <v>168.099057834869</v>
      </c>
      <c r="J83" s="7" t="n">
        <f aca="false">IF(J82&gt;$L39,(SUMPRODUCT($B46:$K46/(1+J82)^$B$16:$K$16)+$L46/(J82-$L39)/(1+J82)^$K$16+$B$7+$B$8)/$B$6,"n/a")</f>
        <v>152.812958811803</v>
      </c>
      <c r="K83" s="7" t="n">
        <f aca="false">IF(K82&gt;$L39,(SUMPRODUCT($B46:$K46/(1+K82)^$B$16:$K$16)+$L46/(K82-$L39)/(1+K82)^$K$16+$B$7+$B$8)/$B$6,"n/a")</f>
        <v>140.314599607172</v>
      </c>
    </row>
    <row r="84" customFormat="false" ht="15" hidden="false" customHeight="false" outlineLevel="0" collapsed="false">
      <c r="A84" s="0" t="s">
        <v>160</v>
      </c>
      <c r="B84" s="6" t="n">
        <f aca="false">IFERROR(B83/$B$4-1,"n/a")</f>
        <v>1.85584638312512</v>
      </c>
      <c r="C84" s="6" t="n">
        <f aca="false">IFERROR(C83/$B$4-1,"n/a")</f>
        <v>0.923634059098967</v>
      </c>
      <c r="D84" s="6" t="n">
        <f aca="false">IFERROR(D83/$B$4-1,"n/a")</f>
        <v>0.457615889118419</v>
      </c>
      <c r="E84" s="6" t="n">
        <f aca="false">IFERROR(E83/$B$4-1,"n/a")</f>
        <v>0.178076866121449</v>
      </c>
      <c r="F84" s="6" t="n">
        <f aca="false">IFERROR(F83/$B$4-1,"n/a")</f>
        <v>-0.00822160959040197</v>
      </c>
      <c r="G84" s="6" t="n">
        <f aca="false">IFERROR(G83/$B$4-1,"n/a")</f>
        <v>-0.141239136021482</v>
      </c>
      <c r="H84" s="6" t="n">
        <f aca="false">IFERROR(H83/$B$4-1,"n/a")</f>
        <v>-0.240955663908595</v>
      </c>
      <c r="I84" s="6" t="n">
        <f aca="false">IFERROR(I83/$B$4-1,"n/a")</f>
        <v>-0.318471283864304</v>
      </c>
      <c r="J84" s="6" t="n">
        <f aca="false">IFERROR(J83/$B$4-1,"n/a")</f>
        <v>-0.380446143069925</v>
      </c>
      <c r="K84" s="6" t="n">
        <f aca="false">IFERROR(K83/$B$4-1,"n/a")</f>
        <v>-0.431118590686511</v>
      </c>
    </row>
    <row r="86" customFormat="false" ht="15" hidden="false" customHeight="false" outlineLevel="0" collapsed="false">
      <c r="A86" s="9" t="s">
        <v>161</v>
      </c>
      <c r="B86" s="18" t="n">
        <f aca="false">IFERROR(IF(MATCH($B$4,$B$83:$K$83,-1)=10,"above 14%",INDEX($B$82:$K$82,MATCH($B$4,$B$83:$K$83,-1))+(INDEX($B$83:$K$83,MATCH($B$4,$B$83:$K$83,-1))-$B$4)/(INDEX($B$83:$K$83,MATCH($B$4,$B$83:$K$83,-1))-INDEX($B$83:$K$83,MATCH($B$4,$B$83:$K$83,-1)+1))*(INDEX($B$82:$K$82,MATCH($B$4,$B$83:$K$83,-1)+1)-INDEX($B$82:$K$82,MATCH($B$4,$B$83:$K$83,-1)))),"below 5%")</f>
        <v>0.0895586861589185</v>
      </c>
      <c r="C86"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1"/>
    <col collapsed="false" customWidth="true" hidden="false" outlineLevel="0" max="3" min="3" style="0" width="12"/>
    <col collapsed="false" customWidth="true" hidden="false" outlineLevel="0" max="12" min="4" style="0" width="11"/>
  </cols>
  <sheetData>
    <row r="1" customFormat="false" ht="16.15" hidden="false" customHeight="false" outlineLevel="0" collapsed="false">
      <c r="A1" s="1" t="s">
        <v>201</v>
      </c>
    </row>
    <row r="2" customFormat="false" ht="15" hidden="false" customHeight="false" outlineLevel="0" collapsed="false">
      <c r="A2" s="2" t="s">
        <v>100</v>
      </c>
    </row>
    <row r="4" customFormat="false" ht="15" hidden="false" customHeight="false" outlineLevel="0" collapsed="false">
      <c r="A4" s="0" t="s">
        <v>101</v>
      </c>
      <c r="B4" s="19" t="n">
        <v>37.405</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106</v>
      </c>
      <c r="B6" s="21" t="n">
        <v>2.16</v>
      </c>
      <c r="C6" s="2" t="s">
        <v>61</v>
      </c>
    </row>
    <row r="7" customFormat="false" ht="15" hidden="false" customHeight="false" outlineLevel="0" collapsed="false">
      <c r="A7" s="0" t="s">
        <v>107</v>
      </c>
      <c r="B7" s="22" t="n">
        <v>-33.96</v>
      </c>
      <c r="C7" s="2" t="s">
        <v>108</v>
      </c>
    </row>
    <row r="8" customFormat="false" ht="15" hidden="false" customHeight="false" outlineLevel="0" collapsed="false">
      <c r="A8" s="0" t="s">
        <v>109</v>
      </c>
      <c r="B8" s="22" t="n">
        <v>0</v>
      </c>
      <c r="C8" s="2" t="s">
        <v>202</v>
      </c>
    </row>
    <row r="9" customFormat="false" ht="15" hidden="false" customHeight="false" outlineLevel="0" collapsed="false">
      <c r="A9" s="0" t="s">
        <v>72</v>
      </c>
      <c r="B9" s="11" t="n">
        <v>0</v>
      </c>
      <c r="C9" s="2" t="s">
        <v>111</v>
      </c>
    </row>
    <row r="10" customFormat="false" ht="15" hidden="false" customHeight="false" outlineLevel="0" collapsed="false">
      <c r="A10" s="0" t="s">
        <v>112</v>
      </c>
      <c r="B10" s="23" t="n">
        <f aca="false">WACC!I29</f>
        <v>0.08</v>
      </c>
      <c r="C10" s="2" t="s">
        <v>113</v>
      </c>
    </row>
    <row r="11" customFormat="false" ht="15" hidden="false" customHeight="false" outlineLevel="0" collapsed="false">
      <c r="A11" s="0" t="s">
        <v>114</v>
      </c>
      <c r="B11" s="11" t="n">
        <v>0</v>
      </c>
      <c r="C11" s="2" t="s">
        <v>45</v>
      </c>
    </row>
    <row r="12" customFormat="false" ht="15" hidden="false" customHeight="false" outlineLevel="0" collapsed="false">
      <c r="A12" s="0" t="s">
        <v>115</v>
      </c>
      <c r="B12" s="22" t="n">
        <v>58.5</v>
      </c>
      <c r="C12" s="2" t="s">
        <v>203</v>
      </c>
    </row>
    <row r="13" customFormat="false" ht="15" hidden="false" customHeight="false" outlineLevel="0" collapsed="false">
      <c r="A13" s="0" t="s">
        <v>117</v>
      </c>
      <c r="B13" s="10" t="n">
        <v>2</v>
      </c>
      <c r="C13" s="2" t="s">
        <v>118</v>
      </c>
    </row>
    <row r="15" customFormat="false" ht="15" hidden="false" customHeight="false" outlineLevel="0" collapsed="false">
      <c r="A15" s="9" t="s">
        <v>119</v>
      </c>
      <c r="B15" s="24" t="s">
        <v>120</v>
      </c>
      <c r="C15" s="24" t="s">
        <v>121</v>
      </c>
      <c r="D15" s="24" t="s">
        <v>122</v>
      </c>
      <c r="E15" s="24" t="s">
        <v>123</v>
      </c>
      <c r="F15" s="24" t="s">
        <v>124</v>
      </c>
      <c r="G15" s="24" t="s">
        <v>125</v>
      </c>
      <c r="H15" s="24" t="s">
        <v>126</v>
      </c>
      <c r="I15" s="24" t="s">
        <v>127</v>
      </c>
      <c r="J15" s="24" t="s">
        <v>128</v>
      </c>
      <c r="K15" s="24" t="s">
        <v>129</v>
      </c>
      <c r="L15" s="9" t="s">
        <v>130</v>
      </c>
    </row>
    <row r="16" customFormat="false" ht="15" hidden="false" customHeight="false" outlineLevel="0" collapsed="false">
      <c r="A16" s="0" t="s">
        <v>131</v>
      </c>
      <c r="B16" s="20" t="n">
        <v>0.5</v>
      </c>
      <c r="C16" s="25" t="n">
        <f aca="false">B16+1</f>
        <v>1.5</v>
      </c>
      <c r="D16" s="25" t="n">
        <f aca="false">C16+1</f>
        <v>2.5</v>
      </c>
      <c r="E16" s="25" t="n">
        <f aca="false">D16+1</f>
        <v>3.5</v>
      </c>
      <c r="F16" s="25" t="n">
        <f aca="false">E16+1</f>
        <v>4.5</v>
      </c>
      <c r="G16" s="25" t="n">
        <f aca="false">F16+1</f>
        <v>5.5</v>
      </c>
      <c r="H16" s="25" t="n">
        <f aca="false">G16+1</f>
        <v>6.5</v>
      </c>
      <c r="I16" s="25" t="n">
        <f aca="false">H16+1</f>
        <v>7.5</v>
      </c>
      <c r="J16" s="25" t="n">
        <f aca="false">I16+1</f>
        <v>8.5</v>
      </c>
      <c r="K16" s="25" t="n">
        <f aca="false">J16+1</f>
        <v>9.5</v>
      </c>
    </row>
    <row r="17" customFormat="false" ht="15" hidden="false" customHeight="false" outlineLevel="0" collapsed="false">
      <c r="A17" s="0" t="s">
        <v>132</v>
      </c>
      <c r="B17" s="0" t="n">
        <v>0</v>
      </c>
      <c r="C17" s="0" t="n">
        <v>0</v>
      </c>
      <c r="D17" s="0" t="n">
        <v>0</v>
      </c>
      <c r="E17" s="0" t="n">
        <v>0</v>
      </c>
      <c r="F17" s="0" t="n">
        <v>0</v>
      </c>
      <c r="G17" s="0" t="n">
        <v>1</v>
      </c>
      <c r="H17" s="0" t="n">
        <v>2</v>
      </c>
      <c r="I17" s="0" t="n">
        <v>3</v>
      </c>
      <c r="J17" s="0" t="n">
        <v>4</v>
      </c>
      <c r="K17" s="0" t="n">
        <v>5</v>
      </c>
    </row>
    <row r="19" customFormat="false" ht="15" hidden="false" customHeight="false" outlineLevel="0" collapsed="false">
      <c r="A19" s="12" t="s">
        <v>204</v>
      </c>
      <c r="B19" s="26"/>
      <c r="C19" s="26"/>
      <c r="D19" s="26"/>
      <c r="E19" s="26"/>
      <c r="F19" s="26"/>
      <c r="G19" s="26"/>
      <c r="H19" s="26"/>
      <c r="I19" s="26"/>
      <c r="J19" s="26"/>
      <c r="K19" s="26"/>
      <c r="L19" s="26"/>
    </row>
    <row r="20" customFormat="false" ht="15" hidden="false" customHeight="false" outlineLevel="0" collapsed="false">
      <c r="A20" s="0" t="s">
        <v>134</v>
      </c>
      <c r="B20" s="22" t="n">
        <v>57</v>
      </c>
      <c r="C20" s="22" t="n">
        <v>57</v>
      </c>
      <c r="D20" s="22" t="n">
        <v>57.5</v>
      </c>
      <c r="E20" s="22" t="n">
        <v>58</v>
      </c>
      <c r="F20" s="22" t="n">
        <v>58.5</v>
      </c>
      <c r="G20" s="27" t="n">
        <f aca="false">F20*(1+$F21+($L21-$F21)*G$17/5)</f>
        <v>59.0204482758621</v>
      </c>
      <c r="H20" s="27" t="n">
        <f aca="false">G20*(1+$F21+($L21-$F21)*H$17/5)</f>
        <v>59.5618082497027</v>
      </c>
      <c r="I20" s="27" t="n">
        <f aca="false">H20*(1+$F21+($L21-$F21)*I$17/5)</f>
        <v>60.1245646448896</v>
      </c>
      <c r="J20" s="27" t="n">
        <f aca="false">I20*(1+$F21+($L21-$F21)*J$17/5)</f>
        <v>60.7092242045399</v>
      </c>
      <c r="K20" s="27" t="n">
        <f aca="false">J20*(1+$F21+($L21-$F21)*K$17/5)</f>
        <v>61.3163164465853</v>
      </c>
      <c r="L20" s="27" t="n">
        <f aca="false">K20*(1+L21)</f>
        <v>61.9294796110511</v>
      </c>
    </row>
    <row r="21" customFormat="false" ht="15" hidden="false" customHeight="false" outlineLevel="0" collapsed="false">
      <c r="A21" s="0" t="s">
        <v>135</v>
      </c>
      <c r="B21" s="6" t="n">
        <f aca="false">B20/$B$12-1</f>
        <v>-0.0256410256410257</v>
      </c>
      <c r="C21" s="6" t="n">
        <f aca="false">C20/B20-1</f>
        <v>0</v>
      </c>
      <c r="D21" s="6" t="n">
        <f aca="false">D20/C20-1</f>
        <v>0.00877192982456143</v>
      </c>
      <c r="E21" s="6" t="n">
        <f aca="false">E20/D20-1</f>
        <v>0.00869565217391299</v>
      </c>
      <c r="F21" s="6" t="n">
        <f aca="false">F20/E20-1</f>
        <v>0.00862068965517238</v>
      </c>
      <c r="G21" s="6" t="n">
        <f aca="false">G20/F20-1</f>
        <v>0.00889655172413795</v>
      </c>
      <c r="H21" s="6" t="n">
        <f aca="false">H20/G20-1</f>
        <v>0.00917241379310352</v>
      </c>
      <c r="I21" s="6" t="n">
        <f aca="false">I20/H20-1</f>
        <v>0.00944827586206887</v>
      </c>
      <c r="J21" s="6" t="n">
        <f aca="false">J20/I20-1</f>
        <v>0.00972413793103444</v>
      </c>
      <c r="K21" s="6" t="n">
        <f aca="false">K20/J20-1</f>
        <v>0.01</v>
      </c>
      <c r="L21" s="28" t="n">
        <v>0.01</v>
      </c>
    </row>
    <row r="22" customFormat="false" ht="15" hidden="false" customHeight="false" outlineLevel="0" collapsed="false">
      <c r="A22" s="0" t="s">
        <v>136</v>
      </c>
      <c r="B22" s="29" t="n">
        <v>0.12</v>
      </c>
      <c r="C22" s="29" t="n">
        <v>0.12</v>
      </c>
      <c r="D22" s="29" t="n">
        <v>0.12</v>
      </c>
      <c r="E22" s="29" t="n">
        <v>0.12</v>
      </c>
      <c r="F22" s="29" t="n">
        <v>0.12</v>
      </c>
      <c r="G22" s="6" t="n">
        <f aca="false">$F22+($L22-$F22)*G$17/5</f>
        <v>0.119</v>
      </c>
      <c r="H22" s="6" t="n">
        <f aca="false">$F22+($L22-$F22)*H$17/5</f>
        <v>0.118</v>
      </c>
      <c r="I22" s="6" t="n">
        <f aca="false">$F22+($L22-$F22)*I$17/5</f>
        <v>0.117</v>
      </c>
      <c r="J22" s="6" t="n">
        <f aca="false">$F22+($L22-$F22)*J$17/5</f>
        <v>0.116</v>
      </c>
      <c r="K22" s="6" t="n">
        <f aca="false">$F22+($L22-$F22)*K$17/5</f>
        <v>0.115</v>
      </c>
      <c r="L22" s="28" t="n">
        <v>0.115</v>
      </c>
    </row>
    <row r="23" customFormat="false" ht="15" hidden="false" customHeight="false" outlineLevel="0" collapsed="false">
      <c r="A23" s="0" t="s">
        <v>137</v>
      </c>
      <c r="B23" s="27" t="n">
        <f aca="false">B20*B22</f>
        <v>6.84</v>
      </c>
      <c r="C23" s="27" t="n">
        <f aca="false">C20*C22</f>
        <v>6.84</v>
      </c>
      <c r="D23" s="27" t="n">
        <f aca="false">D20*D22</f>
        <v>6.9</v>
      </c>
      <c r="E23" s="27" t="n">
        <f aca="false">E20*E22</f>
        <v>6.96</v>
      </c>
      <c r="F23" s="27" t="n">
        <f aca="false">F20*F22</f>
        <v>7.02</v>
      </c>
      <c r="G23" s="27" t="n">
        <f aca="false">G20*G22</f>
        <v>7.02343334482759</v>
      </c>
      <c r="H23" s="27" t="n">
        <f aca="false">H20*H22</f>
        <v>7.02829337346492</v>
      </c>
      <c r="I23" s="27" t="n">
        <f aca="false">I20*I22</f>
        <v>7.03457406345208</v>
      </c>
      <c r="J23" s="27" t="n">
        <f aca="false">J20*J22</f>
        <v>7.04227000772663</v>
      </c>
      <c r="K23" s="27" t="n">
        <f aca="false">K20*K22</f>
        <v>7.05137639135731</v>
      </c>
      <c r="L23" s="27" t="n">
        <f aca="false">L20*L22</f>
        <v>7.12189015527088</v>
      </c>
    </row>
    <row r="24" customFormat="false" ht="15" hidden="false" customHeight="false" outlineLevel="0" collapsed="false">
      <c r="A24" s="0" t="s">
        <v>138</v>
      </c>
      <c r="B24" s="27" t="n">
        <f aca="false">B23*(1-$B$9)</f>
        <v>6.84</v>
      </c>
      <c r="C24" s="27" t="n">
        <f aca="false">C23*(1-$B$9)</f>
        <v>6.84</v>
      </c>
      <c r="D24" s="27" t="n">
        <f aca="false">D23*(1-$B$9)</f>
        <v>6.9</v>
      </c>
      <c r="E24" s="27" t="n">
        <f aca="false">E23*(1-$B$9)</f>
        <v>6.96</v>
      </c>
      <c r="F24" s="27" t="n">
        <f aca="false">F23*(1-$B$9)</f>
        <v>7.02</v>
      </c>
      <c r="G24" s="27" t="n">
        <f aca="false">G23*(1-$B$9)</f>
        <v>7.02343334482759</v>
      </c>
      <c r="H24" s="27" t="n">
        <f aca="false">H23*(1-$B$9)</f>
        <v>7.02829337346492</v>
      </c>
      <c r="I24" s="27" t="n">
        <f aca="false">I23*(1-$B$9)</f>
        <v>7.03457406345208</v>
      </c>
      <c r="J24" s="27" t="n">
        <f aca="false">J23*(1-$B$9)</f>
        <v>7.04227000772663</v>
      </c>
      <c r="K24" s="27" t="n">
        <f aca="false">K23*(1-$B$9)</f>
        <v>7.05137639135731</v>
      </c>
      <c r="L24" s="27" t="n">
        <f aca="false">L23*(1-$B$9)</f>
        <v>7.12189015527088</v>
      </c>
    </row>
    <row r="25" customFormat="false" ht="15" hidden="false" customHeight="false" outlineLevel="0" collapsed="false">
      <c r="A25" s="0" t="s">
        <v>139</v>
      </c>
      <c r="B25" s="29" t="n">
        <v>0.05</v>
      </c>
      <c r="C25" s="29" t="n">
        <v>0.04</v>
      </c>
      <c r="D25" s="29" t="n">
        <v>0.03</v>
      </c>
      <c r="E25" s="29" t="n">
        <v>0.025</v>
      </c>
      <c r="F25" s="29" t="n">
        <v>0.02</v>
      </c>
      <c r="G25" s="6" t="n">
        <f aca="false">$F25+($L25-$F25)*G$17/5</f>
        <v>0.02</v>
      </c>
      <c r="H25" s="6" t="n">
        <f aca="false">$F25+($L25-$F25)*H$17/5</f>
        <v>0.02</v>
      </c>
      <c r="I25" s="6" t="n">
        <f aca="false">$F25+($L25-$F25)*I$17/5</f>
        <v>0.02</v>
      </c>
      <c r="J25" s="6" t="n">
        <f aca="false">$F25+($L25-$F25)*J$17/5</f>
        <v>0.02</v>
      </c>
      <c r="K25" s="6" t="n">
        <f aca="false">$F25+($L25-$F25)*K$17/5</f>
        <v>0.02</v>
      </c>
      <c r="L25" s="28" t="n">
        <v>0.02</v>
      </c>
    </row>
    <row r="26" customFormat="false" ht="15" hidden="false" customHeight="false" outlineLevel="0" collapsed="false">
      <c r="A26" s="0" t="s">
        <v>140</v>
      </c>
      <c r="B26" s="27" t="n">
        <f aca="false">B20*B25</f>
        <v>2.85</v>
      </c>
      <c r="C26" s="27" t="n">
        <f aca="false">C20*C25</f>
        <v>2.28</v>
      </c>
      <c r="D26" s="27" t="n">
        <f aca="false">D20*D25</f>
        <v>1.725</v>
      </c>
      <c r="E26" s="27" t="n">
        <f aca="false">E20*E25</f>
        <v>1.45</v>
      </c>
      <c r="F26" s="27" t="n">
        <f aca="false">F20*F25</f>
        <v>1.17</v>
      </c>
      <c r="G26" s="27" t="n">
        <f aca="false">G20*G25</f>
        <v>1.18040896551724</v>
      </c>
      <c r="H26" s="27" t="n">
        <f aca="false">H20*H25</f>
        <v>1.19123616499405</v>
      </c>
      <c r="I26" s="27" t="n">
        <f aca="false">I20*I25</f>
        <v>1.20249129289779</v>
      </c>
      <c r="J26" s="27" t="n">
        <f aca="false">J20*J25</f>
        <v>1.2141844840908</v>
      </c>
      <c r="K26" s="27" t="n">
        <f aca="false">K20*K25</f>
        <v>1.22632632893171</v>
      </c>
      <c r="L26" s="27" t="n">
        <f aca="false">L20*L25</f>
        <v>1.23858959222102</v>
      </c>
    </row>
    <row r="27" customFormat="false" ht="15" hidden="false" customHeight="false" outlineLevel="0" collapsed="false">
      <c r="A27" s="0" t="s">
        <v>141</v>
      </c>
      <c r="B27" s="27" t="n">
        <f aca="false">$B$11*(B20-$B$12)</f>
        <v>-0</v>
      </c>
      <c r="C27" s="27" t="n">
        <f aca="false">$B$11*(C20-B20)</f>
        <v>0</v>
      </c>
      <c r="D27" s="27" t="n">
        <f aca="false">$B$11*(D20-C20)</f>
        <v>0</v>
      </c>
      <c r="E27" s="27" t="n">
        <f aca="false">$B$11*(E20-D20)</f>
        <v>0</v>
      </c>
      <c r="F27" s="27" t="n">
        <f aca="false">$B$11*(F20-E20)</f>
        <v>0</v>
      </c>
      <c r="G27" s="27" t="n">
        <f aca="false">$B$11*(G20-F20)</f>
        <v>0</v>
      </c>
      <c r="H27" s="27" t="n">
        <f aca="false">$B$11*(H20-G20)</f>
        <v>0</v>
      </c>
      <c r="I27" s="27" t="n">
        <f aca="false">$B$11*(I20-H20)</f>
        <v>0</v>
      </c>
      <c r="J27" s="27" t="n">
        <f aca="false">$B$11*(J20-I20)</f>
        <v>0</v>
      </c>
      <c r="K27" s="27" t="n">
        <f aca="false">$B$11*(K20-J20)</f>
        <v>0</v>
      </c>
      <c r="L27" s="27" t="n">
        <f aca="false">$B$11*(L20-K20)</f>
        <v>0</v>
      </c>
    </row>
    <row r="28" customFormat="false" ht="15" hidden="false" customHeight="false" outlineLevel="0" collapsed="false">
      <c r="A28" s="0" t="s">
        <v>142</v>
      </c>
      <c r="B28" s="27" t="n">
        <f aca="false">B24-B26-B27</f>
        <v>3.99</v>
      </c>
      <c r="C28" s="27" t="n">
        <f aca="false">C24-C26-C27</f>
        <v>4.56</v>
      </c>
      <c r="D28" s="27" t="n">
        <f aca="false">D24-D26-D27</f>
        <v>5.175</v>
      </c>
      <c r="E28" s="27" t="n">
        <f aca="false">E24-E26-E27</f>
        <v>5.51</v>
      </c>
      <c r="F28" s="27" t="n">
        <f aca="false">F24-F26-F27</f>
        <v>5.85</v>
      </c>
      <c r="G28" s="27" t="n">
        <f aca="false">G24-G26-G27</f>
        <v>5.84302437931035</v>
      </c>
      <c r="H28" s="27" t="n">
        <f aca="false">H24-H26-H27</f>
        <v>5.83705720847087</v>
      </c>
      <c r="I28" s="27" t="n">
        <f aca="false">I24-I26-I27</f>
        <v>5.83208277055429</v>
      </c>
      <c r="J28" s="27" t="n">
        <f aca="false">J24-J26-J27</f>
        <v>5.82808552363583</v>
      </c>
      <c r="K28" s="27" t="n">
        <f aca="false">K24-K26-K27</f>
        <v>5.8250500624256</v>
      </c>
      <c r="L28" s="27" t="n">
        <f aca="false">L24-L26-L27</f>
        <v>5.88330056304986</v>
      </c>
    </row>
    <row r="29" customFormat="false" ht="15" hidden="false" customHeight="false" outlineLevel="0" collapsed="false">
      <c r="A29" s="0" t="s">
        <v>143</v>
      </c>
      <c r="B29" s="30" t="n">
        <f aca="false">1/(1+$B$10)^B$16</f>
        <v>0.962250448649376</v>
      </c>
      <c r="C29" s="30" t="n">
        <f aca="false">1/(1+$B$10)^C$16</f>
        <v>0.890972637638311</v>
      </c>
      <c r="D29" s="30" t="n">
        <f aca="false">1/(1+$B$10)^D$16</f>
        <v>0.824974664479918</v>
      </c>
      <c r="E29" s="30" t="n">
        <f aca="false">1/(1+$B$10)^E$16</f>
        <v>0.763865430073998</v>
      </c>
      <c r="F29" s="30" t="n">
        <f aca="false">1/(1+$B$10)^F$16</f>
        <v>0.707282805624072</v>
      </c>
      <c r="G29" s="30" t="n">
        <f aca="false">1/(1+$B$10)^G$16</f>
        <v>0.654891486688956</v>
      </c>
      <c r="H29" s="30" t="n">
        <f aca="false">1/(1+$B$10)^H$16</f>
        <v>0.606381006193477</v>
      </c>
      <c r="I29" s="30" t="n">
        <f aca="false">1/(1+$B$10)^I$16</f>
        <v>0.56146389462359</v>
      </c>
      <c r="J29" s="30" t="n">
        <f aca="false">1/(1+$B$10)^J$16</f>
        <v>0.519873976503324</v>
      </c>
      <c r="K29" s="30" t="n">
        <f aca="false">1/(1+$B$10)^K$16</f>
        <v>0.481364793058633</v>
      </c>
    </row>
    <row r="30" customFormat="false" ht="15" hidden="false" customHeight="false" outlineLevel="0" collapsed="false">
      <c r="A30" s="0" t="s">
        <v>144</v>
      </c>
      <c r="B30" s="27" t="n">
        <f aca="false">B28*B29</f>
        <v>3.83937929011101</v>
      </c>
      <c r="C30" s="27" t="n">
        <f aca="false">C28*C29</f>
        <v>4.0628352276307</v>
      </c>
      <c r="D30" s="27" t="n">
        <f aca="false">D28*D29</f>
        <v>4.26924388868357</v>
      </c>
      <c r="E30" s="27" t="n">
        <f aca="false">E28*E29</f>
        <v>4.20889851970773</v>
      </c>
      <c r="F30" s="27" t="n">
        <f aca="false">F28*F29</f>
        <v>4.13760441290082</v>
      </c>
      <c r="G30" s="27" t="n">
        <f aca="false">G28*G29</f>
        <v>3.82654692252636</v>
      </c>
      <c r="H30" s="27" t="n">
        <f aca="false">H28*H29</f>
        <v>3.53948062328146</v>
      </c>
      <c r="I30" s="27" t="n">
        <f aca="false">I28*I29</f>
        <v>3.27450390612255</v>
      </c>
      <c r="J30" s="27" t="n">
        <f aca="false">J28*J29</f>
        <v>3.02986999657402</v>
      </c>
      <c r="K30" s="27" t="n">
        <f aca="false">K28*K29</f>
        <v>2.80397401785568</v>
      </c>
      <c r="L30" s="27"/>
    </row>
    <row r="31" customFormat="false" ht="15" hidden="false" customHeight="false" outlineLevel="0" collapsed="false">
      <c r="A31" s="0" t="s">
        <v>145</v>
      </c>
      <c r="B31" s="27" t="n">
        <f aca="false">L28/($B$10-L21)</f>
        <v>84.0471509007123</v>
      </c>
      <c r="C31" s="0" t="str">
        <f aca="false">IF($B$10&gt;L21,"","Discount rate must exceed terminal growth")</f>
        <v/>
      </c>
    </row>
    <row r="32" customFormat="false" ht="15" hidden="false" customHeight="false" outlineLevel="0" collapsed="false">
      <c r="A32" s="0" t="s">
        <v>146</v>
      </c>
      <c r="B32" s="27" t="n">
        <f aca="false">B31/(1+$B$10)^$K$16</f>
        <v>40.4573394004891</v>
      </c>
    </row>
    <row r="33" customFormat="false" ht="15" hidden="false" customHeight="false" outlineLevel="0" collapsed="false">
      <c r="A33" s="0" t="s">
        <v>147</v>
      </c>
      <c r="B33" s="27" t="n">
        <f aca="false">SUM(B30:K30)+B32+$B$7+$B$8</f>
        <v>43.489676205883</v>
      </c>
    </row>
    <row r="34" customFormat="false" ht="15" hidden="false" customHeight="false" outlineLevel="0" collapsed="false">
      <c r="A34" s="0" t="s">
        <v>148</v>
      </c>
      <c r="B34" s="31" t="n">
        <f aca="false">B33/$B$6</f>
        <v>20.1341093545755</v>
      </c>
    </row>
    <row r="35" customFormat="false" ht="15" hidden="false" customHeight="false" outlineLevel="0" collapsed="false">
      <c r="A35" s="0" t="s">
        <v>149</v>
      </c>
      <c r="B35" s="6" t="n">
        <f aca="false">B34/$B$4-1</f>
        <v>-0.461726791750422</v>
      </c>
    </row>
    <row r="37" customFormat="false" ht="15" hidden="false" customHeight="false" outlineLevel="0" collapsed="false">
      <c r="A37" s="12" t="s">
        <v>205</v>
      </c>
      <c r="B37" s="26"/>
      <c r="C37" s="26"/>
      <c r="D37" s="26"/>
      <c r="E37" s="26"/>
      <c r="F37" s="26"/>
      <c r="G37" s="26"/>
      <c r="H37" s="26"/>
      <c r="I37" s="26"/>
      <c r="J37" s="26"/>
      <c r="K37" s="26"/>
      <c r="L37" s="26"/>
    </row>
    <row r="38" customFormat="false" ht="15" hidden="false" customHeight="false" outlineLevel="0" collapsed="false">
      <c r="A38" s="0" t="s">
        <v>134</v>
      </c>
      <c r="B38" s="22" t="n">
        <v>60</v>
      </c>
      <c r="C38" s="22" t="n">
        <v>61.5</v>
      </c>
      <c r="D38" s="22" t="n">
        <v>63</v>
      </c>
      <c r="E38" s="22" t="n">
        <v>64.5</v>
      </c>
      <c r="F38" s="22" t="n">
        <v>66</v>
      </c>
      <c r="G38" s="27" t="n">
        <f aca="false">F38*(1+$F39+($L39-$F39)*G$17/5)</f>
        <v>67.4919069767442</v>
      </c>
      <c r="H38" s="27" t="n">
        <f aca="false">G38*(1+$F39+($L39-$F39)*H$17/5)</f>
        <v>68.9735897717685</v>
      </c>
      <c r="I38" s="27" t="n">
        <f aca="false">H38*(1+$F39+($L39-$F39)*I$17/5)</f>
        <v>70.4428876376043</v>
      </c>
      <c r="J38" s="27" t="n">
        <f aca="false">I38*(1+$F39+($L39-$F39)*J$17/5)</f>
        <v>71.8976151776553</v>
      </c>
      <c r="K38" s="27" t="n">
        <f aca="false">J38*(1+$F39+($L39-$F39)*K$17/5)</f>
        <v>73.3355674812084</v>
      </c>
      <c r="L38" s="27" t="n">
        <f aca="false">K38*(1+L39)</f>
        <v>74.8022788308326</v>
      </c>
    </row>
    <row r="39" customFormat="false" ht="15" hidden="false" customHeight="false" outlineLevel="0" collapsed="false">
      <c r="A39" s="0" t="s">
        <v>135</v>
      </c>
      <c r="B39" s="6" t="n">
        <f aca="false">B38/$B$12-1</f>
        <v>0.0256410256410256</v>
      </c>
      <c r="C39" s="6" t="n">
        <f aca="false">C38/B38-1</f>
        <v>0.0249999999999999</v>
      </c>
      <c r="D39" s="6" t="n">
        <f aca="false">D38/C38-1</f>
        <v>0.024390243902439</v>
      </c>
      <c r="E39" s="6" t="n">
        <f aca="false">E38/D38-1</f>
        <v>0.0238095238095237</v>
      </c>
      <c r="F39" s="6" t="n">
        <f aca="false">F38/E38-1</f>
        <v>0.0232558139534884</v>
      </c>
      <c r="G39" s="6" t="n">
        <f aca="false">G38/F38-1</f>
        <v>0.0226046511627906</v>
      </c>
      <c r="H39" s="6" t="n">
        <f aca="false">H38/G38-1</f>
        <v>0.0219534883720931</v>
      </c>
      <c r="I39" s="6" t="n">
        <f aca="false">I38/H38-1</f>
        <v>0.0213023255813953</v>
      </c>
      <c r="J39" s="6" t="n">
        <f aca="false">J38/I38-1</f>
        <v>0.0206511627906978</v>
      </c>
      <c r="K39" s="6" t="n">
        <f aca="false">K38/J38-1</f>
        <v>0.02</v>
      </c>
      <c r="L39" s="28" t="n">
        <v>0.02</v>
      </c>
    </row>
    <row r="40" customFormat="false" ht="15" hidden="false" customHeight="false" outlineLevel="0" collapsed="false">
      <c r="A40" s="0" t="s">
        <v>136</v>
      </c>
      <c r="B40" s="29" t="n">
        <v>0.13</v>
      </c>
      <c r="C40" s="29" t="n">
        <v>0.13</v>
      </c>
      <c r="D40" s="29" t="n">
        <v>0.13</v>
      </c>
      <c r="E40" s="29" t="n">
        <v>0.13</v>
      </c>
      <c r="F40" s="29" t="n">
        <v>0.13</v>
      </c>
      <c r="G40" s="6" t="n">
        <f aca="false">$F40+($L40-$F40)*G$17/5</f>
        <v>0.129</v>
      </c>
      <c r="H40" s="6" t="n">
        <f aca="false">$F40+($L40-$F40)*H$17/5</f>
        <v>0.128</v>
      </c>
      <c r="I40" s="6" t="n">
        <f aca="false">$F40+($L40-$F40)*I$17/5</f>
        <v>0.127</v>
      </c>
      <c r="J40" s="6" t="n">
        <f aca="false">$F40+($L40-$F40)*J$17/5</f>
        <v>0.126</v>
      </c>
      <c r="K40" s="6" t="n">
        <f aca="false">$F40+($L40-$F40)*K$17/5</f>
        <v>0.125</v>
      </c>
      <c r="L40" s="28" t="n">
        <v>0.125</v>
      </c>
    </row>
    <row r="41" customFormat="false" ht="15" hidden="false" customHeight="false" outlineLevel="0" collapsed="false">
      <c r="A41" s="0" t="s">
        <v>137</v>
      </c>
      <c r="B41" s="27" t="n">
        <f aca="false">B38*B40</f>
        <v>7.8</v>
      </c>
      <c r="C41" s="27" t="n">
        <f aca="false">C38*C40</f>
        <v>7.995</v>
      </c>
      <c r="D41" s="27" t="n">
        <f aca="false">D38*D40</f>
        <v>8.19</v>
      </c>
      <c r="E41" s="27" t="n">
        <f aca="false">E38*E40</f>
        <v>8.385</v>
      </c>
      <c r="F41" s="27" t="n">
        <f aca="false">F38*F40</f>
        <v>8.58</v>
      </c>
      <c r="G41" s="27" t="n">
        <f aca="false">G38*G40</f>
        <v>8.706456</v>
      </c>
      <c r="H41" s="27" t="n">
        <f aca="false">H38*H40</f>
        <v>8.82861949078637</v>
      </c>
      <c r="I41" s="27" t="n">
        <f aca="false">I38*I40</f>
        <v>8.94624672997575</v>
      </c>
      <c r="J41" s="27" t="n">
        <f aca="false">J38*J40</f>
        <v>9.05909951238457</v>
      </c>
      <c r="K41" s="27" t="n">
        <f aca="false">K38*K40</f>
        <v>9.16694593515106</v>
      </c>
      <c r="L41" s="27" t="n">
        <f aca="false">L38*L40</f>
        <v>9.35028485385408</v>
      </c>
    </row>
    <row r="42" customFormat="false" ht="15" hidden="false" customHeight="false" outlineLevel="0" collapsed="false">
      <c r="A42" s="0" t="s">
        <v>138</v>
      </c>
      <c r="B42" s="27" t="n">
        <f aca="false">B41*(1-$B$9)</f>
        <v>7.8</v>
      </c>
      <c r="C42" s="27" t="n">
        <f aca="false">C41*(1-$B$9)</f>
        <v>7.995</v>
      </c>
      <c r="D42" s="27" t="n">
        <f aca="false">D41*(1-$B$9)</f>
        <v>8.19</v>
      </c>
      <c r="E42" s="27" t="n">
        <f aca="false">E41*(1-$B$9)</f>
        <v>8.385</v>
      </c>
      <c r="F42" s="27" t="n">
        <f aca="false">F41*(1-$B$9)</f>
        <v>8.58</v>
      </c>
      <c r="G42" s="27" t="n">
        <f aca="false">G41*(1-$B$9)</f>
        <v>8.706456</v>
      </c>
      <c r="H42" s="27" t="n">
        <f aca="false">H41*(1-$B$9)</f>
        <v>8.82861949078637</v>
      </c>
      <c r="I42" s="27" t="n">
        <f aca="false">I41*(1-$B$9)</f>
        <v>8.94624672997575</v>
      </c>
      <c r="J42" s="27" t="n">
        <f aca="false">J41*(1-$B$9)</f>
        <v>9.05909951238457</v>
      </c>
      <c r="K42" s="27" t="n">
        <f aca="false">K41*(1-$B$9)</f>
        <v>9.16694593515106</v>
      </c>
      <c r="L42" s="27" t="n">
        <f aca="false">L41*(1-$B$9)</f>
        <v>9.35028485385408</v>
      </c>
    </row>
    <row r="43" customFormat="false" ht="15" hidden="false" customHeight="false" outlineLevel="0" collapsed="false">
      <c r="A43" s="0" t="s">
        <v>139</v>
      </c>
      <c r="B43" s="29" t="n">
        <v>0.05</v>
      </c>
      <c r="C43" s="29" t="n">
        <v>0.04</v>
      </c>
      <c r="D43" s="29" t="n">
        <v>0.03</v>
      </c>
      <c r="E43" s="29" t="n">
        <v>0.025</v>
      </c>
      <c r="F43" s="29" t="n">
        <v>0.02</v>
      </c>
      <c r="G43" s="6" t="n">
        <f aca="false">$F43+($L43-$F43)*G$17/5</f>
        <v>0.02</v>
      </c>
      <c r="H43" s="6" t="n">
        <f aca="false">$F43+($L43-$F43)*H$17/5</f>
        <v>0.02</v>
      </c>
      <c r="I43" s="6" t="n">
        <f aca="false">$F43+($L43-$F43)*I$17/5</f>
        <v>0.02</v>
      </c>
      <c r="J43" s="6" t="n">
        <f aca="false">$F43+($L43-$F43)*J$17/5</f>
        <v>0.02</v>
      </c>
      <c r="K43" s="6" t="n">
        <f aca="false">$F43+($L43-$F43)*K$17/5</f>
        <v>0.02</v>
      </c>
      <c r="L43" s="28" t="n">
        <v>0.02</v>
      </c>
    </row>
    <row r="44" customFormat="false" ht="15" hidden="false" customHeight="false" outlineLevel="0" collapsed="false">
      <c r="A44" s="0" t="s">
        <v>140</v>
      </c>
      <c r="B44" s="27" t="n">
        <f aca="false">B38*B43</f>
        <v>3</v>
      </c>
      <c r="C44" s="27" t="n">
        <f aca="false">C38*C43</f>
        <v>2.46</v>
      </c>
      <c r="D44" s="27" t="n">
        <f aca="false">D38*D43</f>
        <v>1.89</v>
      </c>
      <c r="E44" s="27" t="n">
        <f aca="false">E38*E43</f>
        <v>1.6125</v>
      </c>
      <c r="F44" s="27" t="n">
        <f aca="false">F38*F43</f>
        <v>1.32</v>
      </c>
      <c r="G44" s="27" t="n">
        <f aca="false">G38*G43</f>
        <v>1.34983813953488</v>
      </c>
      <c r="H44" s="27" t="n">
        <f aca="false">H38*H43</f>
        <v>1.37947179543537</v>
      </c>
      <c r="I44" s="27" t="n">
        <f aca="false">I38*I43</f>
        <v>1.40885775275209</v>
      </c>
      <c r="J44" s="27" t="n">
        <f aca="false">J38*J43</f>
        <v>1.43795230355311</v>
      </c>
      <c r="K44" s="27" t="n">
        <f aca="false">K38*K43</f>
        <v>1.46671134962417</v>
      </c>
      <c r="L44" s="27" t="n">
        <f aca="false">L38*L43</f>
        <v>1.49604557661665</v>
      </c>
    </row>
    <row r="45" customFormat="false" ht="15" hidden="false" customHeight="false" outlineLevel="0" collapsed="false">
      <c r="A45" s="0" t="s">
        <v>141</v>
      </c>
      <c r="B45" s="27" t="n">
        <f aca="false">$B$11*(B38-$B$12)</f>
        <v>0</v>
      </c>
      <c r="C45" s="27" t="n">
        <f aca="false">$B$11*(C38-B38)</f>
        <v>0</v>
      </c>
      <c r="D45" s="27" t="n">
        <f aca="false">$B$11*(D38-C38)</f>
        <v>0</v>
      </c>
      <c r="E45" s="27" t="n">
        <f aca="false">$B$11*(E38-D38)</f>
        <v>0</v>
      </c>
      <c r="F45" s="27" t="n">
        <f aca="false">$B$11*(F38-E38)</f>
        <v>0</v>
      </c>
      <c r="G45" s="27" t="n">
        <f aca="false">$B$11*(G38-F38)</f>
        <v>0</v>
      </c>
      <c r="H45" s="27" t="n">
        <f aca="false">$B$11*(H38-G38)</f>
        <v>0</v>
      </c>
      <c r="I45" s="27" t="n">
        <f aca="false">$B$11*(I38-H38)</f>
        <v>0</v>
      </c>
      <c r="J45" s="27" t="n">
        <f aca="false">$B$11*(J38-I38)</f>
        <v>0</v>
      </c>
      <c r="K45" s="27" t="n">
        <f aca="false">$B$11*(K38-J38)</f>
        <v>0</v>
      </c>
      <c r="L45" s="27" t="n">
        <f aca="false">$B$11*(L38-K38)</f>
        <v>0</v>
      </c>
    </row>
    <row r="46" customFormat="false" ht="15" hidden="false" customHeight="false" outlineLevel="0" collapsed="false">
      <c r="A46" s="0" t="s">
        <v>142</v>
      </c>
      <c r="B46" s="27" t="n">
        <f aca="false">B42-B44-B45</f>
        <v>4.8</v>
      </c>
      <c r="C46" s="27" t="n">
        <f aca="false">C42-C44-C45</f>
        <v>5.535</v>
      </c>
      <c r="D46" s="27" t="n">
        <f aca="false">D42-D44-D45</f>
        <v>6.3</v>
      </c>
      <c r="E46" s="27" t="n">
        <f aca="false">E42-E44-E45</f>
        <v>6.7725</v>
      </c>
      <c r="F46" s="27" t="n">
        <f aca="false">F42-F44-F45</f>
        <v>7.26</v>
      </c>
      <c r="G46" s="27" t="n">
        <f aca="false">G42-G44-G45</f>
        <v>7.35661786046512</v>
      </c>
      <c r="H46" s="27" t="n">
        <f aca="false">H42-H44-H45</f>
        <v>7.449147695351</v>
      </c>
      <c r="I46" s="27" t="n">
        <f aca="false">I42-I44-I45</f>
        <v>7.53738897722367</v>
      </c>
      <c r="J46" s="27" t="n">
        <f aca="false">J42-J44-J45</f>
        <v>7.62114720883147</v>
      </c>
      <c r="K46" s="27" t="n">
        <f aca="false">K42-K44-K45</f>
        <v>7.70023458552689</v>
      </c>
      <c r="L46" s="27" t="n">
        <f aca="false">L42-L44-L45</f>
        <v>7.85423927723743</v>
      </c>
    </row>
    <row r="47" customFormat="false" ht="15" hidden="false" customHeight="false" outlineLevel="0" collapsed="false">
      <c r="A47" s="0" t="s">
        <v>143</v>
      </c>
      <c r="B47" s="30" t="n">
        <f aca="false">1/(1+$B$10)^B$16</f>
        <v>0.962250448649376</v>
      </c>
      <c r="C47" s="30" t="n">
        <f aca="false">1/(1+$B$10)^C$16</f>
        <v>0.890972637638311</v>
      </c>
      <c r="D47" s="30" t="n">
        <f aca="false">1/(1+$B$10)^D$16</f>
        <v>0.824974664479918</v>
      </c>
      <c r="E47" s="30" t="n">
        <f aca="false">1/(1+$B$10)^E$16</f>
        <v>0.763865430073998</v>
      </c>
      <c r="F47" s="30" t="n">
        <f aca="false">1/(1+$B$10)^F$16</f>
        <v>0.707282805624072</v>
      </c>
      <c r="G47" s="30" t="n">
        <f aca="false">1/(1+$B$10)^G$16</f>
        <v>0.654891486688956</v>
      </c>
      <c r="H47" s="30" t="n">
        <f aca="false">1/(1+$B$10)^H$16</f>
        <v>0.606381006193477</v>
      </c>
      <c r="I47" s="30" t="n">
        <f aca="false">1/(1+$B$10)^I$16</f>
        <v>0.56146389462359</v>
      </c>
      <c r="J47" s="30" t="n">
        <f aca="false">1/(1+$B$10)^J$16</f>
        <v>0.519873976503324</v>
      </c>
      <c r="K47" s="30" t="n">
        <f aca="false">1/(1+$B$10)^K$16</f>
        <v>0.481364793058633</v>
      </c>
    </row>
    <row r="48" customFormat="false" ht="15" hidden="false" customHeight="false" outlineLevel="0" collapsed="false">
      <c r="A48" s="0" t="s">
        <v>144</v>
      </c>
      <c r="B48" s="27" t="n">
        <f aca="false">B46*B47</f>
        <v>4.61880215351701</v>
      </c>
      <c r="C48" s="27" t="n">
        <f aca="false">C46*C47</f>
        <v>4.93153354932805</v>
      </c>
      <c r="D48" s="27" t="n">
        <f aca="false">D46*D47</f>
        <v>5.19734038622348</v>
      </c>
      <c r="E48" s="27" t="n">
        <f aca="false">E46*E47</f>
        <v>5.17327862517615</v>
      </c>
      <c r="F48" s="27" t="n">
        <f aca="false">F46*F47</f>
        <v>5.13487316883076</v>
      </c>
      <c r="G48" s="27" t="n">
        <f aca="false">G46*G47</f>
        <v>4.81778640764253</v>
      </c>
      <c r="H48" s="27" t="n">
        <f aca="false">H46*H47</f>
        <v>4.51702167479076</v>
      </c>
      <c r="I48" s="27" t="n">
        <f aca="false">I46*I47</f>
        <v>4.23197177044492</v>
      </c>
      <c r="J48" s="27" t="n">
        <f aca="false">J46*J47</f>
        <v>3.96203610497242</v>
      </c>
      <c r="K48" s="27" t="n">
        <f aca="false">K46*K47</f>
        <v>3.70662182776508</v>
      </c>
      <c r="L48" s="27"/>
    </row>
    <row r="49" customFormat="false" ht="15" hidden="false" customHeight="false" outlineLevel="0" collapsed="false">
      <c r="A49" s="0" t="s">
        <v>145</v>
      </c>
      <c r="B49" s="27" t="n">
        <f aca="false">L46/($B$10-L39)</f>
        <v>130.903987953957</v>
      </c>
      <c r="C49" s="0" t="str">
        <f aca="false">IF($B$10&gt;L39,"","Discount rate must exceed terminal growth")</f>
        <v/>
      </c>
    </row>
    <row r="50" customFormat="false" ht="15" hidden="false" customHeight="false" outlineLevel="0" collapsed="false">
      <c r="A50" s="0" t="s">
        <v>146</v>
      </c>
      <c r="B50" s="27" t="n">
        <f aca="false">B49/(1+$B$10)^$K$16</f>
        <v>63.0125710720064</v>
      </c>
    </row>
    <row r="51" customFormat="false" ht="15" hidden="false" customHeight="false" outlineLevel="0" collapsed="false">
      <c r="A51" s="0" t="s">
        <v>147</v>
      </c>
      <c r="B51" s="27" t="n">
        <f aca="false">SUM(B48:K48)+B50+$B$7+$B$8</f>
        <v>75.3438367406976</v>
      </c>
    </row>
    <row r="52" customFormat="false" ht="15" hidden="false" customHeight="false" outlineLevel="0" collapsed="false">
      <c r="A52" s="0" t="s">
        <v>148</v>
      </c>
      <c r="B52" s="31" t="n">
        <f aca="false">B51/$B$6</f>
        <v>34.8814058984711</v>
      </c>
    </row>
    <row r="53" customFormat="false" ht="15" hidden="false" customHeight="false" outlineLevel="0" collapsed="false">
      <c r="A53" s="0" t="s">
        <v>149</v>
      </c>
      <c r="B53" s="6" t="n">
        <f aca="false">B52/$B$4-1</f>
        <v>-0.0674667584956267</v>
      </c>
    </row>
    <row r="55" customFormat="false" ht="15" hidden="false" customHeight="false" outlineLevel="0" collapsed="false">
      <c r="A55" s="12" t="s">
        <v>206</v>
      </c>
      <c r="B55" s="26"/>
      <c r="C55" s="26"/>
      <c r="D55" s="26"/>
      <c r="E55" s="26"/>
      <c r="F55" s="26"/>
      <c r="G55" s="26"/>
      <c r="H55" s="26"/>
      <c r="I55" s="26"/>
      <c r="J55" s="26"/>
      <c r="K55" s="26"/>
      <c r="L55" s="26"/>
    </row>
    <row r="56" customFormat="false" ht="15" hidden="false" customHeight="false" outlineLevel="0" collapsed="false">
      <c r="A56" s="0" t="s">
        <v>134</v>
      </c>
      <c r="B56" s="22" t="n">
        <v>61.5</v>
      </c>
      <c r="C56" s="22" t="n">
        <v>64.5</v>
      </c>
      <c r="D56" s="22" t="n">
        <v>67.5</v>
      </c>
      <c r="E56" s="22" t="n">
        <v>70.5</v>
      </c>
      <c r="F56" s="22" t="n">
        <v>73.5</v>
      </c>
      <c r="G56" s="27" t="n">
        <f aca="false">F56*(1+$F57+($L57-$F57)*G$17/5)</f>
        <v>76.3696276595745</v>
      </c>
      <c r="H56" s="27" t="n">
        <f aca="false">G56*(1+$F57+($L57-$F57)*H$17/5)</f>
        <v>79.0831867700317</v>
      </c>
      <c r="I56" s="27" t="n">
        <f aca="false">H56*(1+$F57+($L57-$F57)*I$17/5)</f>
        <v>81.6155313676678</v>
      </c>
      <c r="J56" s="27" t="n">
        <f aca="false">I56*(1+$F57+($L57-$F57)*J$17/5)</f>
        <v>83.94244226198</v>
      </c>
      <c r="K56" s="27" t="n">
        <f aca="false">J56*(1+$F57+($L57-$F57)*K$17/5)</f>
        <v>86.0410033185295</v>
      </c>
      <c r="L56" s="27" t="n">
        <f aca="false">K56*(1+L57)</f>
        <v>88.1920284014928</v>
      </c>
    </row>
    <row r="57" customFormat="false" ht="15" hidden="false" customHeight="false" outlineLevel="0" collapsed="false">
      <c r="A57" s="0" t="s">
        <v>135</v>
      </c>
      <c r="B57" s="6" t="n">
        <f aca="false">B56/$B$12-1</f>
        <v>0.0512820512820513</v>
      </c>
      <c r="C57" s="6" t="n">
        <f aca="false">C56/B56-1</f>
        <v>0.0487804878048781</v>
      </c>
      <c r="D57" s="6" t="n">
        <f aca="false">D56/C56-1</f>
        <v>0.0465116279069768</v>
      </c>
      <c r="E57" s="6" t="n">
        <f aca="false">E56/D56-1</f>
        <v>0.0444444444444445</v>
      </c>
      <c r="F57" s="6" t="n">
        <f aca="false">F56/E56-1</f>
        <v>0.0425531914893618</v>
      </c>
      <c r="G57" s="6" t="n">
        <f aca="false">G56/F56-1</f>
        <v>0.0390425531914893</v>
      </c>
      <c r="H57" s="6" t="n">
        <f aca="false">H56/G56-1</f>
        <v>0.0355319148936171</v>
      </c>
      <c r="I57" s="6" t="n">
        <f aca="false">I56/H56-1</f>
        <v>0.0320212765957446</v>
      </c>
      <c r="J57" s="6" t="n">
        <f aca="false">J56/I56-1</f>
        <v>0.0285106382978724</v>
      </c>
      <c r="K57" s="6" t="n">
        <f aca="false">K56/J56-1</f>
        <v>0.0249999999999999</v>
      </c>
      <c r="L57" s="28" t="n">
        <v>0.025</v>
      </c>
    </row>
    <row r="58" customFormat="false" ht="15" hidden="false" customHeight="false" outlineLevel="0" collapsed="false">
      <c r="A58" s="0" t="s">
        <v>136</v>
      </c>
      <c r="B58" s="29" t="n">
        <v>0.135</v>
      </c>
      <c r="C58" s="29" t="n">
        <v>0.135</v>
      </c>
      <c r="D58" s="29" t="n">
        <v>0.135</v>
      </c>
      <c r="E58" s="29" t="n">
        <v>0.135</v>
      </c>
      <c r="F58" s="29" t="n">
        <v>0.135</v>
      </c>
      <c r="G58" s="6" t="n">
        <f aca="false">$F58+($L58-$F58)*G$17/5</f>
        <v>0.134</v>
      </c>
      <c r="H58" s="6" t="n">
        <f aca="false">$F58+($L58-$F58)*H$17/5</f>
        <v>0.133</v>
      </c>
      <c r="I58" s="6" t="n">
        <f aca="false">$F58+($L58-$F58)*I$17/5</f>
        <v>0.132</v>
      </c>
      <c r="J58" s="6" t="n">
        <f aca="false">$F58+($L58-$F58)*J$17/5</f>
        <v>0.131</v>
      </c>
      <c r="K58" s="6" t="n">
        <f aca="false">$F58+($L58-$F58)*K$17/5</f>
        <v>0.13</v>
      </c>
      <c r="L58" s="28" t="n">
        <v>0.13</v>
      </c>
    </row>
    <row r="59" customFormat="false" ht="15" hidden="false" customHeight="false" outlineLevel="0" collapsed="false">
      <c r="A59" s="0" t="s">
        <v>137</v>
      </c>
      <c r="B59" s="27" t="n">
        <f aca="false">B56*B58</f>
        <v>8.3025</v>
      </c>
      <c r="C59" s="27" t="n">
        <f aca="false">C56*C58</f>
        <v>8.7075</v>
      </c>
      <c r="D59" s="27" t="n">
        <f aca="false">D56*D58</f>
        <v>9.1125</v>
      </c>
      <c r="E59" s="27" t="n">
        <f aca="false">E56*E58</f>
        <v>9.5175</v>
      </c>
      <c r="F59" s="27" t="n">
        <f aca="false">F56*F58</f>
        <v>9.9225</v>
      </c>
      <c r="G59" s="27" t="n">
        <f aca="false">G56*G58</f>
        <v>10.233530106383</v>
      </c>
      <c r="H59" s="27" t="n">
        <f aca="false">H56*H58</f>
        <v>10.5180638404142</v>
      </c>
      <c r="I59" s="27" t="n">
        <f aca="false">I56*I58</f>
        <v>10.7732501405322</v>
      </c>
      <c r="J59" s="27" t="n">
        <f aca="false">J56*J58</f>
        <v>10.9964599363194</v>
      </c>
      <c r="K59" s="27" t="n">
        <f aca="false">K56*K58</f>
        <v>11.1853304314088</v>
      </c>
      <c r="L59" s="27" t="n">
        <f aca="false">L56*L58</f>
        <v>11.4649636921941</v>
      </c>
    </row>
    <row r="60" customFormat="false" ht="15" hidden="false" customHeight="false" outlineLevel="0" collapsed="false">
      <c r="A60" s="0" t="s">
        <v>138</v>
      </c>
      <c r="B60" s="27" t="n">
        <f aca="false">B59*(1-$B$9)</f>
        <v>8.3025</v>
      </c>
      <c r="C60" s="27" t="n">
        <f aca="false">C59*(1-$B$9)</f>
        <v>8.7075</v>
      </c>
      <c r="D60" s="27" t="n">
        <f aca="false">D59*(1-$B$9)</f>
        <v>9.1125</v>
      </c>
      <c r="E60" s="27" t="n">
        <f aca="false">E59*(1-$B$9)</f>
        <v>9.5175</v>
      </c>
      <c r="F60" s="27" t="n">
        <f aca="false">F59*(1-$B$9)</f>
        <v>9.9225</v>
      </c>
      <c r="G60" s="27" t="n">
        <f aca="false">G59*(1-$B$9)</f>
        <v>10.233530106383</v>
      </c>
      <c r="H60" s="27" t="n">
        <f aca="false">H59*(1-$B$9)</f>
        <v>10.5180638404142</v>
      </c>
      <c r="I60" s="27" t="n">
        <f aca="false">I59*(1-$B$9)</f>
        <v>10.7732501405322</v>
      </c>
      <c r="J60" s="27" t="n">
        <f aca="false">J59*(1-$B$9)</f>
        <v>10.9964599363194</v>
      </c>
      <c r="K60" s="27" t="n">
        <f aca="false">K59*(1-$B$9)</f>
        <v>11.1853304314088</v>
      </c>
      <c r="L60" s="27" t="n">
        <f aca="false">L59*(1-$B$9)</f>
        <v>11.4649636921941</v>
      </c>
    </row>
    <row r="61" customFormat="false" ht="15" hidden="false" customHeight="false" outlineLevel="0" collapsed="false">
      <c r="A61" s="0" t="s">
        <v>139</v>
      </c>
      <c r="B61" s="29" t="n">
        <v>0.05</v>
      </c>
      <c r="C61" s="29" t="n">
        <v>0.045</v>
      </c>
      <c r="D61" s="29" t="n">
        <v>0.035</v>
      </c>
      <c r="E61" s="29" t="n">
        <v>0.03</v>
      </c>
      <c r="F61" s="29" t="n">
        <v>0.025</v>
      </c>
      <c r="G61" s="6" t="n">
        <f aca="false">$F61+($L61-$F61)*G$17/5</f>
        <v>0.024</v>
      </c>
      <c r="H61" s="6" t="n">
        <f aca="false">$F61+($L61-$F61)*H$17/5</f>
        <v>0.023</v>
      </c>
      <c r="I61" s="6" t="n">
        <f aca="false">$F61+($L61-$F61)*I$17/5</f>
        <v>0.022</v>
      </c>
      <c r="J61" s="6" t="n">
        <f aca="false">$F61+($L61-$F61)*J$17/5</f>
        <v>0.021</v>
      </c>
      <c r="K61" s="6" t="n">
        <f aca="false">$F61+($L61-$F61)*K$17/5</f>
        <v>0.02</v>
      </c>
      <c r="L61" s="28" t="n">
        <v>0.02</v>
      </c>
    </row>
    <row r="62" customFormat="false" ht="15" hidden="false" customHeight="false" outlineLevel="0" collapsed="false">
      <c r="A62" s="0" t="s">
        <v>140</v>
      </c>
      <c r="B62" s="27" t="n">
        <f aca="false">B56*B61</f>
        <v>3.075</v>
      </c>
      <c r="C62" s="27" t="n">
        <f aca="false">C56*C61</f>
        <v>2.9025</v>
      </c>
      <c r="D62" s="27" t="n">
        <f aca="false">D56*D61</f>
        <v>2.3625</v>
      </c>
      <c r="E62" s="27" t="n">
        <f aca="false">E56*E61</f>
        <v>2.115</v>
      </c>
      <c r="F62" s="27" t="n">
        <f aca="false">F56*F61</f>
        <v>1.8375</v>
      </c>
      <c r="G62" s="27" t="n">
        <f aca="false">G56*G61</f>
        <v>1.83287106382979</v>
      </c>
      <c r="H62" s="27" t="n">
        <f aca="false">H56*H61</f>
        <v>1.81891329571073</v>
      </c>
      <c r="I62" s="27" t="n">
        <f aca="false">I56*I61</f>
        <v>1.79554169008869</v>
      </c>
      <c r="J62" s="27" t="n">
        <f aca="false">J56*J61</f>
        <v>1.76279128750158</v>
      </c>
      <c r="K62" s="27" t="n">
        <f aca="false">K56*K61</f>
        <v>1.72082006637059</v>
      </c>
      <c r="L62" s="27" t="n">
        <f aca="false">L56*L61</f>
        <v>1.76384056802986</v>
      </c>
    </row>
    <row r="63" customFormat="false" ht="15" hidden="false" customHeight="false" outlineLevel="0" collapsed="false">
      <c r="A63" s="0" t="s">
        <v>141</v>
      </c>
      <c r="B63" s="27" t="n">
        <f aca="false">$B$11*(B56-$B$12)</f>
        <v>0</v>
      </c>
      <c r="C63" s="27" t="n">
        <f aca="false">$B$11*(C56-B56)</f>
        <v>0</v>
      </c>
      <c r="D63" s="27" t="n">
        <f aca="false">$B$11*(D56-C56)</f>
        <v>0</v>
      </c>
      <c r="E63" s="27" t="n">
        <f aca="false">$B$11*(E56-D56)</f>
        <v>0</v>
      </c>
      <c r="F63" s="27" t="n">
        <f aca="false">$B$11*(F56-E56)</f>
        <v>0</v>
      </c>
      <c r="G63" s="27" t="n">
        <f aca="false">$B$11*(G56-F56)</f>
        <v>0</v>
      </c>
      <c r="H63" s="27" t="n">
        <f aca="false">$B$11*(H56-G56)</f>
        <v>0</v>
      </c>
      <c r="I63" s="27" t="n">
        <f aca="false">$B$11*(I56-H56)</f>
        <v>0</v>
      </c>
      <c r="J63" s="27" t="n">
        <f aca="false">$B$11*(J56-I56)</f>
        <v>0</v>
      </c>
      <c r="K63" s="27" t="n">
        <f aca="false">$B$11*(K56-J56)</f>
        <v>0</v>
      </c>
      <c r="L63" s="27" t="n">
        <f aca="false">$B$11*(L56-K56)</f>
        <v>0</v>
      </c>
    </row>
    <row r="64" customFormat="false" ht="15" hidden="false" customHeight="false" outlineLevel="0" collapsed="false">
      <c r="A64" s="0" t="s">
        <v>142</v>
      </c>
      <c r="B64" s="27" t="n">
        <f aca="false">B60-B62-B63</f>
        <v>5.2275</v>
      </c>
      <c r="C64" s="27" t="n">
        <f aca="false">C60-C62-C63</f>
        <v>5.805</v>
      </c>
      <c r="D64" s="27" t="n">
        <f aca="false">D60-D62-D63</f>
        <v>6.75</v>
      </c>
      <c r="E64" s="27" t="n">
        <f aca="false">E60-E62-E63</f>
        <v>7.4025</v>
      </c>
      <c r="F64" s="27" t="n">
        <f aca="false">F60-F62-F63</f>
        <v>8.085</v>
      </c>
      <c r="G64" s="27" t="n">
        <f aca="false">G60-G62-G63</f>
        <v>8.40065904255319</v>
      </c>
      <c r="H64" s="27" t="n">
        <f aca="false">H60-H62-H63</f>
        <v>8.69915054470349</v>
      </c>
      <c r="I64" s="27" t="n">
        <f aca="false">I60-I62-I63</f>
        <v>8.97770845044346</v>
      </c>
      <c r="J64" s="27" t="n">
        <f aca="false">J60-J62-J63</f>
        <v>9.23366864881781</v>
      </c>
      <c r="K64" s="27" t="n">
        <f aca="false">K60-K62-K63</f>
        <v>9.46451036503825</v>
      </c>
      <c r="L64" s="27" t="n">
        <f aca="false">L60-L62-L63</f>
        <v>9.70112312416421</v>
      </c>
    </row>
    <row r="65" customFormat="false" ht="15" hidden="false" customHeight="false" outlineLevel="0" collapsed="false">
      <c r="A65" s="0" t="s">
        <v>143</v>
      </c>
      <c r="B65" s="30" t="n">
        <f aca="false">1/(1+$B$10)^B$16</f>
        <v>0.962250448649376</v>
      </c>
      <c r="C65" s="30" t="n">
        <f aca="false">1/(1+$B$10)^C$16</f>
        <v>0.890972637638311</v>
      </c>
      <c r="D65" s="30" t="n">
        <f aca="false">1/(1+$B$10)^D$16</f>
        <v>0.824974664479918</v>
      </c>
      <c r="E65" s="30" t="n">
        <f aca="false">1/(1+$B$10)^E$16</f>
        <v>0.763865430073998</v>
      </c>
      <c r="F65" s="30" t="n">
        <f aca="false">1/(1+$B$10)^F$16</f>
        <v>0.707282805624072</v>
      </c>
      <c r="G65" s="30" t="n">
        <f aca="false">1/(1+$B$10)^G$16</f>
        <v>0.654891486688956</v>
      </c>
      <c r="H65" s="30" t="n">
        <f aca="false">1/(1+$B$10)^H$16</f>
        <v>0.606381006193477</v>
      </c>
      <c r="I65" s="30" t="n">
        <f aca="false">1/(1+$B$10)^I$16</f>
        <v>0.56146389462359</v>
      </c>
      <c r="J65" s="30" t="n">
        <f aca="false">1/(1+$B$10)^J$16</f>
        <v>0.519873976503324</v>
      </c>
      <c r="K65" s="30" t="n">
        <f aca="false">1/(1+$B$10)^K$16</f>
        <v>0.481364793058633</v>
      </c>
    </row>
    <row r="66" customFormat="false" ht="15" hidden="false" customHeight="false" outlineLevel="0" collapsed="false">
      <c r="A66" s="0" t="s">
        <v>144</v>
      </c>
      <c r="B66" s="27" t="n">
        <f aca="false">B64*B65</f>
        <v>5.03016422031461</v>
      </c>
      <c r="C66" s="27" t="n">
        <f aca="false">C64*C65</f>
        <v>5.1720961614904</v>
      </c>
      <c r="D66" s="27" t="n">
        <f aca="false">D64*D65</f>
        <v>5.56857898523945</v>
      </c>
      <c r="E66" s="27" t="n">
        <f aca="false">E64*E65</f>
        <v>5.65451384612277</v>
      </c>
      <c r="F66" s="27" t="n">
        <f aca="false">F64*F65</f>
        <v>5.71838148347062</v>
      </c>
      <c r="G66" s="27" t="n">
        <f aca="false">G64*G65</f>
        <v>5.50152008954468</v>
      </c>
      <c r="H66" s="27" t="n">
        <f aca="false">H64*H65</f>
        <v>5.27499966032584</v>
      </c>
      <c r="I66" s="27" t="n">
        <f aca="false">I64*I65</f>
        <v>5.0406591513811</v>
      </c>
      <c r="J66" s="27" t="n">
        <f aca="false">J64*J65</f>
        <v>4.80034403817499</v>
      </c>
      <c r="K66" s="27" t="n">
        <f aca="false">K64*K65</f>
        <v>4.55588207326793</v>
      </c>
      <c r="L66" s="27"/>
    </row>
    <row r="67" customFormat="false" ht="15" hidden="false" customHeight="false" outlineLevel="0" collapsed="false">
      <c r="A67" s="0" t="s">
        <v>145</v>
      </c>
      <c r="B67" s="27" t="n">
        <f aca="false">L64/($B$10-L57)</f>
        <v>176.384056802986</v>
      </c>
      <c r="C67" s="0" t="str">
        <f aca="false">IF($B$10&gt;L57,"","Discount rate must exceed terminal growth")</f>
        <v/>
      </c>
    </row>
    <row r="68" customFormat="false" ht="15" hidden="false" customHeight="false" outlineLevel="0" collapsed="false">
      <c r="A68" s="0" t="s">
        <v>146</v>
      </c>
      <c r="B68" s="27" t="n">
        <f aca="false">B67/(1+$B$10)^$K$16</f>
        <v>84.9050750018114</v>
      </c>
    </row>
    <row r="69" customFormat="false" ht="15" hidden="false" customHeight="false" outlineLevel="0" collapsed="false">
      <c r="A69" s="0" t="s">
        <v>147</v>
      </c>
      <c r="B69" s="27" t="n">
        <f aca="false">SUM(B66:K66)+B68+$B$7+$B$8</f>
        <v>103.262214711144</v>
      </c>
    </row>
    <row r="70" customFormat="false" ht="15" hidden="false" customHeight="false" outlineLevel="0" collapsed="false">
      <c r="A70" s="0" t="s">
        <v>148</v>
      </c>
      <c r="B70" s="31" t="n">
        <f aca="false">B69/$B$6</f>
        <v>47.8065808847888</v>
      </c>
    </row>
    <row r="71" customFormat="false" ht="15" hidden="false" customHeight="false" outlineLevel="0" collapsed="false">
      <c r="A71" s="0" t="s">
        <v>149</v>
      </c>
      <c r="B71" s="6" t="n">
        <f aca="false">B70/$B$4-1</f>
        <v>0.278079959491746</v>
      </c>
    </row>
    <row r="74" customFormat="false" ht="15" hidden="false" customHeight="false" outlineLevel="0" collapsed="false">
      <c r="A74" s="12" t="s">
        <v>152</v>
      </c>
      <c r="B74" s="26"/>
      <c r="C74" s="12" t="s">
        <v>153</v>
      </c>
      <c r="D74" s="26"/>
      <c r="E74" s="26"/>
      <c r="F74" s="26"/>
      <c r="G74" s="26"/>
      <c r="H74" s="26"/>
      <c r="I74" s="26"/>
      <c r="J74" s="26"/>
      <c r="K74" s="26"/>
      <c r="L74" s="26"/>
    </row>
    <row r="75" customFormat="false" ht="15" hidden="false" customHeight="false" outlineLevel="0" collapsed="false">
      <c r="A75" s="0" t="s">
        <v>154</v>
      </c>
      <c r="B75" s="7" t="n">
        <f aca="false">B34</f>
        <v>20.1341093545755</v>
      </c>
      <c r="C75" s="6" t="n">
        <f aca="false">B75/$B$4-1</f>
        <v>-0.461726791750422</v>
      </c>
    </row>
    <row r="76" customFormat="false" ht="15" hidden="false" customHeight="false" outlineLevel="0" collapsed="false">
      <c r="A76" s="0" t="s">
        <v>155</v>
      </c>
      <c r="B76" s="7" t="n">
        <f aca="false">B52</f>
        <v>34.8814058984711</v>
      </c>
      <c r="C76" s="6" t="n">
        <f aca="false">B76/$B$4-1</f>
        <v>-0.0674667584956267</v>
      </c>
    </row>
    <row r="77" customFormat="false" ht="15" hidden="false" customHeight="false" outlineLevel="0" collapsed="false">
      <c r="A77" s="0" t="s">
        <v>156</v>
      </c>
      <c r="B77" s="7" t="n">
        <f aca="false">B70</f>
        <v>47.8065808847888</v>
      </c>
      <c r="C77" s="6" t="n">
        <f aca="false">B77/$B$4-1</f>
        <v>0.278079959491746</v>
      </c>
    </row>
    <row r="78" customFormat="false" ht="15" hidden="false" customHeight="false" outlineLevel="0" collapsed="false">
      <c r="A78" s="0" t="s">
        <v>157</v>
      </c>
      <c r="B78" s="7" t="n">
        <f aca="false">INDEX(B34:B70,1+($B$13-1)*18)</f>
        <v>34.8814058984711</v>
      </c>
      <c r="C78" s="6" t="n">
        <f aca="false">B78/$B$4-1</f>
        <v>-0.0674667584956267</v>
      </c>
    </row>
    <row r="79" customFormat="false" ht="15" hidden="false" customHeight="false" outlineLevel="0" collapsed="false">
      <c r="A79" s="0" t="s">
        <v>158</v>
      </c>
      <c r="B79" s="8" t="n">
        <f aca="false">B50/(SUM(B48:K48)+B50)</f>
        <v>0.576490020396006</v>
      </c>
    </row>
    <row r="81" customFormat="false" ht="15" hidden="false" customHeight="false" outlineLevel="0" collapsed="false">
      <c r="A81" s="9" t="s">
        <v>159</v>
      </c>
    </row>
    <row r="82" customFormat="false" ht="15" hidden="false" customHeight="false" outlineLevel="0" collapsed="false">
      <c r="A82" s="0" t="s">
        <v>5</v>
      </c>
      <c r="B82" s="11" t="n">
        <v>0.05</v>
      </c>
      <c r="C82" s="11" t="n">
        <v>0.06</v>
      </c>
      <c r="D82" s="11" t="n">
        <v>0.07</v>
      </c>
      <c r="E82" s="11" t="n">
        <v>0.08</v>
      </c>
      <c r="F82" s="11" t="n">
        <v>0.09</v>
      </c>
      <c r="G82" s="11" t="n">
        <v>0.1</v>
      </c>
      <c r="H82" s="11" t="n">
        <v>0.11</v>
      </c>
      <c r="I82" s="11" t="n">
        <v>0.12</v>
      </c>
      <c r="J82" s="11" t="n">
        <v>0.13</v>
      </c>
      <c r="K82" s="11" t="n">
        <v>0.14</v>
      </c>
    </row>
    <row r="83" customFormat="false" ht="15" hidden="false" customHeight="false" outlineLevel="0" collapsed="false">
      <c r="A83" s="0" t="s">
        <v>155</v>
      </c>
      <c r="B83" s="7" t="n">
        <f aca="false">IF(B82&gt;$L39,(SUMPRODUCT($B46:$K46/(1+B82)^$B$16:$K$16)+$L46/(B82-$L39)/(1+B82)^$K$16+$B$7+$B$8)/$B$6,"n/a")</f>
        <v>85.1090452370122</v>
      </c>
      <c r="C83" s="7" t="n">
        <f aca="false">IF(C82&gt;$L39,(SUMPRODUCT($B46:$K46/(1+C82)^$B$16:$K$16)+$L46/(C82-$L39)/(1+C82)^$K$16+$B$7+$B$8)/$B$6,"n/a")</f>
        <v>59.9972461908507</v>
      </c>
      <c r="D83" s="7" t="n">
        <f aca="false">IF(D82&gt;$L39,(SUMPRODUCT($B46:$K46/(1+D82)^$B$16:$K$16)+$L46/(D82-$L39)/(1+D82)^$K$16+$B$7+$B$8)/$B$6,"n/a")</f>
        <v>44.9284186079652</v>
      </c>
      <c r="E83" s="7" t="n">
        <f aca="false">IF(E82&gt;$L39,(SUMPRODUCT($B46:$K46/(1+E82)^$B$16:$K$16)+$L46/(E82-$L39)/(1+E82)^$K$16+$B$7+$B$8)/$B$6,"n/a")</f>
        <v>34.8814058984711</v>
      </c>
      <c r="F83" s="7" t="n">
        <f aca="false">IF(F82&gt;$L39,(SUMPRODUCT($B46:$K46/(1+F82)^$B$16:$K$16)+$L46/(F82-$L39)/(1+F82)^$K$16+$B$7+$B$8)/$B$6,"n/a")</f>
        <v>27.7042490207187</v>
      </c>
      <c r="G83" s="7" t="n">
        <f aca="false">IF(G82&gt;$L39,(SUMPRODUCT($B46:$K46/(1+G82)^$B$16:$K$16)+$L46/(G82-$L39)/(1+G82)^$K$16+$B$7+$B$8)/$B$6,"n/a")</f>
        <v>22.3209415129048</v>
      </c>
      <c r="H83" s="7" t="n">
        <f aca="false">IF(H82&gt;$L39,(SUMPRODUCT($B46:$K46/(1+H82)^$B$16:$K$16)+$L46/(H82-$L39)/(1+H82)^$K$16+$B$7+$B$8)/$B$6,"n/a")</f>
        <v>18.1336808049859</v>
      </c>
      <c r="I83" s="7" t="n">
        <f aca="false">IF(I82&gt;$L39,(SUMPRODUCT($B46:$K46/(1+I82)^$B$16:$K$16)+$L46/(I82-$L39)/(1+I82)^$K$16+$B$7+$B$8)/$B$6,"n/a")</f>
        <v>14.783768455093</v>
      </c>
      <c r="J83" s="7" t="n">
        <f aca="false">IF(J82&gt;$L39,(SUMPRODUCT($B46:$K46/(1+J82)^$B$16:$K$16)+$L46/(J82-$L39)/(1+J82)^$K$16+$B$7+$B$8)/$B$6,"n/a")</f>
        <v>12.0429282086559</v>
      </c>
      <c r="K83" s="7" t="n">
        <f aca="false">IF(K82&gt;$L39,(SUMPRODUCT($B46:$K46/(1+K82)^$B$16:$K$16)+$L46/(K82-$L39)/(1+K82)^$K$16+$B$7+$B$8)/$B$6,"n/a")</f>
        <v>9.75896484253992</v>
      </c>
    </row>
    <row r="84" customFormat="false" ht="15" hidden="false" customHeight="false" outlineLevel="0" collapsed="false">
      <c r="A84" s="0" t="s">
        <v>160</v>
      </c>
      <c r="B84" s="6" t="n">
        <f aca="false">IFERROR(B83/$B$4-1,"n/a")</f>
        <v>1.27533873110579</v>
      </c>
      <c r="C84" s="6" t="n">
        <f aca="false">IFERROR(C83/$B$4-1,"n/a")</f>
        <v>0.603990006438998</v>
      </c>
      <c r="D84" s="6" t="n">
        <f aca="false">IFERROR(D83/$B$4-1,"n/a")</f>
        <v>0.201134035769689</v>
      </c>
      <c r="E84" s="6" t="n">
        <f aca="false">IFERROR(E83/$B$4-1,"n/a")</f>
        <v>-0.0674667584956267</v>
      </c>
      <c r="F84" s="6" t="n">
        <f aca="false">IFERROR(F83/$B$4-1,"n/a")</f>
        <v>-0.259343696812761</v>
      </c>
      <c r="G84" s="6" t="n">
        <f aca="false">IFERROR(G83/$B$4-1,"n/a")</f>
        <v>-0.403263159660344</v>
      </c>
      <c r="H84" s="6" t="n">
        <f aca="false">IFERROR(H83/$B$4-1,"n/a")</f>
        <v>-0.515207036359151</v>
      </c>
      <c r="I84" s="6" t="n">
        <f aca="false">IFERROR(I83/$B$4-1,"n/a")</f>
        <v>-0.604764912308702</v>
      </c>
      <c r="J84" s="6" t="n">
        <f aca="false">IFERROR(J83/$B$4-1,"n/a")</f>
        <v>-0.678039614793319</v>
      </c>
      <c r="K84" s="6" t="n">
        <f aca="false">IFERROR(K83/$B$4-1,"n/a")</f>
        <v>-0.739099990842403</v>
      </c>
    </row>
    <row r="86" customFormat="false" ht="15" hidden="false" customHeight="false" outlineLevel="0" collapsed="false">
      <c r="A86" s="9" t="s">
        <v>161</v>
      </c>
      <c r="B86" s="18" t="n">
        <f aca="false">IFERROR(IF(MATCH($B$4,$B$83:$K$83,-1)=10,"above 14%",INDEX($B$82:$K$82,MATCH($B$4,$B$83:$K$83,-1))+(INDEX($B$83:$K$83,MATCH($B$4,$B$83:$K$83,-1))-$B$4)/(INDEX($B$83:$K$83,MATCH($B$4,$B$83:$K$83,-1))-INDEX($B$83:$K$83,MATCH($B$4,$B$83:$K$83,-1)+1))*(INDEX($B$82:$K$82,MATCH($B$4,$B$83:$K$83,-1)+1)-INDEX($B$82:$K$82,MATCH($B$4,$B$83:$K$83,-1)))),"below 5%")</f>
        <v>0.0774882144827545</v>
      </c>
      <c r="C86"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1"/>
    <col collapsed="false" customWidth="true" hidden="false" outlineLevel="0" max="3" min="3" style="0" width="12"/>
    <col collapsed="false" customWidth="true" hidden="false" outlineLevel="0" max="12" min="4" style="0" width="11"/>
  </cols>
  <sheetData>
    <row r="1" customFormat="false" ht="16.15" hidden="false" customHeight="false" outlineLevel="0" collapsed="false">
      <c r="A1" s="1" t="s">
        <v>207</v>
      </c>
    </row>
    <row r="2" customFormat="false" ht="15" hidden="false" customHeight="false" outlineLevel="0" collapsed="false">
      <c r="A2" s="2" t="s">
        <v>100</v>
      </c>
    </row>
    <row r="4" customFormat="false" ht="15" hidden="false" customHeight="false" outlineLevel="0" collapsed="false">
      <c r="A4" s="0" t="s">
        <v>101</v>
      </c>
      <c r="B4" s="19" t="n">
        <v>212.28</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106</v>
      </c>
      <c r="B6" s="21" t="n">
        <v>24.15</v>
      </c>
      <c r="C6" s="2" t="s">
        <v>61</v>
      </c>
    </row>
    <row r="7" customFormat="false" ht="15" hidden="false" customHeight="false" outlineLevel="0" collapsed="false">
      <c r="A7" s="0" t="s">
        <v>107</v>
      </c>
      <c r="B7" s="22" t="n">
        <v>23.61</v>
      </c>
      <c r="C7" s="2" t="s">
        <v>108</v>
      </c>
    </row>
    <row r="8" customFormat="false" ht="15" hidden="false" customHeight="false" outlineLevel="0" collapsed="false">
      <c r="A8" s="0" t="s">
        <v>109</v>
      </c>
      <c r="B8" s="22" t="n">
        <v>0</v>
      </c>
      <c r="C8" s="2" t="s">
        <v>176</v>
      </c>
    </row>
    <row r="9" customFormat="false" ht="15" hidden="false" customHeight="false" outlineLevel="0" collapsed="false">
      <c r="A9" s="0" t="s">
        <v>72</v>
      </c>
      <c r="B9" s="11" t="n">
        <v>0.16</v>
      </c>
      <c r="C9" s="2" t="s">
        <v>111</v>
      </c>
    </row>
    <row r="10" customFormat="false" ht="15" hidden="false" customHeight="false" outlineLevel="0" collapsed="false">
      <c r="A10" s="0" t="s">
        <v>112</v>
      </c>
      <c r="B10" s="23" t="n">
        <f aca="false">WACC!J29</f>
        <v>0.11</v>
      </c>
      <c r="C10" s="2" t="s">
        <v>113</v>
      </c>
    </row>
    <row r="11" customFormat="false" ht="15" hidden="false" customHeight="false" outlineLevel="0" collapsed="false">
      <c r="A11" s="0" t="s">
        <v>114</v>
      </c>
      <c r="B11" s="11" t="n">
        <v>0.1</v>
      </c>
      <c r="C11" s="2" t="s">
        <v>45</v>
      </c>
    </row>
    <row r="12" customFormat="false" ht="15" hidden="false" customHeight="false" outlineLevel="0" collapsed="false">
      <c r="A12" s="0" t="s">
        <v>208</v>
      </c>
      <c r="B12" s="22" t="n">
        <v>411.65</v>
      </c>
      <c r="C12" s="2" t="s">
        <v>209</v>
      </c>
    </row>
    <row r="13" customFormat="false" ht="15" hidden="false" customHeight="false" outlineLevel="0" collapsed="false">
      <c r="A13" s="0" t="s">
        <v>117</v>
      </c>
      <c r="B13" s="10" t="n">
        <v>2</v>
      </c>
      <c r="C13" s="2" t="s">
        <v>118</v>
      </c>
    </row>
    <row r="15" customFormat="false" ht="15" hidden="false" customHeight="false" outlineLevel="0" collapsed="false">
      <c r="A15" s="9" t="s">
        <v>119</v>
      </c>
      <c r="B15" s="24" t="s">
        <v>210</v>
      </c>
      <c r="C15" s="24" t="s">
        <v>211</v>
      </c>
      <c r="D15" s="24" t="s">
        <v>212</v>
      </c>
      <c r="E15" s="24" t="s">
        <v>213</v>
      </c>
      <c r="F15" s="24" t="s">
        <v>214</v>
      </c>
      <c r="G15" s="24" t="s">
        <v>215</v>
      </c>
      <c r="H15" s="24" t="s">
        <v>216</v>
      </c>
      <c r="I15" s="24" t="s">
        <v>217</v>
      </c>
      <c r="J15" s="24" t="s">
        <v>218</v>
      </c>
      <c r="K15" s="24" t="s">
        <v>219</v>
      </c>
      <c r="L15" s="9" t="s">
        <v>130</v>
      </c>
    </row>
    <row r="16" customFormat="false" ht="15" hidden="false" customHeight="false" outlineLevel="0" collapsed="false">
      <c r="A16" s="0" t="s">
        <v>131</v>
      </c>
      <c r="B16" s="20" t="n">
        <v>0.5</v>
      </c>
      <c r="C16" s="25" t="n">
        <f aca="false">B16+1</f>
        <v>1.5</v>
      </c>
      <c r="D16" s="25" t="n">
        <f aca="false">C16+1</f>
        <v>2.5</v>
      </c>
      <c r="E16" s="25" t="n">
        <f aca="false">D16+1</f>
        <v>3.5</v>
      </c>
      <c r="F16" s="25" t="n">
        <f aca="false">E16+1</f>
        <v>4.5</v>
      </c>
      <c r="G16" s="25" t="n">
        <f aca="false">F16+1</f>
        <v>5.5</v>
      </c>
      <c r="H16" s="25" t="n">
        <f aca="false">G16+1</f>
        <v>6.5</v>
      </c>
      <c r="I16" s="25" t="n">
        <f aca="false">H16+1</f>
        <v>7.5</v>
      </c>
      <c r="J16" s="25" t="n">
        <f aca="false">I16+1</f>
        <v>8.5</v>
      </c>
      <c r="K16" s="25" t="n">
        <f aca="false">J16+1</f>
        <v>9.5</v>
      </c>
    </row>
    <row r="17" customFormat="false" ht="15" hidden="false" customHeight="false" outlineLevel="0" collapsed="false">
      <c r="A17" s="0" t="s">
        <v>132</v>
      </c>
      <c r="B17" s="0" t="n">
        <v>0</v>
      </c>
      <c r="C17" s="0" t="n">
        <v>0</v>
      </c>
      <c r="D17" s="0" t="n">
        <v>0</v>
      </c>
      <c r="E17" s="0" t="n">
        <v>0</v>
      </c>
      <c r="F17" s="0" t="n">
        <v>0</v>
      </c>
      <c r="G17" s="0" t="n">
        <v>1</v>
      </c>
      <c r="H17" s="0" t="n">
        <v>2</v>
      </c>
      <c r="I17" s="0" t="n">
        <v>3</v>
      </c>
      <c r="J17" s="0" t="n">
        <v>4</v>
      </c>
      <c r="K17" s="0" t="n">
        <v>5</v>
      </c>
    </row>
    <row r="19" customFormat="false" ht="15" hidden="false" customHeight="false" outlineLevel="0" collapsed="false">
      <c r="A19" s="12" t="s">
        <v>220</v>
      </c>
      <c r="B19" s="26"/>
      <c r="C19" s="26"/>
      <c r="D19" s="26"/>
      <c r="E19" s="26"/>
      <c r="F19" s="26"/>
      <c r="G19" s="26"/>
      <c r="H19" s="26"/>
      <c r="I19" s="26"/>
      <c r="J19" s="26"/>
      <c r="K19" s="26"/>
      <c r="L19" s="26"/>
    </row>
    <row r="20" customFormat="false" ht="15" hidden="false" customHeight="false" outlineLevel="0" collapsed="false">
      <c r="A20" s="0" t="s">
        <v>134</v>
      </c>
      <c r="B20" s="22" t="n">
        <v>560</v>
      </c>
      <c r="C20" s="22" t="n">
        <v>500</v>
      </c>
      <c r="D20" s="22" t="n">
        <v>470</v>
      </c>
      <c r="E20" s="22" t="n">
        <v>520</v>
      </c>
      <c r="F20" s="22" t="n">
        <v>560</v>
      </c>
      <c r="G20" s="27" t="n">
        <f aca="false">F20*(1+$F21+($L21-$F21)*G$17/5)</f>
        <v>597.821538461539</v>
      </c>
      <c r="H20" s="27" t="n">
        <f aca="false">G20*(1+$F21+($L21-$F21)*H$17/5)</f>
        <v>632.587160236687</v>
      </c>
      <c r="I20" s="27" t="n">
        <f aca="false">H20*(1+$F21+($L21-$F21)*I$17/5)</f>
        <v>663.437949435922</v>
      </c>
      <c r="J20" s="27" t="n">
        <f aca="false">I20*(1+$F21+($L21-$F21)*J$17/5)</f>
        <v>689.567197906013</v>
      </c>
      <c r="K20" s="27" t="n">
        <f aca="false">J20*(1+$F21+($L21-$F21)*K$17/5)</f>
        <v>710.254213843194</v>
      </c>
      <c r="L20" s="27" t="n">
        <f aca="false">K20*(1+L21)</f>
        <v>731.56184025849</v>
      </c>
    </row>
    <row r="21" customFormat="false" ht="15" hidden="false" customHeight="false" outlineLevel="0" collapsed="false">
      <c r="A21" s="0" t="s">
        <v>135</v>
      </c>
      <c r="B21" s="6" t="n">
        <f aca="false">B20/$B$12-1</f>
        <v>0.360378962711041</v>
      </c>
      <c r="C21" s="6" t="n">
        <f aca="false">C20/B20-1</f>
        <v>-0.107142857142857</v>
      </c>
      <c r="D21" s="6" t="n">
        <f aca="false">D20/C20-1</f>
        <v>-0.0600000000000001</v>
      </c>
      <c r="E21" s="6" t="n">
        <f aca="false">E20/D20-1</f>
        <v>0.106382978723404</v>
      </c>
      <c r="F21" s="6" t="n">
        <f aca="false">F20/E20-1</f>
        <v>0.0769230769230769</v>
      </c>
      <c r="G21" s="6" t="n">
        <f aca="false">G20/F20-1</f>
        <v>0.0675384615384616</v>
      </c>
      <c r="H21" s="6" t="n">
        <f aca="false">H20/G20-1</f>
        <v>0.0581538461538462</v>
      </c>
      <c r="I21" s="6" t="n">
        <f aca="false">I20/H20-1</f>
        <v>0.0487692307692307</v>
      </c>
      <c r="J21" s="6" t="n">
        <f aca="false">J20/I20-1</f>
        <v>0.0393846153846154</v>
      </c>
      <c r="K21" s="6" t="n">
        <f aca="false">K20/J20-1</f>
        <v>0.03</v>
      </c>
      <c r="L21" s="28" t="n">
        <v>0.03</v>
      </c>
    </row>
    <row r="22" customFormat="false" ht="15" hidden="false" customHeight="false" outlineLevel="0" collapsed="false">
      <c r="A22" s="0" t="s">
        <v>136</v>
      </c>
      <c r="B22" s="29" t="n">
        <v>0.6</v>
      </c>
      <c r="C22" s="29" t="n">
        <v>0.52</v>
      </c>
      <c r="D22" s="29" t="n">
        <v>0.48</v>
      </c>
      <c r="E22" s="29" t="n">
        <v>0.48</v>
      </c>
      <c r="F22" s="29" t="n">
        <v>0.47</v>
      </c>
      <c r="G22" s="6" t="n">
        <f aca="false">$F22+($L22-$F22)*G$17/5</f>
        <v>0.452</v>
      </c>
      <c r="H22" s="6" t="n">
        <f aca="false">$F22+($L22-$F22)*H$17/5</f>
        <v>0.434</v>
      </c>
      <c r="I22" s="6" t="n">
        <f aca="false">$F22+($L22-$F22)*I$17/5</f>
        <v>0.416</v>
      </c>
      <c r="J22" s="6" t="n">
        <f aca="false">$F22+($L22-$F22)*J$17/5</f>
        <v>0.398</v>
      </c>
      <c r="K22" s="6" t="n">
        <f aca="false">$F22+($L22-$F22)*K$17/5</f>
        <v>0.38</v>
      </c>
      <c r="L22" s="28" t="n">
        <v>0.38</v>
      </c>
    </row>
    <row r="23" customFormat="false" ht="15" hidden="false" customHeight="false" outlineLevel="0" collapsed="false">
      <c r="A23" s="0" t="s">
        <v>137</v>
      </c>
      <c r="B23" s="27" t="n">
        <f aca="false">B20*B22</f>
        <v>336</v>
      </c>
      <c r="C23" s="27" t="n">
        <f aca="false">C20*C22</f>
        <v>260</v>
      </c>
      <c r="D23" s="27" t="n">
        <f aca="false">D20*D22</f>
        <v>225.6</v>
      </c>
      <c r="E23" s="27" t="n">
        <f aca="false">E20*E22</f>
        <v>249.6</v>
      </c>
      <c r="F23" s="27" t="n">
        <f aca="false">F20*F22</f>
        <v>263.2</v>
      </c>
      <c r="G23" s="27" t="n">
        <f aca="false">G20*G22</f>
        <v>270.215335384615</v>
      </c>
      <c r="H23" s="27" t="n">
        <f aca="false">H20*H22</f>
        <v>274.542827542722</v>
      </c>
      <c r="I23" s="27" t="n">
        <f aca="false">I20*I22</f>
        <v>275.990186965343</v>
      </c>
      <c r="J23" s="27" t="n">
        <f aca="false">J20*J22</f>
        <v>274.447744766593</v>
      </c>
      <c r="K23" s="27" t="n">
        <f aca="false">K20*K22</f>
        <v>269.896601260414</v>
      </c>
      <c r="L23" s="27" t="n">
        <f aca="false">L20*L22</f>
        <v>277.993499298226</v>
      </c>
    </row>
    <row r="24" customFormat="false" ht="15" hidden="false" customHeight="false" outlineLevel="0" collapsed="false">
      <c r="A24" s="0" t="s">
        <v>138</v>
      </c>
      <c r="B24" s="27" t="n">
        <f aca="false">B23*(1-$B$9)</f>
        <v>282.24</v>
      </c>
      <c r="C24" s="27" t="n">
        <f aca="false">C23*(1-$B$9)</f>
        <v>218.4</v>
      </c>
      <c r="D24" s="27" t="n">
        <f aca="false">D23*(1-$B$9)</f>
        <v>189.504</v>
      </c>
      <c r="E24" s="27" t="n">
        <f aca="false">E23*(1-$B$9)</f>
        <v>209.664</v>
      </c>
      <c r="F24" s="27" t="n">
        <f aca="false">F23*(1-$B$9)</f>
        <v>221.088</v>
      </c>
      <c r="G24" s="27" t="n">
        <f aca="false">G23*(1-$B$9)</f>
        <v>226.980881723077</v>
      </c>
      <c r="H24" s="27" t="n">
        <f aca="false">H23*(1-$B$9)</f>
        <v>230.615975135886</v>
      </c>
      <c r="I24" s="27" t="n">
        <f aca="false">I23*(1-$B$9)</f>
        <v>231.831757050888</v>
      </c>
      <c r="J24" s="27" t="n">
        <f aca="false">J23*(1-$B$9)</f>
        <v>230.536105603938</v>
      </c>
      <c r="K24" s="27" t="n">
        <f aca="false">K23*(1-$B$9)</f>
        <v>226.713145058747</v>
      </c>
      <c r="L24" s="27" t="n">
        <f aca="false">L23*(1-$B$9)</f>
        <v>233.51453941051</v>
      </c>
    </row>
    <row r="25" customFormat="false" ht="15" hidden="false" customHeight="false" outlineLevel="0" collapsed="false">
      <c r="A25" s="0" t="s">
        <v>139</v>
      </c>
      <c r="B25" s="29" t="n">
        <v>0.03</v>
      </c>
      <c r="C25" s="29" t="n">
        <v>0.03</v>
      </c>
      <c r="D25" s="29" t="n">
        <v>0.03</v>
      </c>
      <c r="E25" s="29" t="n">
        <v>0.03</v>
      </c>
      <c r="F25" s="29" t="n">
        <v>0.03</v>
      </c>
      <c r="G25" s="6" t="n">
        <f aca="false">$F25+($L25-$F25)*G$17/5</f>
        <v>0.03</v>
      </c>
      <c r="H25" s="6" t="n">
        <f aca="false">$F25+($L25-$F25)*H$17/5</f>
        <v>0.03</v>
      </c>
      <c r="I25" s="6" t="n">
        <f aca="false">$F25+($L25-$F25)*I$17/5</f>
        <v>0.03</v>
      </c>
      <c r="J25" s="6" t="n">
        <f aca="false">$F25+($L25-$F25)*J$17/5</f>
        <v>0.03</v>
      </c>
      <c r="K25" s="6" t="n">
        <f aca="false">$F25+($L25-$F25)*K$17/5</f>
        <v>0.03</v>
      </c>
      <c r="L25" s="28" t="n">
        <v>0.03</v>
      </c>
    </row>
    <row r="26" customFormat="false" ht="15" hidden="false" customHeight="false" outlineLevel="0" collapsed="false">
      <c r="A26" s="0" t="s">
        <v>140</v>
      </c>
      <c r="B26" s="27" t="n">
        <f aca="false">B20*B25</f>
        <v>16.8</v>
      </c>
      <c r="C26" s="27" t="n">
        <f aca="false">C20*C25</f>
        <v>15</v>
      </c>
      <c r="D26" s="27" t="n">
        <f aca="false">D20*D25</f>
        <v>14.1</v>
      </c>
      <c r="E26" s="27" t="n">
        <f aca="false">E20*E25</f>
        <v>15.6</v>
      </c>
      <c r="F26" s="27" t="n">
        <f aca="false">F20*F25</f>
        <v>16.8</v>
      </c>
      <c r="G26" s="27" t="n">
        <f aca="false">G20*G25</f>
        <v>17.9346461538462</v>
      </c>
      <c r="H26" s="27" t="n">
        <f aca="false">H20*H25</f>
        <v>18.9776148071006</v>
      </c>
      <c r="I26" s="27" t="n">
        <f aca="false">I20*I25</f>
        <v>19.9031384830777</v>
      </c>
      <c r="J26" s="27" t="n">
        <f aca="false">J20*J25</f>
        <v>20.6870159371804</v>
      </c>
      <c r="K26" s="27" t="n">
        <f aca="false">K20*K25</f>
        <v>21.3076264152958</v>
      </c>
      <c r="L26" s="27" t="n">
        <f aca="false">L20*L25</f>
        <v>21.9468552077547</v>
      </c>
    </row>
    <row r="27" customFormat="false" ht="15" hidden="false" customHeight="false" outlineLevel="0" collapsed="false">
      <c r="A27" s="0" t="s">
        <v>141</v>
      </c>
      <c r="B27" s="27" t="n">
        <f aca="false">$B$11*(B20-$B$12)</f>
        <v>14.835</v>
      </c>
      <c r="C27" s="27" t="n">
        <f aca="false">$B$11*(C20-B20)</f>
        <v>-6</v>
      </c>
      <c r="D27" s="27" t="n">
        <f aca="false">$B$11*(D20-C20)</f>
        <v>-3</v>
      </c>
      <c r="E27" s="27" t="n">
        <f aca="false">$B$11*(E20-D20)</f>
        <v>5</v>
      </c>
      <c r="F27" s="27" t="n">
        <f aca="false">$B$11*(F20-E20)</f>
        <v>4</v>
      </c>
      <c r="G27" s="27" t="n">
        <f aca="false">$B$11*(G20-F20)</f>
        <v>3.78215384615385</v>
      </c>
      <c r="H27" s="27" t="n">
        <f aca="false">$B$11*(H20-G20)</f>
        <v>3.4765621775148</v>
      </c>
      <c r="I27" s="27" t="n">
        <f aca="false">$B$11*(I20-H20)</f>
        <v>3.08507891992352</v>
      </c>
      <c r="J27" s="27" t="n">
        <f aca="false">$B$11*(J20-I20)</f>
        <v>2.61292484700916</v>
      </c>
      <c r="K27" s="27" t="n">
        <f aca="false">$B$11*(K20-J20)</f>
        <v>2.06870159371804</v>
      </c>
      <c r="L27" s="27" t="n">
        <f aca="false">$B$11*(L20-K20)</f>
        <v>2.13076264152959</v>
      </c>
    </row>
    <row r="28" customFormat="false" ht="15" hidden="false" customHeight="false" outlineLevel="0" collapsed="false">
      <c r="A28" s="0" t="s">
        <v>142</v>
      </c>
      <c r="B28" s="27" t="n">
        <f aca="false">B24-B26-B27</f>
        <v>250.605</v>
      </c>
      <c r="C28" s="27" t="n">
        <f aca="false">C24-C26-C27</f>
        <v>209.4</v>
      </c>
      <c r="D28" s="27" t="n">
        <f aca="false">D24-D26-D27</f>
        <v>178.404</v>
      </c>
      <c r="E28" s="27" t="n">
        <f aca="false">E24-E26-E27</f>
        <v>189.064</v>
      </c>
      <c r="F28" s="27" t="n">
        <f aca="false">F24-F26-F27</f>
        <v>200.288</v>
      </c>
      <c r="G28" s="27" t="n">
        <f aca="false">G24-G26-G27</f>
        <v>205.264081723077</v>
      </c>
      <c r="H28" s="27" t="n">
        <f aca="false">H24-H26-H27</f>
        <v>208.161798151271</v>
      </c>
      <c r="I28" s="27" t="n">
        <f aca="false">I24-I26-I27</f>
        <v>208.843539647887</v>
      </c>
      <c r="J28" s="27" t="n">
        <f aca="false">J24-J26-J27</f>
        <v>207.236164819749</v>
      </c>
      <c r="K28" s="27" t="n">
        <f aca="false">K24-K26-K27</f>
        <v>203.336817049734</v>
      </c>
      <c r="L28" s="27" t="n">
        <f aca="false">L24-L26-L27</f>
        <v>209.436921561226</v>
      </c>
    </row>
    <row r="29" customFormat="false" ht="15" hidden="false" customHeight="false" outlineLevel="0" collapsed="false">
      <c r="A29" s="0" t="s">
        <v>143</v>
      </c>
      <c r="B29" s="30" t="n">
        <f aca="false">1/(1+$B$10)^B$16</f>
        <v>0.949157995752499</v>
      </c>
      <c r="C29" s="30" t="n">
        <f aca="false">1/(1+$B$10)^C$16</f>
        <v>0.85509729347072</v>
      </c>
      <c r="D29" s="30" t="n">
        <f aca="false">1/(1+$B$10)^D$16</f>
        <v>0.770357922045693</v>
      </c>
      <c r="E29" s="30" t="n">
        <f aca="false">1/(1+$B$10)^E$16</f>
        <v>0.694016145987111</v>
      </c>
      <c r="F29" s="30" t="n">
        <f aca="false">1/(1+$B$10)^F$16</f>
        <v>0.62523977115956</v>
      </c>
      <c r="G29" s="30" t="n">
        <f aca="false">1/(1+$B$10)^G$16</f>
        <v>0.56327907311672</v>
      </c>
      <c r="H29" s="30" t="n">
        <f aca="false">1/(1+$B$10)^H$16</f>
        <v>0.507458624429478</v>
      </c>
      <c r="I29" s="30" t="n">
        <f aca="false">1/(1+$B$10)^I$16</f>
        <v>0.457169931918448</v>
      </c>
      <c r="J29" s="30" t="n">
        <f aca="false">1/(1+$B$10)^J$16</f>
        <v>0.411864803530134</v>
      </c>
      <c r="K29" s="30" t="n">
        <f aca="false">1/(1+$B$10)^K$16</f>
        <v>0.37104937254967</v>
      </c>
    </row>
    <row r="30" customFormat="false" ht="15" hidden="false" customHeight="false" outlineLevel="0" collapsed="false">
      <c r="A30" s="0" t="s">
        <v>144</v>
      </c>
      <c r="B30" s="27" t="n">
        <f aca="false">B28*B29</f>
        <v>237.863739525555</v>
      </c>
      <c r="C30" s="27" t="n">
        <f aca="false">C28*C29</f>
        <v>179.057373252769</v>
      </c>
      <c r="D30" s="27" t="n">
        <f aca="false">D28*D29</f>
        <v>137.43493472464</v>
      </c>
      <c r="E30" s="27" t="n">
        <f aca="false">E28*E29</f>
        <v>131.213468624907</v>
      </c>
      <c r="F30" s="27" t="n">
        <f aca="false">F28*F29</f>
        <v>125.228023286006</v>
      </c>
      <c r="G30" s="27" t="n">
        <f aca="false">G28*G29</f>
        <v>115.620961697129</v>
      </c>
      <c r="H30" s="27" t="n">
        <f aca="false">H28*H29</f>
        <v>105.633499748611</v>
      </c>
      <c r="I30" s="27" t="n">
        <f aca="false">I28*I29</f>
        <v>95.4769868024324</v>
      </c>
      <c r="J30" s="27" t="n">
        <f aca="false">J28*J29</f>
        <v>85.3532823078242</v>
      </c>
      <c r="K30" s="27" t="n">
        <f aca="false">K28*K29</f>
        <v>75.4479983825507</v>
      </c>
      <c r="L30" s="27"/>
    </row>
    <row r="31" customFormat="false" ht="15" hidden="false" customHeight="false" outlineLevel="0" collapsed="false">
      <c r="A31" s="0" t="s">
        <v>145</v>
      </c>
      <c r="B31" s="27" t="n">
        <f aca="false">L28/($B$10-L21)</f>
        <v>2617.96151951532</v>
      </c>
      <c r="C31" s="0" t="str">
        <f aca="false">IF($B$10&gt;L21,"","Discount rate must exceed terminal growth")</f>
        <v/>
      </c>
    </row>
    <row r="32" customFormat="false" ht="15" hidden="false" customHeight="false" outlineLevel="0" collapsed="false">
      <c r="A32" s="0" t="s">
        <v>146</v>
      </c>
      <c r="B32" s="27" t="n">
        <f aca="false">B31/(1+$B$10)^$K$16</f>
        <v>971.39297917534</v>
      </c>
    </row>
    <row r="33" customFormat="false" ht="15" hidden="false" customHeight="false" outlineLevel="0" collapsed="false">
      <c r="A33" s="0" t="s">
        <v>147</v>
      </c>
      <c r="B33" s="27" t="n">
        <f aca="false">SUM(B30:K30)+B32+$B$7+$B$8</f>
        <v>2283.33324752776</v>
      </c>
    </row>
    <row r="34" customFormat="false" ht="15" hidden="false" customHeight="false" outlineLevel="0" collapsed="false">
      <c r="A34" s="0" t="s">
        <v>148</v>
      </c>
      <c r="B34" s="31" t="n">
        <f aca="false">B33/$B$6</f>
        <v>94.5479605601558</v>
      </c>
    </row>
    <row r="35" customFormat="false" ht="15" hidden="false" customHeight="false" outlineLevel="0" collapsed="false">
      <c r="A35" s="0" t="s">
        <v>149</v>
      </c>
      <c r="B35" s="6" t="n">
        <f aca="false">B34/$B$4-1</f>
        <v>-0.55460730845979</v>
      </c>
    </row>
    <row r="37" customFormat="false" ht="15" hidden="false" customHeight="false" outlineLevel="0" collapsed="false">
      <c r="A37" s="12" t="s">
        <v>221</v>
      </c>
      <c r="B37" s="26"/>
      <c r="C37" s="26"/>
      <c r="D37" s="26"/>
      <c r="E37" s="26"/>
      <c r="F37" s="26"/>
      <c r="G37" s="26"/>
      <c r="H37" s="26"/>
      <c r="I37" s="26"/>
      <c r="J37" s="26"/>
      <c r="K37" s="26"/>
      <c r="L37" s="26"/>
    </row>
    <row r="38" customFormat="false" ht="15" hidden="false" customHeight="false" outlineLevel="0" collapsed="false">
      <c r="A38" s="0" t="s">
        <v>134</v>
      </c>
      <c r="B38" s="22" t="n">
        <v>640</v>
      </c>
      <c r="C38" s="22" t="n">
        <v>720</v>
      </c>
      <c r="D38" s="22" t="n">
        <v>700</v>
      </c>
      <c r="E38" s="22" t="n">
        <v>760</v>
      </c>
      <c r="F38" s="22" t="n">
        <v>820</v>
      </c>
      <c r="G38" s="27" t="n">
        <f aca="false">F38*(1+$F39+($L39-$F39)*G$17/5)</f>
        <v>877.529473684211</v>
      </c>
      <c r="H38" s="27" t="n">
        <f aca="false">G38*(1+$F39+($L39-$F39)*H$17/5)</f>
        <v>931.382071911358</v>
      </c>
      <c r="I38" s="27" t="n">
        <f aca="false">H38*(1+$F39+($L39-$F39)*I$17/5)</f>
        <v>980.353160850276</v>
      </c>
      <c r="J38" s="27" t="n">
        <f aca="false">I38*(1+$F39+($L39-$F39)*J$17/5)</f>
        <v>1023.28230978856</v>
      </c>
      <c r="K38" s="27" t="n">
        <f aca="false">J38*(1+$F39+($L39-$F39)*K$17/5)</f>
        <v>1059.09719063116</v>
      </c>
      <c r="L38" s="27" t="n">
        <f aca="false">K38*(1+L39)</f>
        <v>1096.16559230325</v>
      </c>
    </row>
    <row r="39" customFormat="false" ht="15" hidden="false" customHeight="false" outlineLevel="0" collapsed="false">
      <c r="A39" s="0" t="s">
        <v>135</v>
      </c>
      <c r="B39" s="6" t="n">
        <f aca="false">B38/$B$12-1</f>
        <v>0.554718814526904</v>
      </c>
      <c r="C39" s="6" t="n">
        <f aca="false">C38/B38-1</f>
        <v>0.125</v>
      </c>
      <c r="D39" s="6" t="n">
        <f aca="false">D38/C38-1</f>
        <v>-0.0277777777777778</v>
      </c>
      <c r="E39" s="6" t="n">
        <f aca="false">E38/D38-1</f>
        <v>0.0857142857142856</v>
      </c>
      <c r="F39" s="6" t="n">
        <f aca="false">F38/E38-1</f>
        <v>0.0789473684210527</v>
      </c>
      <c r="G39" s="6" t="n">
        <f aca="false">G38/F38-1</f>
        <v>0.0701578947368422</v>
      </c>
      <c r="H39" s="6" t="n">
        <f aca="false">H38/G38-1</f>
        <v>0.0613684210526315</v>
      </c>
      <c r="I39" s="6" t="n">
        <f aca="false">I38/H38-1</f>
        <v>0.0525789473684211</v>
      </c>
      <c r="J39" s="6" t="n">
        <f aca="false">J38/I38-1</f>
        <v>0.0437894736842106</v>
      </c>
      <c r="K39" s="6" t="n">
        <f aca="false">K38/J38-1</f>
        <v>0.0349999999999999</v>
      </c>
      <c r="L39" s="28" t="n">
        <v>0.035</v>
      </c>
    </row>
    <row r="40" customFormat="false" ht="15" hidden="false" customHeight="false" outlineLevel="0" collapsed="false">
      <c r="A40" s="0" t="s">
        <v>136</v>
      </c>
      <c r="B40" s="29" t="n">
        <v>0.62</v>
      </c>
      <c r="C40" s="29" t="n">
        <v>0.6</v>
      </c>
      <c r="D40" s="29" t="n">
        <v>0.56</v>
      </c>
      <c r="E40" s="29" t="n">
        <v>0.54</v>
      </c>
      <c r="F40" s="29" t="n">
        <v>0.52</v>
      </c>
      <c r="G40" s="6" t="n">
        <f aca="false">$F40+($L40-$F40)*G$17/5</f>
        <v>0.508</v>
      </c>
      <c r="H40" s="6" t="n">
        <f aca="false">$F40+($L40-$F40)*H$17/5</f>
        <v>0.496</v>
      </c>
      <c r="I40" s="6" t="n">
        <f aca="false">$F40+($L40-$F40)*I$17/5</f>
        <v>0.484</v>
      </c>
      <c r="J40" s="6" t="n">
        <f aca="false">$F40+($L40-$F40)*J$17/5</f>
        <v>0.472</v>
      </c>
      <c r="K40" s="6" t="n">
        <f aca="false">$F40+($L40-$F40)*K$17/5</f>
        <v>0.46</v>
      </c>
      <c r="L40" s="28" t="n">
        <v>0.46</v>
      </c>
    </row>
    <row r="41" customFormat="false" ht="15" hidden="false" customHeight="false" outlineLevel="0" collapsed="false">
      <c r="A41" s="0" t="s">
        <v>137</v>
      </c>
      <c r="B41" s="27" t="n">
        <f aca="false">B38*B40</f>
        <v>396.8</v>
      </c>
      <c r="C41" s="27" t="n">
        <f aca="false">C38*C40</f>
        <v>432</v>
      </c>
      <c r="D41" s="27" t="n">
        <f aca="false">D38*D40</f>
        <v>392</v>
      </c>
      <c r="E41" s="27" t="n">
        <f aca="false">E38*E40</f>
        <v>410.4</v>
      </c>
      <c r="F41" s="27" t="n">
        <f aca="false">F38*F40</f>
        <v>426.4</v>
      </c>
      <c r="G41" s="27" t="n">
        <f aca="false">G38*G40</f>
        <v>445.784972631579</v>
      </c>
      <c r="H41" s="27" t="n">
        <f aca="false">H38*H40</f>
        <v>461.965507668033</v>
      </c>
      <c r="I41" s="27" t="n">
        <f aca="false">I38*I40</f>
        <v>474.490929851533</v>
      </c>
      <c r="J41" s="27" t="n">
        <f aca="false">J38*J40</f>
        <v>482.989250220201</v>
      </c>
      <c r="K41" s="27" t="n">
        <f aca="false">K38*K40</f>
        <v>487.184707690334</v>
      </c>
      <c r="L41" s="27" t="n">
        <f aca="false">L38*L40</f>
        <v>504.236172459496</v>
      </c>
    </row>
    <row r="42" customFormat="false" ht="15" hidden="false" customHeight="false" outlineLevel="0" collapsed="false">
      <c r="A42" s="0" t="s">
        <v>138</v>
      </c>
      <c r="B42" s="27" t="n">
        <f aca="false">B41*(1-$B$9)</f>
        <v>333.312</v>
      </c>
      <c r="C42" s="27" t="n">
        <f aca="false">C41*(1-$B$9)</f>
        <v>362.88</v>
      </c>
      <c r="D42" s="27" t="n">
        <f aca="false">D41*(1-$B$9)</f>
        <v>329.28</v>
      </c>
      <c r="E42" s="27" t="n">
        <f aca="false">E41*(1-$B$9)</f>
        <v>344.736</v>
      </c>
      <c r="F42" s="27" t="n">
        <f aca="false">F41*(1-$B$9)</f>
        <v>358.176</v>
      </c>
      <c r="G42" s="27" t="n">
        <f aca="false">G41*(1-$B$9)</f>
        <v>374.459377010526</v>
      </c>
      <c r="H42" s="27" t="n">
        <f aca="false">H41*(1-$B$9)</f>
        <v>388.051026441148</v>
      </c>
      <c r="I42" s="27" t="n">
        <f aca="false">I41*(1-$B$9)</f>
        <v>398.572381075288</v>
      </c>
      <c r="J42" s="27" t="n">
        <f aca="false">J41*(1-$B$9)</f>
        <v>405.710970184969</v>
      </c>
      <c r="K42" s="27" t="n">
        <f aca="false">K41*(1-$B$9)</f>
        <v>409.235154459881</v>
      </c>
      <c r="L42" s="27" t="n">
        <f aca="false">L41*(1-$B$9)</f>
        <v>423.558384865977</v>
      </c>
    </row>
    <row r="43" customFormat="false" ht="15" hidden="false" customHeight="false" outlineLevel="0" collapsed="false">
      <c r="A43" s="0" t="s">
        <v>139</v>
      </c>
      <c r="B43" s="29" t="n">
        <v>0.03</v>
      </c>
      <c r="C43" s="29" t="n">
        <v>0.03</v>
      </c>
      <c r="D43" s="29" t="n">
        <v>0.03</v>
      </c>
      <c r="E43" s="29" t="n">
        <v>0.03</v>
      </c>
      <c r="F43" s="29" t="n">
        <v>0.03</v>
      </c>
      <c r="G43" s="6" t="n">
        <f aca="false">$F43+($L43-$F43)*G$17/5</f>
        <v>0.03</v>
      </c>
      <c r="H43" s="6" t="n">
        <f aca="false">$F43+($L43-$F43)*H$17/5</f>
        <v>0.03</v>
      </c>
      <c r="I43" s="6" t="n">
        <f aca="false">$F43+($L43-$F43)*I$17/5</f>
        <v>0.03</v>
      </c>
      <c r="J43" s="6" t="n">
        <f aca="false">$F43+($L43-$F43)*J$17/5</f>
        <v>0.03</v>
      </c>
      <c r="K43" s="6" t="n">
        <f aca="false">$F43+($L43-$F43)*K$17/5</f>
        <v>0.03</v>
      </c>
      <c r="L43" s="28" t="n">
        <v>0.03</v>
      </c>
    </row>
    <row r="44" customFormat="false" ht="15" hidden="false" customHeight="false" outlineLevel="0" collapsed="false">
      <c r="A44" s="0" t="s">
        <v>140</v>
      </c>
      <c r="B44" s="27" t="n">
        <f aca="false">B38*B43</f>
        <v>19.2</v>
      </c>
      <c r="C44" s="27" t="n">
        <f aca="false">C38*C43</f>
        <v>21.6</v>
      </c>
      <c r="D44" s="27" t="n">
        <f aca="false">D38*D43</f>
        <v>21</v>
      </c>
      <c r="E44" s="27" t="n">
        <f aca="false">E38*E43</f>
        <v>22.8</v>
      </c>
      <c r="F44" s="27" t="n">
        <f aca="false">F38*F43</f>
        <v>24.6</v>
      </c>
      <c r="G44" s="27" t="n">
        <f aca="false">G38*G43</f>
        <v>26.3258842105263</v>
      </c>
      <c r="H44" s="27" t="n">
        <f aca="false">H38*H43</f>
        <v>27.9414621573407</v>
      </c>
      <c r="I44" s="27" t="n">
        <f aca="false">I38*I43</f>
        <v>29.4105948255083</v>
      </c>
      <c r="J44" s="27" t="n">
        <f aca="false">J38*J43</f>
        <v>30.6984692936568</v>
      </c>
      <c r="K44" s="27" t="n">
        <f aca="false">K38*K43</f>
        <v>31.7729157189348</v>
      </c>
      <c r="L44" s="27" t="n">
        <f aca="false">L38*L43</f>
        <v>32.8849677690976</v>
      </c>
    </row>
    <row r="45" customFormat="false" ht="15" hidden="false" customHeight="false" outlineLevel="0" collapsed="false">
      <c r="A45" s="0" t="s">
        <v>141</v>
      </c>
      <c r="B45" s="27" t="n">
        <f aca="false">$B$11*(B38-$B$12)</f>
        <v>22.835</v>
      </c>
      <c r="C45" s="27" t="n">
        <f aca="false">$B$11*(C38-B38)</f>
        <v>8</v>
      </c>
      <c r="D45" s="27" t="n">
        <f aca="false">$B$11*(D38-C38)</f>
        <v>-2</v>
      </c>
      <c r="E45" s="27" t="n">
        <f aca="false">$B$11*(E38-D38)</f>
        <v>6</v>
      </c>
      <c r="F45" s="27" t="n">
        <f aca="false">$B$11*(F38-E38)</f>
        <v>6</v>
      </c>
      <c r="G45" s="27" t="n">
        <f aca="false">$B$11*(G38-F38)</f>
        <v>5.75294736842107</v>
      </c>
      <c r="H45" s="27" t="n">
        <f aca="false">$B$11*(H38-G38)</f>
        <v>5.38525982271468</v>
      </c>
      <c r="I45" s="27" t="n">
        <f aca="false">$B$11*(I38-H38)</f>
        <v>4.89710889389182</v>
      </c>
      <c r="J45" s="27" t="n">
        <f aca="false">$B$11*(J38-I38)</f>
        <v>4.29291489382858</v>
      </c>
      <c r="K45" s="27" t="n">
        <f aca="false">$B$11*(K38-J38)</f>
        <v>3.58148808425996</v>
      </c>
      <c r="L45" s="27" t="n">
        <f aca="false">$B$11*(L38-K38)</f>
        <v>3.70684016720907</v>
      </c>
    </row>
    <row r="46" customFormat="false" ht="15" hidden="false" customHeight="false" outlineLevel="0" collapsed="false">
      <c r="A46" s="0" t="s">
        <v>142</v>
      </c>
      <c r="B46" s="27" t="n">
        <f aca="false">B42-B44-B45</f>
        <v>291.277</v>
      </c>
      <c r="C46" s="27" t="n">
        <f aca="false">C42-C44-C45</f>
        <v>333.28</v>
      </c>
      <c r="D46" s="27" t="n">
        <f aca="false">D42-D44-D45</f>
        <v>310.28</v>
      </c>
      <c r="E46" s="27" t="n">
        <f aca="false">E42-E44-E45</f>
        <v>315.936</v>
      </c>
      <c r="F46" s="27" t="n">
        <f aca="false">F42-F44-F45</f>
        <v>327.576</v>
      </c>
      <c r="G46" s="27" t="n">
        <f aca="false">G42-G44-G45</f>
        <v>342.380545431579</v>
      </c>
      <c r="H46" s="27" t="n">
        <f aca="false">H42-H44-H45</f>
        <v>354.724304461093</v>
      </c>
      <c r="I46" s="27" t="n">
        <f aca="false">I42-I44-I45</f>
        <v>364.264677355888</v>
      </c>
      <c r="J46" s="27" t="n">
        <f aca="false">J42-J44-J45</f>
        <v>370.719585997484</v>
      </c>
      <c r="K46" s="27" t="n">
        <f aca="false">K42-K44-K45</f>
        <v>373.880750656686</v>
      </c>
      <c r="L46" s="27" t="n">
        <f aca="false">L42-L44-L45</f>
        <v>386.96657692967</v>
      </c>
    </row>
    <row r="47" customFormat="false" ht="15" hidden="false" customHeight="false" outlineLevel="0" collapsed="false">
      <c r="A47" s="0" t="s">
        <v>143</v>
      </c>
      <c r="B47" s="30" t="n">
        <f aca="false">1/(1+$B$10)^B$16</f>
        <v>0.949157995752499</v>
      </c>
      <c r="C47" s="30" t="n">
        <f aca="false">1/(1+$B$10)^C$16</f>
        <v>0.85509729347072</v>
      </c>
      <c r="D47" s="30" t="n">
        <f aca="false">1/(1+$B$10)^D$16</f>
        <v>0.770357922045693</v>
      </c>
      <c r="E47" s="30" t="n">
        <f aca="false">1/(1+$B$10)^E$16</f>
        <v>0.694016145987111</v>
      </c>
      <c r="F47" s="30" t="n">
        <f aca="false">1/(1+$B$10)^F$16</f>
        <v>0.62523977115956</v>
      </c>
      <c r="G47" s="30" t="n">
        <f aca="false">1/(1+$B$10)^G$16</f>
        <v>0.56327907311672</v>
      </c>
      <c r="H47" s="30" t="n">
        <f aca="false">1/(1+$B$10)^H$16</f>
        <v>0.507458624429478</v>
      </c>
      <c r="I47" s="30" t="n">
        <f aca="false">1/(1+$B$10)^I$16</f>
        <v>0.457169931918448</v>
      </c>
      <c r="J47" s="30" t="n">
        <f aca="false">1/(1+$B$10)^J$16</f>
        <v>0.411864803530134</v>
      </c>
      <c r="K47" s="30" t="n">
        <f aca="false">1/(1+$B$10)^K$16</f>
        <v>0.37104937254967</v>
      </c>
    </row>
    <row r="48" customFormat="false" ht="15" hidden="false" customHeight="false" outlineLevel="0" collapsed="false">
      <c r="A48" s="0" t="s">
        <v>144</v>
      </c>
      <c r="B48" s="27" t="n">
        <f aca="false">B46*B47</f>
        <v>276.467893528801</v>
      </c>
      <c r="C48" s="27" t="n">
        <f aca="false">C46*C47</f>
        <v>284.986825967921</v>
      </c>
      <c r="D48" s="27" t="n">
        <f aca="false">D46*D47</f>
        <v>239.026656052338</v>
      </c>
      <c r="E48" s="27" t="n">
        <f aca="false">E46*E47</f>
        <v>219.264685098584</v>
      </c>
      <c r="F48" s="27" t="n">
        <f aca="false">F46*F47</f>
        <v>204.813543277364</v>
      </c>
      <c r="G48" s="27" t="n">
        <f aca="false">G46*G47</f>
        <v>192.855796283897</v>
      </c>
      <c r="H48" s="27" t="n">
        <f aca="false">H46*H47</f>
        <v>180.007907593529</v>
      </c>
      <c r="I48" s="27" t="n">
        <f aca="false">I46*I47</f>
        <v>166.530857747087</v>
      </c>
      <c r="J48" s="27" t="n">
        <f aca="false">J46*J47</f>
        <v>152.686349451626</v>
      </c>
      <c r="K48" s="27" t="n">
        <f aca="false">K46*K47</f>
        <v>138.728217939563</v>
      </c>
      <c r="L48" s="27"/>
    </row>
    <row r="49" customFormat="false" ht="15" hidden="false" customHeight="false" outlineLevel="0" collapsed="false">
      <c r="A49" s="0" t="s">
        <v>145</v>
      </c>
      <c r="B49" s="27" t="n">
        <f aca="false">L46/($B$10-L39)</f>
        <v>5159.55435906227</v>
      </c>
      <c r="C49" s="0" t="str">
        <f aca="false">IF($B$10&gt;L39,"","Discount rate must exceed terminal growth")</f>
        <v/>
      </c>
    </row>
    <row r="50" customFormat="false" ht="15" hidden="false" customHeight="false" outlineLevel="0" collapsed="false">
      <c r="A50" s="0" t="s">
        <v>146</v>
      </c>
      <c r="B50" s="27" t="n">
        <f aca="false">B49/(1+$B$10)^$K$16</f>
        <v>1914.44940756597</v>
      </c>
    </row>
    <row r="51" customFormat="false" ht="15" hidden="false" customHeight="false" outlineLevel="0" collapsed="false">
      <c r="A51" s="0" t="s">
        <v>147</v>
      </c>
      <c r="B51" s="27" t="n">
        <f aca="false">SUM(B48:K48)+B50+$B$7+$B$8</f>
        <v>3993.42814050668</v>
      </c>
    </row>
    <row r="52" customFormat="false" ht="15" hidden="false" customHeight="false" outlineLevel="0" collapsed="false">
      <c r="A52" s="0" t="s">
        <v>148</v>
      </c>
      <c r="B52" s="31" t="n">
        <f aca="false">B51/$B$6</f>
        <v>165.359343292202</v>
      </c>
    </row>
    <row r="53" customFormat="false" ht="15" hidden="false" customHeight="false" outlineLevel="0" collapsed="false">
      <c r="A53" s="0" t="s">
        <v>149</v>
      </c>
      <c r="B53" s="6" t="n">
        <f aca="false">B52/$B$4-1</f>
        <v>-0.221031923439787</v>
      </c>
    </row>
    <row r="55" customFormat="false" ht="15" hidden="false" customHeight="false" outlineLevel="0" collapsed="false">
      <c r="A55" s="12" t="s">
        <v>222</v>
      </c>
      <c r="B55" s="26"/>
      <c r="C55" s="26"/>
      <c r="D55" s="26"/>
      <c r="E55" s="26"/>
      <c r="F55" s="26"/>
      <c r="G55" s="26"/>
      <c r="H55" s="26"/>
      <c r="I55" s="26"/>
      <c r="J55" s="26"/>
      <c r="K55" s="26"/>
      <c r="L55" s="26"/>
    </row>
    <row r="56" customFormat="false" ht="15" hidden="false" customHeight="false" outlineLevel="0" collapsed="false">
      <c r="A56" s="0" t="s">
        <v>134</v>
      </c>
      <c r="B56" s="22" t="n">
        <v>692</v>
      </c>
      <c r="C56" s="22" t="n">
        <v>820</v>
      </c>
      <c r="D56" s="22" t="n">
        <v>880</v>
      </c>
      <c r="E56" s="22" t="n">
        <v>960</v>
      </c>
      <c r="F56" s="22" t="n">
        <v>1040</v>
      </c>
      <c r="G56" s="27" t="n">
        <f aca="false">F56*(1+$F57+($L57-$F57)*G$17/5)</f>
        <v>1117.65333333333</v>
      </c>
      <c r="H56" s="27" t="n">
        <f aca="false">G56*(1+$F57+($L57-$F57)*H$17/5)</f>
        <v>1191.41845333333</v>
      </c>
      <c r="I56" s="27" t="n">
        <f aca="false">H56*(1+$F57+($L57-$F57)*I$17/5)</f>
        <v>1259.72644465778</v>
      </c>
      <c r="J56" s="27" t="n">
        <f aca="false">I56*(1+$F57+($L57-$F57)*J$17/5)</f>
        <v>1321.03313163112</v>
      </c>
      <c r="K56" s="27" t="n">
        <f aca="false">J56*(1+$F57+($L57-$F57)*K$17/5)</f>
        <v>1373.87445689637</v>
      </c>
      <c r="L56" s="27" t="n">
        <f aca="false">K56*(1+L57)</f>
        <v>1428.82943517222</v>
      </c>
    </row>
    <row r="57" customFormat="false" ht="15" hidden="false" customHeight="false" outlineLevel="0" collapsed="false">
      <c r="A57" s="0" t="s">
        <v>135</v>
      </c>
      <c r="B57" s="6" t="n">
        <f aca="false">B56/$B$12-1</f>
        <v>0.681039718207215</v>
      </c>
      <c r="C57" s="6" t="n">
        <f aca="false">C56/B56-1</f>
        <v>0.184971098265896</v>
      </c>
      <c r="D57" s="6" t="n">
        <f aca="false">D56/C56-1</f>
        <v>0.0731707317073171</v>
      </c>
      <c r="E57" s="6" t="n">
        <f aca="false">E56/D56-1</f>
        <v>0.0909090909090908</v>
      </c>
      <c r="F57" s="6" t="n">
        <f aca="false">F56/E56-1</f>
        <v>0.0833333333333333</v>
      </c>
      <c r="G57" s="6" t="n">
        <f aca="false">G56/F56-1</f>
        <v>0.0746666666666667</v>
      </c>
      <c r="H57" s="6" t="n">
        <f aca="false">H56/G56-1</f>
        <v>0.0660000000000001</v>
      </c>
      <c r="I57" s="6" t="n">
        <f aca="false">I56/H56-1</f>
        <v>0.0573333333333332</v>
      </c>
      <c r="J57" s="6" t="n">
        <f aca="false">J56/I56-1</f>
        <v>0.0486666666666666</v>
      </c>
      <c r="K57" s="6" t="n">
        <f aca="false">K56/J56-1</f>
        <v>0.04</v>
      </c>
      <c r="L57" s="28" t="n">
        <v>0.04</v>
      </c>
    </row>
    <row r="58" customFormat="false" ht="15" hidden="false" customHeight="false" outlineLevel="0" collapsed="false">
      <c r="A58" s="0" t="s">
        <v>136</v>
      </c>
      <c r="B58" s="29" t="n">
        <v>0.64</v>
      </c>
      <c r="C58" s="29" t="n">
        <v>0.63</v>
      </c>
      <c r="D58" s="29" t="n">
        <v>0.61</v>
      </c>
      <c r="E58" s="29" t="n">
        <v>0.59</v>
      </c>
      <c r="F58" s="29" t="n">
        <v>0.57</v>
      </c>
      <c r="G58" s="6" t="n">
        <f aca="false">$F58+($L58-$F58)*G$17/5</f>
        <v>0.556</v>
      </c>
      <c r="H58" s="6" t="n">
        <f aca="false">$F58+($L58-$F58)*H$17/5</f>
        <v>0.542</v>
      </c>
      <c r="I58" s="6" t="n">
        <f aca="false">$F58+($L58-$F58)*I$17/5</f>
        <v>0.528</v>
      </c>
      <c r="J58" s="6" t="n">
        <f aca="false">$F58+($L58-$F58)*J$17/5</f>
        <v>0.514</v>
      </c>
      <c r="K58" s="6" t="n">
        <f aca="false">$F58+($L58-$F58)*K$17/5</f>
        <v>0.5</v>
      </c>
      <c r="L58" s="28" t="n">
        <v>0.5</v>
      </c>
    </row>
    <row r="59" customFormat="false" ht="15" hidden="false" customHeight="false" outlineLevel="0" collapsed="false">
      <c r="A59" s="0" t="s">
        <v>137</v>
      </c>
      <c r="B59" s="27" t="n">
        <f aca="false">B56*B58</f>
        <v>442.88</v>
      </c>
      <c r="C59" s="27" t="n">
        <f aca="false">C56*C58</f>
        <v>516.6</v>
      </c>
      <c r="D59" s="27" t="n">
        <f aca="false">D56*D58</f>
        <v>536.8</v>
      </c>
      <c r="E59" s="27" t="n">
        <f aca="false">E56*E58</f>
        <v>566.4</v>
      </c>
      <c r="F59" s="27" t="n">
        <f aca="false">F56*F58</f>
        <v>592.8</v>
      </c>
      <c r="G59" s="27" t="n">
        <f aca="false">G56*G58</f>
        <v>621.415253333333</v>
      </c>
      <c r="H59" s="27" t="n">
        <f aca="false">H56*H58</f>
        <v>645.748801706667</v>
      </c>
      <c r="I59" s="27" t="n">
        <f aca="false">I56*I58</f>
        <v>665.135562779307</v>
      </c>
      <c r="J59" s="27" t="n">
        <f aca="false">J56*J58</f>
        <v>679.011029658397</v>
      </c>
      <c r="K59" s="27" t="n">
        <f aca="false">K56*K58</f>
        <v>686.937228448184</v>
      </c>
      <c r="L59" s="27" t="n">
        <f aca="false">L56*L58</f>
        <v>714.414717586111</v>
      </c>
    </row>
    <row r="60" customFormat="false" ht="15" hidden="false" customHeight="false" outlineLevel="0" collapsed="false">
      <c r="A60" s="0" t="s">
        <v>138</v>
      </c>
      <c r="B60" s="27" t="n">
        <f aca="false">B59*(1-$B$9)</f>
        <v>372.0192</v>
      </c>
      <c r="C60" s="27" t="n">
        <f aca="false">C59*(1-$B$9)</f>
        <v>433.944</v>
      </c>
      <c r="D60" s="27" t="n">
        <f aca="false">D59*(1-$B$9)</f>
        <v>450.912</v>
      </c>
      <c r="E60" s="27" t="n">
        <f aca="false">E59*(1-$B$9)</f>
        <v>475.776</v>
      </c>
      <c r="F60" s="27" t="n">
        <f aca="false">F59*(1-$B$9)</f>
        <v>497.952</v>
      </c>
      <c r="G60" s="27" t="n">
        <f aca="false">G59*(1-$B$9)</f>
        <v>521.9888128</v>
      </c>
      <c r="H60" s="27" t="n">
        <f aca="false">H59*(1-$B$9)</f>
        <v>542.4289934336</v>
      </c>
      <c r="I60" s="27" t="n">
        <f aca="false">I59*(1-$B$9)</f>
        <v>558.713872734618</v>
      </c>
      <c r="J60" s="27" t="n">
        <f aca="false">J59*(1-$B$9)</f>
        <v>570.369264913054</v>
      </c>
      <c r="K60" s="27" t="n">
        <f aca="false">K59*(1-$B$9)</f>
        <v>577.027271896475</v>
      </c>
      <c r="L60" s="27" t="n">
        <f aca="false">L59*(1-$B$9)</f>
        <v>600.108362772334</v>
      </c>
    </row>
    <row r="61" customFormat="false" ht="15" hidden="false" customHeight="false" outlineLevel="0" collapsed="false">
      <c r="A61" s="0" t="s">
        <v>139</v>
      </c>
      <c r="B61" s="29" t="n">
        <v>0.03</v>
      </c>
      <c r="C61" s="29" t="n">
        <v>0.03</v>
      </c>
      <c r="D61" s="29" t="n">
        <v>0.03</v>
      </c>
      <c r="E61" s="29" t="n">
        <v>0.03</v>
      </c>
      <c r="F61" s="29" t="n">
        <v>0.03</v>
      </c>
      <c r="G61" s="6" t="n">
        <f aca="false">$F61+($L61-$F61)*G$17/5</f>
        <v>0.03</v>
      </c>
      <c r="H61" s="6" t="n">
        <f aca="false">$F61+($L61-$F61)*H$17/5</f>
        <v>0.03</v>
      </c>
      <c r="I61" s="6" t="n">
        <f aca="false">$F61+($L61-$F61)*I$17/5</f>
        <v>0.03</v>
      </c>
      <c r="J61" s="6" t="n">
        <f aca="false">$F61+($L61-$F61)*J$17/5</f>
        <v>0.03</v>
      </c>
      <c r="K61" s="6" t="n">
        <f aca="false">$F61+($L61-$F61)*K$17/5</f>
        <v>0.03</v>
      </c>
      <c r="L61" s="28" t="n">
        <v>0.03</v>
      </c>
    </row>
    <row r="62" customFormat="false" ht="15" hidden="false" customHeight="false" outlineLevel="0" collapsed="false">
      <c r="A62" s="0" t="s">
        <v>140</v>
      </c>
      <c r="B62" s="27" t="n">
        <f aca="false">B56*B61</f>
        <v>20.76</v>
      </c>
      <c r="C62" s="27" t="n">
        <f aca="false">C56*C61</f>
        <v>24.6</v>
      </c>
      <c r="D62" s="27" t="n">
        <f aca="false">D56*D61</f>
        <v>26.4</v>
      </c>
      <c r="E62" s="27" t="n">
        <f aca="false">E56*E61</f>
        <v>28.8</v>
      </c>
      <c r="F62" s="27" t="n">
        <f aca="false">F56*F61</f>
        <v>31.2</v>
      </c>
      <c r="G62" s="27" t="n">
        <f aca="false">G56*G61</f>
        <v>33.5296</v>
      </c>
      <c r="H62" s="27" t="n">
        <f aca="false">H56*H61</f>
        <v>35.7425536</v>
      </c>
      <c r="I62" s="27" t="n">
        <f aca="false">I56*I61</f>
        <v>37.7917933397333</v>
      </c>
      <c r="J62" s="27" t="n">
        <f aca="false">J56*J61</f>
        <v>39.6309939489337</v>
      </c>
      <c r="K62" s="27" t="n">
        <f aca="false">K56*K61</f>
        <v>41.216233706891</v>
      </c>
      <c r="L62" s="27" t="n">
        <f aca="false">L56*L61</f>
        <v>42.8648830551667</v>
      </c>
    </row>
    <row r="63" customFormat="false" ht="15" hidden="false" customHeight="false" outlineLevel="0" collapsed="false">
      <c r="A63" s="0" t="s">
        <v>141</v>
      </c>
      <c r="B63" s="27" t="n">
        <f aca="false">$B$11*(B56-$B$12)</f>
        <v>28.035</v>
      </c>
      <c r="C63" s="27" t="n">
        <f aca="false">$B$11*(C56-B56)</f>
        <v>12.8</v>
      </c>
      <c r="D63" s="27" t="n">
        <f aca="false">$B$11*(D56-C56)</f>
        <v>6</v>
      </c>
      <c r="E63" s="27" t="n">
        <f aca="false">$B$11*(E56-D56)</f>
        <v>8</v>
      </c>
      <c r="F63" s="27" t="n">
        <f aca="false">$B$11*(F56-E56)</f>
        <v>8</v>
      </c>
      <c r="G63" s="27" t="n">
        <f aca="false">$B$11*(G56-F56)</f>
        <v>7.76533333333334</v>
      </c>
      <c r="H63" s="27" t="n">
        <f aca="false">$B$11*(H56-G56)</f>
        <v>7.376512</v>
      </c>
      <c r="I63" s="27" t="n">
        <f aca="false">$B$11*(I56-H56)</f>
        <v>6.83079913244444</v>
      </c>
      <c r="J63" s="27" t="n">
        <f aca="false">$B$11*(J56-I56)</f>
        <v>6.13066869733452</v>
      </c>
      <c r="K63" s="27" t="n">
        <f aca="false">$B$11*(K56-J56)</f>
        <v>5.28413252652449</v>
      </c>
      <c r="L63" s="27" t="n">
        <f aca="false">$B$11*(L56-K56)</f>
        <v>5.49549782758547</v>
      </c>
    </row>
    <row r="64" customFormat="false" ht="15" hidden="false" customHeight="false" outlineLevel="0" collapsed="false">
      <c r="A64" s="0" t="s">
        <v>142</v>
      </c>
      <c r="B64" s="27" t="n">
        <f aca="false">B60-B62-B63</f>
        <v>323.2242</v>
      </c>
      <c r="C64" s="27" t="n">
        <f aca="false">C60-C62-C63</f>
        <v>396.544</v>
      </c>
      <c r="D64" s="27" t="n">
        <f aca="false">D60-D62-D63</f>
        <v>418.512</v>
      </c>
      <c r="E64" s="27" t="n">
        <f aca="false">E60-E62-E63</f>
        <v>438.976</v>
      </c>
      <c r="F64" s="27" t="n">
        <f aca="false">F60-F62-F63</f>
        <v>458.752</v>
      </c>
      <c r="G64" s="27" t="n">
        <f aca="false">G60-G62-G63</f>
        <v>480.693879466667</v>
      </c>
      <c r="H64" s="27" t="n">
        <f aca="false">H60-H62-H63</f>
        <v>499.3099278336</v>
      </c>
      <c r="I64" s="27" t="n">
        <f aca="false">I60-I62-I63</f>
        <v>514.09128026244</v>
      </c>
      <c r="J64" s="27" t="n">
        <f aca="false">J60-J62-J63</f>
        <v>524.607602266786</v>
      </c>
      <c r="K64" s="27" t="n">
        <f aca="false">K60-K62-K63</f>
        <v>530.526905663059</v>
      </c>
      <c r="L64" s="27" t="n">
        <f aca="false">L60-L62-L63</f>
        <v>551.747981889581</v>
      </c>
    </row>
    <row r="65" customFormat="false" ht="15" hidden="false" customHeight="false" outlineLevel="0" collapsed="false">
      <c r="A65" s="0" t="s">
        <v>143</v>
      </c>
      <c r="B65" s="30" t="n">
        <f aca="false">1/(1+$B$10)^B$16</f>
        <v>0.949157995752499</v>
      </c>
      <c r="C65" s="30" t="n">
        <f aca="false">1/(1+$B$10)^C$16</f>
        <v>0.85509729347072</v>
      </c>
      <c r="D65" s="30" t="n">
        <f aca="false">1/(1+$B$10)^D$16</f>
        <v>0.770357922045693</v>
      </c>
      <c r="E65" s="30" t="n">
        <f aca="false">1/(1+$B$10)^E$16</f>
        <v>0.694016145987111</v>
      </c>
      <c r="F65" s="30" t="n">
        <f aca="false">1/(1+$B$10)^F$16</f>
        <v>0.62523977115956</v>
      </c>
      <c r="G65" s="30" t="n">
        <f aca="false">1/(1+$B$10)^G$16</f>
        <v>0.56327907311672</v>
      </c>
      <c r="H65" s="30" t="n">
        <f aca="false">1/(1+$B$10)^H$16</f>
        <v>0.507458624429478</v>
      </c>
      <c r="I65" s="30" t="n">
        <f aca="false">1/(1+$B$10)^I$16</f>
        <v>0.457169931918448</v>
      </c>
      <c r="J65" s="30" t="n">
        <f aca="false">1/(1+$B$10)^J$16</f>
        <v>0.411864803530134</v>
      </c>
      <c r="K65" s="30" t="n">
        <f aca="false">1/(1+$B$10)^K$16</f>
        <v>0.37104937254967</v>
      </c>
    </row>
    <row r="66" customFormat="false" ht="15" hidden="false" customHeight="false" outlineLevel="0" collapsed="false">
      <c r="A66" s="0" t="s">
        <v>144</v>
      </c>
      <c r="B66" s="27" t="n">
        <f aca="false">B64*B65</f>
        <v>306.790833850705</v>
      </c>
      <c r="C66" s="27" t="n">
        <f aca="false">C64*C65</f>
        <v>339.083701142053</v>
      </c>
      <c r="D66" s="27" t="n">
        <f aca="false">D64*D65</f>
        <v>322.404034671187</v>
      </c>
      <c r="E66" s="27" t="n">
        <f aca="false">E64*E65</f>
        <v>304.656431700838</v>
      </c>
      <c r="F66" s="27" t="n">
        <f aca="false">F64*F65</f>
        <v>286.82999549899</v>
      </c>
      <c r="G66" s="27" t="n">
        <f aca="false">G64*G65</f>
        <v>270.764802878864</v>
      </c>
      <c r="H66" s="27" t="n">
        <f aca="false">H64*H65</f>
        <v>253.37912914242</v>
      </c>
      <c r="I66" s="27" t="n">
        <f aca="false">I64*I65</f>
        <v>235.027075597448</v>
      </c>
      <c r="J66" s="27" t="n">
        <f aca="false">J64*J65</f>
        <v>216.067407038024</v>
      </c>
      <c r="K66" s="27" t="n">
        <f aca="false">K64*K65</f>
        <v>196.851675466996</v>
      </c>
      <c r="L66" s="27"/>
    </row>
    <row r="67" customFormat="false" ht="15" hidden="false" customHeight="false" outlineLevel="0" collapsed="false">
      <c r="A67" s="0" t="s">
        <v>145</v>
      </c>
      <c r="B67" s="27" t="n">
        <f aca="false">L64/($B$10-L57)</f>
        <v>7882.11402699402</v>
      </c>
      <c r="C67" s="0" t="str">
        <f aca="false">IF($B$10&gt;L57,"","Discount rate must exceed terminal growth")</f>
        <v/>
      </c>
    </row>
    <row r="68" customFormat="false" ht="15" hidden="false" customHeight="false" outlineLevel="0" collapsed="false">
      <c r="A68" s="0" t="s">
        <v>146</v>
      </c>
      <c r="B68" s="27" t="n">
        <f aca="false">B67/(1+$B$10)^$K$16</f>
        <v>2924.65346408108</v>
      </c>
    </row>
    <row r="69" customFormat="false" ht="15" hidden="false" customHeight="false" outlineLevel="0" collapsed="false">
      <c r="A69" s="0" t="s">
        <v>147</v>
      </c>
      <c r="B69" s="27" t="n">
        <f aca="false">SUM(B66:K66)+B68+$B$7+$B$8</f>
        <v>5680.11855106861</v>
      </c>
    </row>
    <row r="70" customFormat="false" ht="15" hidden="false" customHeight="false" outlineLevel="0" collapsed="false">
      <c r="A70" s="0" t="s">
        <v>148</v>
      </c>
      <c r="B70" s="31" t="n">
        <f aca="false">B69/$B$6</f>
        <v>235.201596317541</v>
      </c>
    </row>
    <row r="71" customFormat="false" ht="15" hidden="false" customHeight="false" outlineLevel="0" collapsed="false">
      <c r="A71" s="0" t="s">
        <v>149</v>
      </c>
      <c r="B71" s="6" t="n">
        <f aca="false">B70/$B$4-1</f>
        <v>0.107978124729323</v>
      </c>
    </row>
    <row r="74" customFormat="false" ht="15" hidden="false" customHeight="false" outlineLevel="0" collapsed="false">
      <c r="A74" s="12" t="s">
        <v>152</v>
      </c>
      <c r="B74" s="26"/>
      <c r="C74" s="12" t="s">
        <v>153</v>
      </c>
      <c r="D74" s="26"/>
      <c r="E74" s="26"/>
      <c r="F74" s="26"/>
      <c r="G74" s="26"/>
      <c r="H74" s="26"/>
      <c r="I74" s="26"/>
      <c r="J74" s="26"/>
      <c r="K74" s="26"/>
      <c r="L74" s="26"/>
    </row>
    <row r="75" customFormat="false" ht="15" hidden="false" customHeight="false" outlineLevel="0" collapsed="false">
      <c r="A75" s="0" t="s">
        <v>154</v>
      </c>
      <c r="B75" s="7" t="n">
        <f aca="false">B34</f>
        <v>94.5479605601558</v>
      </c>
      <c r="C75" s="6" t="n">
        <f aca="false">B75/$B$4-1</f>
        <v>-0.55460730845979</v>
      </c>
    </row>
    <row r="76" customFormat="false" ht="15" hidden="false" customHeight="false" outlineLevel="0" collapsed="false">
      <c r="A76" s="0" t="s">
        <v>155</v>
      </c>
      <c r="B76" s="7" t="n">
        <f aca="false">B52</f>
        <v>165.359343292202</v>
      </c>
      <c r="C76" s="6" t="n">
        <f aca="false">B76/$B$4-1</f>
        <v>-0.221031923439787</v>
      </c>
    </row>
    <row r="77" customFormat="false" ht="15" hidden="false" customHeight="false" outlineLevel="0" collapsed="false">
      <c r="A77" s="0" t="s">
        <v>156</v>
      </c>
      <c r="B77" s="7" t="n">
        <f aca="false">B70</f>
        <v>235.201596317541</v>
      </c>
      <c r="C77" s="6" t="n">
        <f aca="false">B77/$B$4-1</f>
        <v>0.107978124729323</v>
      </c>
    </row>
    <row r="78" customFormat="false" ht="15" hidden="false" customHeight="false" outlineLevel="0" collapsed="false">
      <c r="A78" s="0" t="s">
        <v>157</v>
      </c>
      <c r="B78" s="7" t="n">
        <f aca="false">INDEX(B34:B70,1+($B$13-1)*18)</f>
        <v>165.359343292202</v>
      </c>
      <c r="C78" s="6" t="n">
        <f aca="false">B78/$B$4-1</f>
        <v>-0.221031923439787</v>
      </c>
    </row>
    <row r="79" customFormat="false" ht="15" hidden="false" customHeight="false" outlineLevel="0" collapsed="false">
      <c r="A79" s="0" t="s">
        <v>158</v>
      </c>
      <c r="B79" s="8" t="n">
        <f aca="false">B50/(SUM(B48:K48)+B50)</f>
        <v>0.482251161087601</v>
      </c>
    </row>
    <row r="81" customFormat="false" ht="15" hidden="false" customHeight="false" outlineLevel="0" collapsed="false">
      <c r="A81" s="9" t="s">
        <v>159</v>
      </c>
    </row>
    <row r="82" customFormat="false" ht="15" hidden="false" customHeight="false" outlineLevel="0" collapsed="false">
      <c r="A82" s="0" t="s">
        <v>5</v>
      </c>
      <c r="B82" s="11" t="n">
        <v>0.05</v>
      </c>
      <c r="C82" s="11" t="n">
        <v>0.06</v>
      </c>
      <c r="D82" s="11" t="n">
        <v>0.07</v>
      </c>
      <c r="E82" s="11" t="n">
        <v>0.08</v>
      </c>
      <c r="F82" s="11" t="n">
        <v>0.09</v>
      </c>
      <c r="G82" s="11" t="n">
        <v>0.1</v>
      </c>
      <c r="H82" s="11" t="n">
        <v>0.11</v>
      </c>
      <c r="I82" s="11" t="n">
        <v>0.12</v>
      </c>
      <c r="J82" s="11" t="n">
        <v>0.13</v>
      </c>
      <c r="K82" s="11" t="n">
        <v>0.14</v>
      </c>
    </row>
    <row r="83" customFormat="false" ht="15" hidden="false" customHeight="false" outlineLevel="0" collapsed="false">
      <c r="A83" s="0" t="s">
        <v>155</v>
      </c>
      <c r="B83" s="7" t="n">
        <f aca="false">IF(B82&gt;$L39,(SUMPRODUCT($B46:$K46/(1+B82)^$B$16:$K$16)+$L46/(B82-$L39)/(1+B82)^$K$16+$B$7+$B$8)/$B$6,"n/a")</f>
        <v>782.739214324709</v>
      </c>
      <c r="C83" s="7" t="n">
        <f aca="false">IF(C82&gt;$L39,(SUMPRODUCT($B46:$K46/(1+C82)^$B$16:$K$16)+$L46/(C82-$L39)/(1+C82)^$K$16+$B$7+$B$8)/$B$6,"n/a")</f>
        <v>474.371410377004</v>
      </c>
      <c r="D83" s="7" t="n">
        <f aca="false">IF(D82&gt;$L39,(SUMPRODUCT($B46:$K46/(1+D82)^$B$16:$K$16)+$L46/(D82-$L39)/(1+D82)^$K$16+$B$7+$B$8)/$B$6,"n/a")</f>
        <v>342.111788643751</v>
      </c>
      <c r="E83" s="7" t="n">
        <f aca="false">IF(E82&gt;$L39,(SUMPRODUCT($B46:$K46/(1+E82)^$B$16:$K$16)+$L46/(E82-$L39)/(1+E82)^$K$16+$B$7+$B$8)/$B$6,"n/a")</f>
        <v>268.561127255731</v>
      </c>
      <c r="F83" s="7" t="n">
        <f aca="false">IF(F82&gt;$L39,(SUMPRODUCT($B46:$K46/(1+F82)^$B$16:$K$16)+$L46/(F82-$L39)/(1+F82)^$K$16+$B$7+$B$8)/$B$6,"n/a")</f>
        <v>221.700971235587</v>
      </c>
      <c r="G83" s="7" t="n">
        <f aca="false">IF(G82&gt;$L39,(SUMPRODUCT($B46:$K46/(1+G82)^$B$16:$K$16)+$L46/(G82-$L39)/(1+G82)^$K$16+$B$7+$B$8)/$B$6,"n/a")</f>
        <v>189.216162830534</v>
      </c>
      <c r="H83" s="7" t="n">
        <f aca="false">IF(H82&gt;$L39,(SUMPRODUCT($B46:$K46/(1+H82)^$B$16:$K$16)+$L46/(H82-$L39)/(1+H82)^$K$16+$B$7+$B$8)/$B$6,"n/a")</f>
        <v>165.359343292202</v>
      </c>
      <c r="I83" s="7" t="n">
        <f aca="false">IF(I82&gt;$L39,(SUMPRODUCT($B46:$K46/(1+I82)^$B$16:$K$16)+$L46/(I82-$L39)/(1+I82)^$K$16+$B$7+$B$8)/$B$6,"n/a")</f>
        <v>147.087567727063</v>
      </c>
      <c r="J83" s="7" t="n">
        <f aca="false">IF(J82&gt;$L39,(SUMPRODUCT($B46:$K46/(1+J82)^$B$16:$K$16)+$L46/(J82-$L39)/(1+J82)^$K$16+$B$7+$B$8)/$B$6,"n/a")</f>
        <v>132.638950062164</v>
      </c>
      <c r="K83" s="7" t="n">
        <f aca="false">IF(K82&gt;$L39,(SUMPRODUCT($B46:$K46/(1+K82)^$B$16:$K$16)+$L46/(K82-$L39)/(1+K82)^$K$16+$B$7+$B$8)/$B$6,"n/a")</f>
        <v>120.92265166626</v>
      </c>
    </row>
    <row r="84" customFormat="false" ht="15" hidden="false" customHeight="false" outlineLevel="0" collapsed="false">
      <c r="A84" s="0" t="s">
        <v>160</v>
      </c>
      <c r="B84" s="6" t="n">
        <f aca="false">IFERROR(B83/$B$4-1,"n/a")</f>
        <v>2.68729609159934</v>
      </c>
      <c r="C84" s="6" t="n">
        <f aca="false">IFERROR(C83/$B$4-1,"n/a")</f>
        <v>1.23464956838611</v>
      </c>
      <c r="D84" s="6" t="n">
        <f aca="false">IFERROR(D83/$B$4-1,"n/a")</f>
        <v>0.611606315450118</v>
      </c>
      <c r="E84" s="6" t="n">
        <f aca="false">IFERROR(E83/$B$4-1,"n/a")</f>
        <v>0.265126847822363</v>
      </c>
      <c r="F84" s="6" t="n">
        <f aca="false">IFERROR(F83/$B$4-1,"n/a")</f>
        <v>0.0443799285640973</v>
      </c>
      <c r="G84" s="6" t="n">
        <f aca="false">IFERROR(G83/$B$4-1,"n/a")</f>
        <v>-0.108648187155952</v>
      </c>
      <c r="H84" s="6" t="n">
        <f aca="false">IFERROR(H83/$B$4-1,"n/a")</f>
        <v>-0.221031923439787</v>
      </c>
      <c r="I84" s="6" t="n">
        <f aca="false">IFERROR(I83/$B$4-1,"n/a")</f>
        <v>-0.307105861470404</v>
      </c>
      <c r="J84" s="6" t="n">
        <f aca="false">IFERROR(J83/$B$4-1,"n/a")</f>
        <v>-0.375169822582608</v>
      </c>
      <c r="K84" s="6" t="n">
        <f aca="false">IFERROR(K83/$B$4-1,"n/a")</f>
        <v>-0.430362485084512</v>
      </c>
    </row>
    <row r="86" customFormat="false" ht="15" hidden="false" customHeight="false" outlineLevel="0" collapsed="false">
      <c r="A86" s="9" t="s">
        <v>161</v>
      </c>
      <c r="B86" s="18" t="n">
        <f aca="false">IFERROR(IF(MATCH($B$4,$B$83:$K$83,-1)=10,"above 14%",INDEX($B$82:$K$82,MATCH($B$4,$B$83:$K$83,-1))+(INDEX($B$83:$K$83,MATCH($B$4,$B$83:$K$83,-1))-$B$4)/(INDEX($B$83:$K$83,MATCH($B$4,$B$83:$K$83,-1))-INDEX($B$83:$K$83,MATCH($B$4,$B$83:$K$83,-1)+1))*(INDEX($B$82:$K$82,MATCH($B$4,$B$83:$K$83,-1)+1)-INDEX($B$82:$K$82,MATCH($B$4,$B$83:$K$83,-1)))),"below 5%")</f>
        <v>0.0929001159921021</v>
      </c>
      <c r="C86"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2" min="2" style="0" width="11"/>
    <col collapsed="false" customWidth="true" hidden="false" outlineLevel="0" max="3" min="3" style="0" width="12"/>
    <col collapsed="false" customWidth="true" hidden="false" outlineLevel="0" max="12" min="4" style="0" width="11"/>
  </cols>
  <sheetData>
    <row r="1" customFormat="false" ht="16.15" hidden="false" customHeight="false" outlineLevel="0" collapsed="false">
      <c r="A1" s="1" t="s">
        <v>223</v>
      </c>
    </row>
    <row r="2" customFormat="false" ht="15" hidden="false" customHeight="false" outlineLevel="0" collapsed="false">
      <c r="A2" s="2" t="s">
        <v>100</v>
      </c>
    </row>
    <row r="4" customFormat="false" ht="15" hidden="false" customHeight="false" outlineLevel="0" collapsed="false">
      <c r="A4" s="0" t="s">
        <v>101</v>
      </c>
      <c r="B4" s="19" t="n">
        <v>171.57</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106</v>
      </c>
      <c r="B6" s="21" t="n">
        <v>0.10747</v>
      </c>
      <c r="C6" s="2" t="s">
        <v>61</v>
      </c>
    </row>
    <row r="7" customFormat="false" ht="15" hidden="false" customHeight="false" outlineLevel="0" collapsed="false">
      <c r="A7" s="0" t="s">
        <v>107</v>
      </c>
      <c r="B7" s="22" t="n">
        <v>1.53</v>
      </c>
      <c r="C7" s="2" t="s">
        <v>108</v>
      </c>
    </row>
    <row r="8" customFormat="false" ht="15" hidden="false" customHeight="false" outlineLevel="0" collapsed="false">
      <c r="A8" s="0" t="s">
        <v>109</v>
      </c>
      <c r="B8" s="22" t="n">
        <v>0</v>
      </c>
      <c r="C8" s="2" t="s">
        <v>224</v>
      </c>
    </row>
    <row r="9" customFormat="false" ht="15" hidden="false" customHeight="false" outlineLevel="0" collapsed="false">
      <c r="A9" s="0" t="s">
        <v>72</v>
      </c>
      <c r="B9" s="11" t="n">
        <v>0.12</v>
      </c>
      <c r="C9" s="2" t="s">
        <v>111</v>
      </c>
    </row>
    <row r="10" customFormat="false" ht="15" hidden="false" customHeight="false" outlineLevel="0" collapsed="false">
      <c r="A10" s="0" t="s">
        <v>112</v>
      </c>
      <c r="B10" s="23" t="n">
        <f aca="false">WACC!K29</f>
        <v>0.105</v>
      </c>
      <c r="C10" s="2" t="s">
        <v>113</v>
      </c>
    </row>
    <row r="11" customFormat="false" ht="15" hidden="false" customHeight="false" outlineLevel="0" collapsed="false">
      <c r="A11" s="0" t="s">
        <v>114</v>
      </c>
      <c r="B11" s="11" t="n">
        <v>0.1</v>
      </c>
      <c r="C11" s="2" t="s">
        <v>45</v>
      </c>
    </row>
    <row r="12" customFormat="false" ht="15" hidden="false" customHeight="false" outlineLevel="0" collapsed="false">
      <c r="A12" s="0" t="s">
        <v>115</v>
      </c>
      <c r="B12" s="22" t="n">
        <v>5.04</v>
      </c>
      <c r="C12" s="2" t="s">
        <v>225</v>
      </c>
    </row>
    <row r="13" customFormat="false" ht="15" hidden="false" customHeight="false" outlineLevel="0" collapsed="false">
      <c r="A13" s="0" t="s">
        <v>117</v>
      </c>
      <c r="B13" s="10" t="n">
        <v>2</v>
      </c>
      <c r="C13" s="2" t="s">
        <v>118</v>
      </c>
    </row>
    <row r="15" customFormat="false" ht="15" hidden="false" customHeight="false" outlineLevel="0" collapsed="false">
      <c r="A15" s="9" t="s">
        <v>119</v>
      </c>
      <c r="B15" s="24" t="s">
        <v>120</v>
      </c>
      <c r="C15" s="24" t="s">
        <v>121</v>
      </c>
      <c r="D15" s="24" t="s">
        <v>122</v>
      </c>
      <c r="E15" s="24" t="s">
        <v>123</v>
      </c>
      <c r="F15" s="24" t="s">
        <v>124</v>
      </c>
      <c r="G15" s="24" t="s">
        <v>125</v>
      </c>
      <c r="H15" s="24" t="s">
        <v>126</v>
      </c>
      <c r="I15" s="24" t="s">
        <v>127</v>
      </c>
      <c r="J15" s="24" t="s">
        <v>128</v>
      </c>
      <c r="K15" s="24" t="s">
        <v>129</v>
      </c>
      <c r="L15" s="9" t="s">
        <v>130</v>
      </c>
    </row>
    <row r="16" customFormat="false" ht="15" hidden="false" customHeight="false" outlineLevel="0" collapsed="false">
      <c r="A16" s="0" t="s">
        <v>131</v>
      </c>
      <c r="B16" s="20" t="n">
        <v>0.5</v>
      </c>
      <c r="C16" s="25" t="n">
        <f aca="false">B16+1</f>
        <v>1.5</v>
      </c>
      <c r="D16" s="25" t="n">
        <f aca="false">C16+1</f>
        <v>2.5</v>
      </c>
      <c r="E16" s="25" t="n">
        <f aca="false">D16+1</f>
        <v>3.5</v>
      </c>
      <c r="F16" s="25" t="n">
        <f aca="false">E16+1</f>
        <v>4.5</v>
      </c>
      <c r="G16" s="25" t="n">
        <f aca="false">F16+1</f>
        <v>5.5</v>
      </c>
      <c r="H16" s="25" t="n">
        <f aca="false">G16+1</f>
        <v>6.5</v>
      </c>
      <c r="I16" s="25" t="n">
        <f aca="false">H16+1</f>
        <v>7.5</v>
      </c>
      <c r="J16" s="25" t="n">
        <f aca="false">I16+1</f>
        <v>8.5</v>
      </c>
      <c r="K16" s="25" t="n">
        <f aca="false">J16+1</f>
        <v>9.5</v>
      </c>
    </row>
    <row r="17" customFormat="false" ht="15" hidden="false" customHeight="false" outlineLevel="0" collapsed="false">
      <c r="A17" s="0" t="s">
        <v>132</v>
      </c>
      <c r="B17" s="0" t="n">
        <v>0</v>
      </c>
      <c r="C17" s="0" t="n">
        <v>0</v>
      </c>
      <c r="D17" s="0" t="n">
        <v>0</v>
      </c>
      <c r="E17" s="0" t="n">
        <v>0</v>
      </c>
      <c r="F17" s="0" t="n">
        <v>0</v>
      </c>
      <c r="G17" s="0" t="n">
        <v>1</v>
      </c>
      <c r="H17" s="0" t="n">
        <v>2</v>
      </c>
      <c r="I17" s="0" t="n">
        <v>3</v>
      </c>
      <c r="J17" s="0" t="n">
        <v>4</v>
      </c>
      <c r="K17" s="0" t="n">
        <v>5</v>
      </c>
    </row>
    <row r="19" customFormat="false" ht="15" hidden="false" customHeight="false" outlineLevel="0" collapsed="false">
      <c r="A19" s="12" t="s">
        <v>226</v>
      </c>
      <c r="B19" s="26"/>
      <c r="C19" s="26"/>
      <c r="D19" s="26"/>
      <c r="E19" s="26"/>
      <c r="F19" s="26"/>
      <c r="G19" s="26"/>
      <c r="H19" s="26"/>
      <c r="I19" s="26"/>
      <c r="J19" s="26"/>
      <c r="K19" s="26"/>
      <c r="L19" s="26"/>
    </row>
    <row r="20" customFormat="false" ht="15" hidden="false" customHeight="false" outlineLevel="0" collapsed="false">
      <c r="A20" s="0" t="s">
        <v>134</v>
      </c>
      <c r="B20" s="22" t="n">
        <v>5</v>
      </c>
      <c r="C20" s="22" t="n">
        <v>5.3</v>
      </c>
      <c r="D20" s="22" t="n">
        <v>5.6</v>
      </c>
      <c r="E20" s="22" t="n">
        <v>5.6</v>
      </c>
      <c r="F20" s="22" t="n">
        <v>5.6</v>
      </c>
      <c r="G20" s="27" t="n">
        <f aca="false">F20*(1+$F21+($L21-$F21)*G$17/5)</f>
        <v>5.6224</v>
      </c>
      <c r="H20" s="27" t="n">
        <f aca="false">G20*(1+$F21+($L21-$F21)*H$17/5)</f>
        <v>5.6673792</v>
      </c>
      <c r="I20" s="27" t="n">
        <f aca="false">H20*(1+$F21+($L21-$F21)*I$17/5)</f>
        <v>5.7353877504</v>
      </c>
      <c r="J20" s="27" t="n">
        <f aca="false">I20*(1+$F21+($L21-$F21)*J$17/5)</f>
        <v>5.8271539544064</v>
      </c>
      <c r="K20" s="27" t="n">
        <f aca="false">J20*(1+$F21+($L21-$F21)*K$17/5)</f>
        <v>5.94369703349453</v>
      </c>
      <c r="L20" s="27" t="n">
        <f aca="false">K20*(1+L21)</f>
        <v>6.06257097416442</v>
      </c>
    </row>
    <row r="21" customFormat="false" ht="15" hidden="false" customHeight="false" outlineLevel="0" collapsed="false">
      <c r="A21" s="0" t="s">
        <v>135</v>
      </c>
      <c r="B21" s="6" t="n">
        <f aca="false">B20/$B$12-1</f>
        <v>-0.00793650793650791</v>
      </c>
      <c r="C21" s="6" t="n">
        <f aca="false">C20/B20-1</f>
        <v>0.0600000000000001</v>
      </c>
      <c r="D21" s="6" t="n">
        <f aca="false">D20/C20-1</f>
        <v>0.0566037735849057</v>
      </c>
      <c r="E21" s="6" t="n">
        <f aca="false">E20/D20-1</f>
        <v>0</v>
      </c>
      <c r="F21" s="6" t="n">
        <f aca="false">F20/E20-1</f>
        <v>0</v>
      </c>
      <c r="G21" s="6" t="n">
        <f aca="false">G20/F20-1</f>
        <v>0.004</v>
      </c>
      <c r="H21" s="6" t="n">
        <f aca="false">H20/G20-1</f>
        <v>0.00800000000000001</v>
      </c>
      <c r="I21" s="6" t="n">
        <f aca="false">I20/H20-1</f>
        <v>0.012</v>
      </c>
      <c r="J21" s="6" t="n">
        <f aca="false">J20/I20-1</f>
        <v>0.016</v>
      </c>
      <c r="K21" s="6" t="n">
        <f aca="false">K20/J20-1</f>
        <v>0.02</v>
      </c>
      <c r="L21" s="28" t="n">
        <v>0.02</v>
      </c>
    </row>
    <row r="22" customFormat="false" ht="15" hidden="false" customHeight="false" outlineLevel="0" collapsed="false">
      <c r="A22" s="0" t="s">
        <v>136</v>
      </c>
      <c r="B22" s="29" t="n">
        <v>0.28</v>
      </c>
      <c r="C22" s="29" t="n">
        <v>0.27</v>
      </c>
      <c r="D22" s="29" t="n">
        <v>0.27</v>
      </c>
      <c r="E22" s="29" t="n">
        <v>0.2</v>
      </c>
      <c r="F22" s="29" t="n">
        <v>0.15</v>
      </c>
      <c r="G22" s="6" t="n">
        <f aca="false">$F22+($L22-$F22)*G$17/5</f>
        <v>0.14</v>
      </c>
      <c r="H22" s="6" t="n">
        <f aca="false">$F22+($L22-$F22)*H$17/5</f>
        <v>0.13</v>
      </c>
      <c r="I22" s="6" t="n">
        <f aca="false">$F22+($L22-$F22)*I$17/5</f>
        <v>0.12</v>
      </c>
      <c r="J22" s="6" t="n">
        <f aca="false">$F22+($L22-$F22)*J$17/5</f>
        <v>0.11</v>
      </c>
      <c r="K22" s="6" t="n">
        <f aca="false">$F22+($L22-$F22)*K$17/5</f>
        <v>0.1</v>
      </c>
      <c r="L22" s="28" t="n">
        <v>0.1</v>
      </c>
    </row>
    <row r="23" customFormat="false" ht="15" hidden="false" customHeight="false" outlineLevel="0" collapsed="false">
      <c r="A23" s="0" t="s">
        <v>137</v>
      </c>
      <c r="B23" s="27" t="n">
        <f aca="false">B20*B22</f>
        <v>1.4</v>
      </c>
      <c r="C23" s="27" t="n">
        <f aca="false">C20*C22</f>
        <v>1.431</v>
      </c>
      <c r="D23" s="27" t="n">
        <f aca="false">D20*D22</f>
        <v>1.512</v>
      </c>
      <c r="E23" s="27" t="n">
        <f aca="false">E20*E22</f>
        <v>1.12</v>
      </c>
      <c r="F23" s="27" t="n">
        <f aca="false">F20*F22</f>
        <v>0.84</v>
      </c>
      <c r="G23" s="27" t="n">
        <f aca="false">G20*G22</f>
        <v>0.787136</v>
      </c>
      <c r="H23" s="27" t="n">
        <f aca="false">H20*H22</f>
        <v>0.736759296</v>
      </c>
      <c r="I23" s="27" t="n">
        <f aca="false">I20*I22</f>
        <v>0.688246530048</v>
      </c>
      <c r="J23" s="27" t="n">
        <f aca="false">J20*J22</f>
        <v>0.640986934984704</v>
      </c>
      <c r="K23" s="27" t="n">
        <f aca="false">K20*K22</f>
        <v>0.594369703349453</v>
      </c>
      <c r="L23" s="27" t="n">
        <f aca="false">L20*L22</f>
        <v>0.606257097416442</v>
      </c>
    </row>
    <row r="24" customFormat="false" ht="15" hidden="false" customHeight="false" outlineLevel="0" collapsed="false">
      <c r="A24" s="0" t="s">
        <v>138</v>
      </c>
      <c r="B24" s="27" t="n">
        <f aca="false">B23*(1-$B$9)</f>
        <v>1.232</v>
      </c>
      <c r="C24" s="27" t="n">
        <f aca="false">C23*(1-$B$9)</f>
        <v>1.25928</v>
      </c>
      <c r="D24" s="27" t="n">
        <f aca="false">D23*(1-$B$9)</f>
        <v>1.33056</v>
      </c>
      <c r="E24" s="27" t="n">
        <f aca="false">E23*(1-$B$9)</f>
        <v>0.9856</v>
      </c>
      <c r="F24" s="27" t="n">
        <f aca="false">F23*(1-$B$9)</f>
        <v>0.7392</v>
      </c>
      <c r="G24" s="27" t="n">
        <f aca="false">G23*(1-$B$9)</f>
        <v>0.69267968</v>
      </c>
      <c r="H24" s="27" t="n">
        <f aca="false">H23*(1-$B$9)</f>
        <v>0.64834818048</v>
      </c>
      <c r="I24" s="27" t="n">
        <f aca="false">I23*(1-$B$9)</f>
        <v>0.60565694644224</v>
      </c>
      <c r="J24" s="27" t="n">
        <f aca="false">J23*(1-$B$9)</f>
        <v>0.56406850278654</v>
      </c>
      <c r="K24" s="27" t="n">
        <f aca="false">K23*(1-$B$9)</f>
        <v>0.523045338947519</v>
      </c>
      <c r="L24" s="27" t="n">
        <f aca="false">L23*(1-$B$9)</f>
        <v>0.533506245726469</v>
      </c>
    </row>
    <row r="25" customFormat="false" ht="15" hidden="false" customHeight="false" outlineLevel="0" collapsed="false">
      <c r="A25" s="0" t="s">
        <v>139</v>
      </c>
      <c r="B25" s="29" t="n">
        <v>0.05</v>
      </c>
      <c r="C25" s="29" t="n">
        <v>0.04</v>
      </c>
      <c r="D25" s="29" t="n">
        <v>0.03</v>
      </c>
      <c r="E25" s="29" t="n">
        <v>0.03</v>
      </c>
      <c r="F25" s="29" t="n">
        <v>0.03</v>
      </c>
      <c r="G25" s="6" t="n">
        <f aca="false">$F25+($L25-$F25)*G$17/5</f>
        <v>0.03</v>
      </c>
      <c r="H25" s="6" t="n">
        <f aca="false">$F25+($L25-$F25)*H$17/5</f>
        <v>0.03</v>
      </c>
      <c r="I25" s="6" t="n">
        <f aca="false">$F25+($L25-$F25)*I$17/5</f>
        <v>0.03</v>
      </c>
      <c r="J25" s="6" t="n">
        <f aca="false">$F25+($L25-$F25)*J$17/5</f>
        <v>0.03</v>
      </c>
      <c r="K25" s="6" t="n">
        <f aca="false">$F25+($L25-$F25)*K$17/5</f>
        <v>0.03</v>
      </c>
      <c r="L25" s="28" t="n">
        <v>0.03</v>
      </c>
    </row>
    <row r="26" customFormat="false" ht="15" hidden="false" customHeight="false" outlineLevel="0" collapsed="false">
      <c r="A26" s="0" t="s">
        <v>140</v>
      </c>
      <c r="B26" s="27" t="n">
        <f aca="false">B20*B25</f>
        <v>0.25</v>
      </c>
      <c r="C26" s="27" t="n">
        <f aca="false">C20*C25</f>
        <v>0.212</v>
      </c>
      <c r="D26" s="27" t="n">
        <f aca="false">D20*D25</f>
        <v>0.168</v>
      </c>
      <c r="E26" s="27" t="n">
        <f aca="false">E20*E25</f>
        <v>0.168</v>
      </c>
      <c r="F26" s="27" t="n">
        <f aca="false">F20*F25</f>
        <v>0.168</v>
      </c>
      <c r="G26" s="27" t="n">
        <f aca="false">G20*G25</f>
        <v>0.168672</v>
      </c>
      <c r="H26" s="27" t="n">
        <f aca="false">H20*H25</f>
        <v>0.170021376</v>
      </c>
      <c r="I26" s="27" t="n">
        <f aca="false">I20*I25</f>
        <v>0.172061632512</v>
      </c>
      <c r="J26" s="27" t="n">
        <f aca="false">J20*J25</f>
        <v>0.174814618632192</v>
      </c>
      <c r="K26" s="27" t="n">
        <f aca="false">K20*K25</f>
        <v>0.178310911004836</v>
      </c>
      <c r="L26" s="27" t="n">
        <f aca="false">L20*L25</f>
        <v>0.181877129224933</v>
      </c>
    </row>
    <row r="27" customFormat="false" ht="15" hidden="false" customHeight="false" outlineLevel="0" collapsed="false">
      <c r="A27" s="0" t="s">
        <v>141</v>
      </c>
      <c r="B27" s="27" t="n">
        <f aca="false">$B$11*(B20-$B$12)</f>
        <v>-0.004</v>
      </c>
      <c r="C27" s="27" t="n">
        <f aca="false">$B$11*(C20-B20)</f>
        <v>0.03</v>
      </c>
      <c r="D27" s="27" t="n">
        <f aca="false">$B$11*(D20-C20)</f>
        <v>0.03</v>
      </c>
      <c r="E27" s="27" t="n">
        <f aca="false">$B$11*(E20-D20)</f>
        <v>0</v>
      </c>
      <c r="F27" s="27" t="n">
        <f aca="false">$B$11*(F20-E20)</f>
        <v>0</v>
      </c>
      <c r="G27" s="27" t="n">
        <f aca="false">$B$11*(G20-F20)</f>
        <v>0.00224000000000002</v>
      </c>
      <c r="H27" s="27" t="n">
        <f aca="false">$B$11*(H20-G20)</f>
        <v>0.00449792000000002</v>
      </c>
      <c r="I27" s="27" t="n">
        <f aca="false">$B$11*(I20-H20)</f>
        <v>0.00680085504000001</v>
      </c>
      <c r="J27" s="27" t="n">
        <f aca="false">$B$11*(J20-I20)</f>
        <v>0.00917662040064</v>
      </c>
      <c r="K27" s="27" t="n">
        <f aca="false">$B$11*(K20-J20)</f>
        <v>0.0116543079088128</v>
      </c>
      <c r="L27" s="27" t="n">
        <f aca="false">$B$11*(L20-K20)</f>
        <v>0.0118873940669891</v>
      </c>
    </row>
    <row r="28" customFormat="false" ht="15" hidden="false" customHeight="false" outlineLevel="0" collapsed="false">
      <c r="A28" s="0" t="s">
        <v>142</v>
      </c>
      <c r="B28" s="27" t="n">
        <f aca="false">B24-B26-B27</f>
        <v>0.986</v>
      </c>
      <c r="C28" s="27" t="n">
        <f aca="false">C24-C26-C27</f>
        <v>1.01728</v>
      </c>
      <c r="D28" s="27" t="n">
        <f aca="false">D24-D26-D27</f>
        <v>1.13256</v>
      </c>
      <c r="E28" s="27" t="n">
        <f aca="false">E24-E26-E27</f>
        <v>0.8176</v>
      </c>
      <c r="F28" s="27" t="n">
        <f aca="false">F24-F26-F27</f>
        <v>0.5712</v>
      </c>
      <c r="G28" s="27" t="n">
        <f aca="false">G24-G26-G27</f>
        <v>0.52176768</v>
      </c>
      <c r="H28" s="27" t="n">
        <f aca="false">H24-H26-H27</f>
        <v>0.47382888448</v>
      </c>
      <c r="I28" s="27" t="n">
        <f aca="false">I24-I26-I27</f>
        <v>0.42679445889024</v>
      </c>
      <c r="J28" s="27" t="n">
        <f aca="false">J24-J26-J27</f>
        <v>0.380077263753708</v>
      </c>
      <c r="K28" s="27" t="n">
        <f aca="false">K24-K26-K27</f>
        <v>0.33308012003387</v>
      </c>
      <c r="L28" s="27" t="n">
        <f aca="false">L24-L26-L27</f>
        <v>0.339741722434547</v>
      </c>
    </row>
    <row r="29" customFormat="false" ht="15" hidden="false" customHeight="false" outlineLevel="0" collapsed="false">
      <c r="A29" s="0" t="s">
        <v>143</v>
      </c>
      <c r="B29" s="30" t="n">
        <f aca="false">1/(1+$B$10)^B$16</f>
        <v>0.951302988308988</v>
      </c>
      <c r="C29" s="30" t="n">
        <f aca="false">1/(1+$B$10)^C$16</f>
        <v>0.860907681727591</v>
      </c>
      <c r="D29" s="30" t="n">
        <f aca="false">1/(1+$B$10)^D$16</f>
        <v>0.77910197441411</v>
      </c>
      <c r="E29" s="30" t="n">
        <f aca="false">1/(1+$B$10)^E$16</f>
        <v>0.705069660103267</v>
      </c>
      <c r="F29" s="30" t="n">
        <f aca="false">1/(1+$B$10)^F$16</f>
        <v>0.638072090591192</v>
      </c>
      <c r="G29" s="30" t="n">
        <f aca="false">1/(1+$B$10)^G$16</f>
        <v>0.577440805964879</v>
      </c>
      <c r="H29" s="30" t="n">
        <f aca="false">1/(1+$B$10)^H$16</f>
        <v>0.522570865126588</v>
      </c>
      <c r="I29" s="30" t="n">
        <f aca="false">1/(1+$B$10)^I$16</f>
        <v>0.47291481006931</v>
      </c>
      <c r="J29" s="30" t="n">
        <f aca="false">1/(1+$B$10)^J$16</f>
        <v>0.427977203682634</v>
      </c>
      <c r="K29" s="30" t="n">
        <f aca="false">1/(1+$B$10)^K$16</f>
        <v>0.387309686590619</v>
      </c>
    </row>
    <row r="30" customFormat="false" ht="15" hidden="false" customHeight="false" outlineLevel="0" collapsed="false">
      <c r="A30" s="0" t="s">
        <v>144</v>
      </c>
      <c r="B30" s="27" t="n">
        <f aca="false">B28*B29</f>
        <v>0.937984746472663</v>
      </c>
      <c r="C30" s="27" t="n">
        <f aca="false">C28*C29</f>
        <v>0.875784166467844</v>
      </c>
      <c r="D30" s="27" t="n">
        <f aca="false">D28*D29</f>
        <v>0.882379732142444</v>
      </c>
      <c r="E30" s="27" t="n">
        <f aca="false">E28*E29</f>
        <v>0.576464954100431</v>
      </c>
      <c r="F30" s="27" t="n">
        <f aca="false">F28*F29</f>
        <v>0.364466778145689</v>
      </c>
      <c r="G30" s="27" t="n">
        <f aca="false">G28*G29</f>
        <v>0.301289949665625</v>
      </c>
      <c r="H30" s="27" t="n">
        <f aca="false">H28*H29</f>
        <v>0.247609170084679</v>
      </c>
      <c r="I30" s="27" t="n">
        <f aca="false">I28*I29</f>
        <v>0.201837420464712</v>
      </c>
      <c r="J30" s="27" t="n">
        <f aca="false">J28*J29</f>
        <v>0.162664404524659</v>
      </c>
      <c r="K30" s="27" t="n">
        <f aca="false">K28*K29</f>
        <v>0.129005156899884</v>
      </c>
      <c r="L30" s="27"/>
    </row>
    <row r="31" customFormat="false" ht="15" hidden="false" customHeight="false" outlineLevel="0" collapsed="false">
      <c r="A31" s="0" t="s">
        <v>145</v>
      </c>
      <c r="B31" s="27" t="n">
        <f aca="false">L28/($B$10-L21)</f>
        <v>3.99696144040644</v>
      </c>
      <c r="C31" s="0" t="str">
        <f aca="false">IF($B$10&gt;L21,"","Discount rate must exceed terminal growth")</f>
        <v/>
      </c>
    </row>
    <row r="32" customFormat="false" ht="15" hidden="false" customHeight="false" outlineLevel="0" collapsed="false">
      <c r="A32" s="0" t="s">
        <v>146</v>
      </c>
      <c r="B32" s="27" t="n">
        <f aca="false">B31/(1+$B$10)^$K$16</f>
        <v>1.5480618827986</v>
      </c>
    </row>
    <row r="33" customFormat="false" ht="15" hidden="false" customHeight="false" outlineLevel="0" collapsed="false">
      <c r="A33" s="0" t="s">
        <v>147</v>
      </c>
      <c r="B33" s="27" t="n">
        <f aca="false">SUM(B30:K30)+B32+$B$7+$B$8</f>
        <v>7.75754836176723</v>
      </c>
    </row>
    <row r="34" customFormat="false" ht="15" hidden="false" customHeight="false" outlineLevel="0" collapsed="false">
      <c r="A34" s="0" t="s">
        <v>148</v>
      </c>
      <c r="B34" s="31" t="n">
        <f aca="false">B33/$B$6</f>
        <v>72.1833847749812</v>
      </c>
    </row>
    <row r="35" customFormat="false" ht="15" hidden="false" customHeight="false" outlineLevel="0" collapsed="false">
      <c r="A35" s="0" t="s">
        <v>149</v>
      </c>
      <c r="B35" s="6" t="n">
        <f aca="false">B34/$B$4-1</f>
        <v>-0.579277351664153</v>
      </c>
    </row>
    <row r="37" customFormat="false" ht="15" hidden="false" customHeight="false" outlineLevel="0" collapsed="false">
      <c r="A37" s="12" t="s">
        <v>227</v>
      </c>
      <c r="B37" s="26"/>
      <c r="C37" s="26"/>
      <c r="D37" s="26"/>
      <c r="E37" s="26"/>
      <c r="F37" s="26"/>
      <c r="G37" s="26"/>
      <c r="H37" s="26"/>
      <c r="I37" s="26"/>
      <c r="J37" s="26"/>
      <c r="K37" s="26"/>
      <c r="L37" s="26"/>
    </row>
    <row r="38" customFormat="false" ht="15" hidden="false" customHeight="false" outlineLevel="0" collapsed="false">
      <c r="A38" s="0" t="s">
        <v>134</v>
      </c>
      <c r="B38" s="22" t="n">
        <v>5.8</v>
      </c>
      <c r="C38" s="22" t="n">
        <v>6.4</v>
      </c>
      <c r="D38" s="22" t="n">
        <v>6.8</v>
      </c>
      <c r="E38" s="22" t="n">
        <v>6.9</v>
      </c>
      <c r="F38" s="22" t="n">
        <v>7</v>
      </c>
      <c r="G38" s="27" t="n">
        <f aca="false">F38*(1+$F39+($L39-$F39)*G$17/5)</f>
        <v>7.11615942028985</v>
      </c>
      <c r="H38" s="27" t="n">
        <f aca="false">G38*(1+$F39+($L39-$F39)*H$17/5)</f>
        <v>7.24920066162571</v>
      </c>
      <c r="I38" s="27" t="n">
        <f aca="false">H38*(1+$F39+($L39-$F39)*I$17/5)</f>
        <v>7.39996302321169</v>
      </c>
      <c r="J38" s="27" t="n">
        <f aca="false">I38*(1+$F39+($L39-$F39)*J$17/5)</f>
        <v>7.56941145185915</v>
      </c>
      <c r="K38" s="27" t="n">
        <f aca="false">J38*(1+$F39+($L39-$F39)*K$17/5)</f>
        <v>7.75864673815563</v>
      </c>
      <c r="L38" s="27" t="n">
        <f aca="false">K38*(1+L39)</f>
        <v>7.95261290660952</v>
      </c>
    </row>
    <row r="39" customFormat="false" ht="15" hidden="false" customHeight="false" outlineLevel="0" collapsed="false">
      <c r="A39" s="0" t="s">
        <v>135</v>
      </c>
      <c r="B39" s="6" t="n">
        <f aca="false">B38/$B$12-1</f>
        <v>0.150793650793651</v>
      </c>
      <c r="C39" s="6" t="n">
        <f aca="false">C38/B38-1</f>
        <v>0.103448275862069</v>
      </c>
      <c r="D39" s="6" t="n">
        <f aca="false">D38/C38-1</f>
        <v>0.0625</v>
      </c>
      <c r="E39" s="6" t="n">
        <f aca="false">E38/D38-1</f>
        <v>0.0147058823529413</v>
      </c>
      <c r="F39" s="6" t="n">
        <f aca="false">F38/E38-1</f>
        <v>0.0144927536231882</v>
      </c>
      <c r="G39" s="6" t="n">
        <f aca="false">G38/F38-1</f>
        <v>0.0165942028985506</v>
      </c>
      <c r="H39" s="6" t="n">
        <f aca="false">H38/G38-1</f>
        <v>0.018695652173913</v>
      </c>
      <c r="I39" s="6" t="n">
        <f aca="false">I38/H38-1</f>
        <v>0.0207971014492754</v>
      </c>
      <c r="J39" s="6" t="n">
        <f aca="false">J38/I38-1</f>
        <v>0.0228985507246378</v>
      </c>
      <c r="K39" s="6" t="n">
        <f aca="false">K38/J38-1</f>
        <v>0.0249999999999999</v>
      </c>
      <c r="L39" s="28" t="n">
        <v>0.025</v>
      </c>
    </row>
    <row r="40" customFormat="false" ht="15" hidden="false" customHeight="false" outlineLevel="0" collapsed="false">
      <c r="A40" s="0" t="s">
        <v>136</v>
      </c>
      <c r="B40" s="29" t="n">
        <v>0.33</v>
      </c>
      <c r="C40" s="29" t="n">
        <v>0.34</v>
      </c>
      <c r="D40" s="29" t="n">
        <v>0.34</v>
      </c>
      <c r="E40" s="29" t="n">
        <v>0.29</v>
      </c>
      <c r="F40" s="29" t="n">
        <v>0.24</v>
      </c>
      <c r="G40" s="6" t="n">
        <f aca="false">$F40+($L40-$F40)*G$17/5</f>
        <v>0.222</v>
      </c>
      <c r="H40" s="6" t="n">
        <f aca="false">$F40+($L40-$F40)*H$17/5</f>
        <v>0.204</v>
      </c>
      <c r="I40" s="6" t="n">
        <f aca="false">$F40+($L40-$F40)*I$17/5</f>
        <v>0.186</v>
      </c>
      <c r="J40" s="6" t="n">
        <f aca="false">$F40+($L40-$F40)*J$17/5</f>
        <v>0.168</v>
      </c>
      <c r="K40" s="6" t="n">
        <f aca="false">$F40+($L40-$F40)*K$17/5</f>
        <v>0.15</v>
      </c>
      <c r="L40" s="28" t="n">
        <v>0.15</v>
      </c>
    </row>
    <row r="41" customFormat="false" ht="15" hidden="false" customHeight="false" outlineLevel="0" collapsed="false">
      <c r="A41" s="0" t="s">
        <v>137</v>
      </c>
      <c r="B41" s="27" t="n">
        <f aca="false">B38*B40</f>
        <v>1.914</v>
      </c>
      <c r="C41" s="27" t="n">
        <f aca="false">C38*C40</f>
        <v>2.176</v>
      </c>
      <c r="D41" s="27" t="n">
        <f aca="false">D38*D40</f>
        <v>2.312</v>
      </c>
      <c r="E41" s="27" t="n">
        <f aca="false">E38*E40</f>
        <v>2.001</v>
      </c>
      <c r="F41" s="27" t="n">
        <f aca="false">F38*F40</f>
        <v>1.68</v>
      </c>
      <c r="G41" s="27" t="n">
        <f aca="false">G38*G40</f>
        <v>1.57978739130435</v>
      </c>
      <c r="H41" s="27" t="n">
        <f aca="false">H38*H40</f>
        <v>1.47883693497164</v>
      </c>
      <c r="I41" s="27" t="n">
        <f aca="false">I38*I40</f>
        <v>1.37639312231737</v>
      </c>
      <c r="J41" s="27" t="n">
        <f aca="false">J38*J40</f>
        <v>1.27166112391234</v>
      </c>
      <c r="K41" s="27" t="n">
        <f aca="false">K38*K40</f>
        <v>1.16379701072334</v>
      </c>
      <c r="L41" s="27" t="n">
        <f aca="false">L38*L40</f>
        <v>1.19289193599143</v>
      </c>
    </row>
    <row r="42" customFormat="false" ht="15" hidden="false" customHeight="false" outlineLevel="0" collapsed="false">
      <c r="A42" s="0" t="s">
        <v>138</v>
      </c>
      <c r="B42" s="27" t="n">
        <f aca="false">B41*(1-$B$9)</f>
        <v>1.68432</v>
      </c>
      <c r="C42" s="27" t="n">
        <f aca="false">C41*(1-$B$9)</f>
        <v>1.91488</v>
      </c>
      <c r="D42" s="27" t="n">
        <f aca="false">D41*(1-$B$9)</f>
        <v>2.03456</v>
      </c>
      <c r="E42" s="27" t="n">
        <f aca="false">E41*(1-$B$9)</f>
        <v>1.76088</v>
      </c>
      <c r="F42" s="27" t="n">
        <f aca="false">F41*(1-$B$9)</f>
        <v>1.4784</v>
      </c>
      <c r="G42" s="27" t="n">
        <f aca="false">G41*(1-$B$9)</f>
        <v>1.39021290434783</v>
      </c>
      <c r="H42" s="27" t="n">
        <f aca="false">H41*(1-$B$9)</f>
        <v>1.30137650277505</v>
      </c>
      <c r="I42" s="27" t="n">
        <f aca="false">I41*(1-$B$9)</f>
        <v>1.21122594763929</v>
      </c>
      <c r="J42" s="27" t="n">
        <f aca="false">J41*(1-$B$9)</f>
        <v>1.11906178904286</v>
      </c>
      <c r="K42" s="27" t="n">
        <f aca="false">K41*(1-$B$9)</f>
        <v>1.02414136943654</v>
      </c>
      <c r="L42" s="27" t="n">
        <f aca="false">L41*(1-$B$9)</f>
        <v>1.04974490367246</v>
      </c>
    </row>
    <row r="43" customFormat="false" ht="15" hidden="false" customHeight="false" outlineLevel="0" collapsed="false">
      <c r="A43" s="0" t="s">
        <v>139</v>
      </c>
      <c r="B43" s="29" t="n">
        <v>0.06</v>
      </c>
      <c r="C43" s="29" t="n">
        <v>0.05</v>
      </c>
      <c r="D43" s="29" t="n">
        <v>0.04</v>
      </c>
      <c r="E43" s="29" t="n">
        <v>0.03</v>
      </c>
      <c r="F43" s="29" t="n">
        <v>0.03</v>
      </c>
      <c r="G43" s="6" t="n">
        <f aca="false">$F43+($L43-$F43)*G$17/5</f>
        <v>0.03</v>
      </c>
      <c r="H43" s="6" t="n">
        <f aca="false">$F43+($L43-$F43)*H$17/5</f>
        <v>0.03</v>
      </c>
      <c r="I43" s="6" t="n">
        <f aca="false">$F43+($L43-$F43)*I$17/5</f>
        <v>0.03</v>
      </c>
      <c r="J43" s="6" t="n">
        <f aca="false">$F43+($L43-$F43)*J$17/5</f>
        <v>0.03</v>
      </c>
      <c r="K43" s="6" t="n">
        <f aca="false">$F43+($L43-$F43)*K$17/5</f>
        <v>0.03</v>
      </c>
      <c r="L43" s="28" t="n">
        <v>0.03</v>
      </c>
    </row>
    <row r="44" customFormat="false" ht="15" hidden="false" customHeight="false" outlineLevel="0" collapsed="false">
      <c r="A44" s="0" t="s">
        <v>140</v>
      </c>
      <c r="B44" s="27" t="n">
        <f aca="false">B38*B43</f>
        <v>0.348</v>
      </c>
      <c r="C44" s="27" t="n">
        <f aca="false">C38*C43</f>
        <v>0.32</v>
      </c>
      <c r="D44" s="27" t="n">
        <f aca="false">D38*D43</f>
        <v>0.272</v>
      </c>
      <c r="E44" s="27" t="n">
        <f aca="false">E38*E43</f>
        <v>0.207</v>
      </c>
      <c r="F44" s="27" t="n">
        <f aca="false">F38*F43</f>
        <v>0.21</v>
      </c>
      <c r="G44" s="27" t="n">
        <f aca="false">G38*G43</f>
        <v>0.213484782608696</v>
      </c>
      <c r="H44" s="27" t="n">
        <f aca="false">H38*H43</f>
        <v>0.217476019848771</v>
      </c>
      <c r="I44" s="27" t="n">
        <f aca="false">I38*I43</f>
        <v>0.221998890696351</v>
      </c>
      <c r="J44" s="27" t="n">
        <f aca="false">J38*J43</f>
        <v>0.227082343555774</v>
      </c>
      <c r="K44" s="27" t="n">
        <f aca="false">K38*K43</f>
        <v>0.232759402144669</v>
      </c>
      <c r="L44" s="27" t="n">
        <f aca="false">L38*L43</f>
        <v>0.238578387198286</v>
      </c>
    </row>
    <row r="45" customFormat="false" ht="15" hidden="false" customHeight="false" outlineLevel="0" collapsed="false">
      <c r="A45" s="0" t="s">
        <v>141</v>
      </c>
      <c r="B45" s="27" t="n">
        <f aca="false">$B$11*(B38-$B$12)</f>
        <v>0.076</v>
      </c>
      <c r="C45" s="27" t="n">
        <f aca="false">$B$11*(C38-B38)</f>
        <v>0.0600000000000001</v>
      </c>
      <c r="D45" s="27" t="n">
        <f aca="false">$B$11*(D38-C38)</f>
        <v>0.04</v>
      </c>
      <c r="E45" s="27" t="n">
        <f aca="false">$B$11*(E38-D38)</f>
        <v>0.0100000000000001</v>
      </c>
      <c r="F45" s="27" t="n">
        <f aca="false">$B$11*(F38-E38)</f>
        <v>0.00999999999999997</v>
      </c>
      <c r="G45" s="27" t="n">
        <f aca="false">$B$11*(G38-F38)</f>
        <v>0.0116159420289854</v>
      </c>
      <c r="H45" s="27" t="n">
        <f aca="false">$B$11*(H38-G38)</f>
        <v>0.0133041241335854</v>
      </c>
      <c r="I45" s="27" t="n">
        <f aca="false">$B$11*(I38-H38)</f>
        <v>0.0150762361585984</v>
      </c>
      <c r="J45" s="27" t="n">
        <f aca="false">$B$11*(J38-I38)</f>
        <v>0.0169448428647457</v>
      </c>
      <c r="K45" s="27" t="n">
        <f aca="false">$B$11*(K38-J38)</f>
        <v>0.0189235286296478</v>
      </c>
      <c r="L45" s="27" t="n">
        <f aca="false">$B$11*(L38-K38)</f>
        <v>0.019396616845389</v>
      </c>
    </row>
    <row r="46" customFormat="false" ht="15" hidden="false" customHeight="false" outlineLevel="0" collapsed="false">
      <c r="A46" s="0" t="s">
        <v>142</v>
      </c>
      <c r="B46" s="27" t="n">
        <f aca="false">B42-B44-B45</f>
        <v>1.26032</v>
      </c>
      <c r="C46" s="27" t="n">
        <f aca="false">C42-C44-C45</f>
        <v>1.53488</v>
      </c>
      <c r="D46" s="27" t="n">
        <f aca="false">D42-D44-D45</f>
        <v>1.72256</v>
      </c>
      <c r="E46" s="27" t="n">
        <f aca="false">E42-E44-E45</f>
        <v>1.54388</v>
      </c>
      <c r="F46" s="27" t="n">
        <f aca="false">F42-F44-F45</f>
        <v>1.2584</v>
      </c>
      <c r="G46" s="27" t="n">
        <f aca="false">G42-G44-G45</f>
        <v>1.16511217971015</v>
      </c>
      <c r="H46" s="27" t="n">
        <f aca="false">H42-H44-H45</f>
        <v>1.07059635879269</v>
      </c>
      <c r="I46" s="27" t="n">
        <f aca="false">I42-I44-I45</f>
        <v>0.974150820784341</v>
      </c>
      <c r="J46" s="27" t="n">
        <f aca="false">J42-J44-J45</f>
        <v>0.875034602622336</v>
      </c>
      <c r="K46" s="27" t="n">
        <f aca="false">K42-K44-K45</f>
        <v>0.772458438662226</v>
      </c>
      <c r="L46" s="27" t="n">
        <f aca="false">L42-L44-L45</f>
        <v>0.791769899628782</v>
      </c>
    </row>
    <row r="47" customFormat="false" ht="15" hidden="false" customHeight="false" outlineLevel="0" collapsed="false">
      <c r="A47" s="0" t="s">
        <v>143</v>
      </c>
      <c r="B47" s="30" t="n">
        <f aca="false">1/(1+$B$10)^B$16</f>
        <v>0.951302988308988</v>
      </c>
      <c r="C47" s="30" t="n">
        <f aca="false">1/(1+$B$10)^C$16</f>
        <v>0.860907681727591</v>
      </c>
      <c r="D47" s="30" t="n">
        <f aca="false">1/(1+$B$10)^D$16</f>
        <v>0.77910197441411</v>
      </c>
      <c r="E47" s="30" t="n">
        <f aca="false">1/(1+$B$10)^E$16</f>
        <v>0.705069660103267</v>
      </c>
      <c r="F47" s="30" t="n">
        <f aca="false">1/(1+$B$10)^F$16</f>
        <v>0.638072090591192</v>
      </c>
      <c r="G47" s="30" t="n">
        <f aca="false">1/(1+$B$10)^G$16</f>
        <v>0.577440805964879</v>
      </c>
      <c r="H47" s="30" t="n">
        <f aca="false">1/(1+$B$10)^H$16</f>
        <v>0.522570865126588</v>
      </c>
      <c r="I47" s="30" t="n">
        <f aca="false">1/(1+$B$10)^I$16</f>
        <v>0.47291481006931</v>
      </c>
      <c r="J47" s="30" t="n">
        <f aca="false">1/(1+$B$10)^J$16</f>
        <v>0.427977203682634</v>
      </c>
      <c r="K47" s="30" t="n">
        <f aca="false">1/(1+$B$10)^K$16</f>
        <v>0.387309686590619</v>
      </c>
    </row>
    <row r="48" customFormat="false" ht="15" hidden="false" customHeight="false" outlineLevel="0" collapsed="false">
      <c r="A48" s="0" t="s">
        <v>144</v>
      </c>
      <c r="B48" s="27" t="n">
        <f aca="false">B46*B47</f>
        <v>1.19894618222558</v>
      </c>
      <c r="C48" s="27" t="n">
        <f aca="false">C46*C47</f>
        <v>1.32138998253005</v>
      </c>
      <c r="D48" s="27" t="n">
        <f aca="false">D46*D47</f>
        <v>1.34204989704677</v>
      </c>
      <c r="E48" s="27" t="n">
        <f aca="false">E46*E47</f>
        <v>1.08854294684023</v>
      </c>
      <c r="F48" s="27" t="n">
        <f aca="false">F46*F47</f>
        <v>0.802949918799955</v>
      </c>
      <c r="G48" s="27" t="n">
        <f aca="false">G46*G47</f>
        <v>0.672783316091323</v>
      </c>
      <c r="H48" s="27" t="n">
        <f aca="false">H46*H47</f>
        <v>0.559462465415671</v>
      </c>
      <c r="I48" s="27" t="n">
        <f aca="false">I46*I47</f>
        <v>0.460690350390089</v>
      </c>
      <c r="J48" s="27" t="n">
        <f aca="false">J46*J47</f>
        <v>0.374494862355852</v>
      </c>
      <c r="K48" s="27" t="n">
        <f aca="false">K46*K47</f>
        <v>0.299180635782545</v>
      </c>
      <c r="L48" s="27"/>
    </row>
    <row r="49" customFormat="false" ht="15" hidden="false" customHeight="false" outlineLevel="0" collapsed="false">
      <c r="A49" s="0" t="s">
        <v>145</v>
      </c>
      <c r="B49" s="27" t="n">
        <f aca="false">L46/($B$10-L39)</f>
        <v>9.89712374535977</v>
      </c>
      <c r="C49" s="0" t="str">
        <f aca="false">IF($B$10&gt;L39,"","Discount rate must exceed terminal growth")</f>
        <v/>
      </c>
    </row>
    <row r="50" customFormat="false" ht="15" hidden="false" customHeight="false" outlineLevel="0" collapsed="false">
      <c r="A50" s="0" t="s">
        <v>146</v>
      </c>
      <c r="B50" s="27" t="n">
        <f aca="false">B49/(1+$B$10)^$K$16</f>
        <v>3.83325189596386</v>
      </c>
    </row>
    <row r="51" customFormat="false" ht="15" hidden="false" customHeight="false" outlineLevel="0" collapsed="false">
      <c r="A51" s="0" t="s">
        <v>147</v>
      </c>
      <c r="B51" s="27" t="n">
        <f aca="false">SUM(B48:K48)+B50+$B$7+$B$8</f>
        <v>13.4837424534419</v>
      </c>
    </row>
    <row r="52" customFormat="false" ht="15" hidden="false" customHeight="false" outlineLevel="0" collapsed="false">
      <c r="A52" s="0" t="s">
        <v>148</v>
      </c>
      <c r="B52" s="31" t="n">
        <f aca="false">B51/$B$6</f>
        <v>125.465175895058</v>
      </c>
    </row>
    <row r="53" customFormat="false" ht="15" hidden="false" customHeight="false" outlineLevel="0" collapsed="false">
      <c r="A53" s="0" t="s">
        <v>149</v>
      </c>
      <c r="B53" s="6" t="n">
        <f aca="false">B52/$B$4-1</f>
        <v>-0.268723110712488</v>
      </c>
    </row>
    <row r="55" customFormat="false" ht="15" hidden="false" customHeight="false" outlineLevel="0" collapsed="false">
      <c r="A55" s="12" t="s">
        <v>228</v>
      </c>
      <c r="B55" s="26"/>
      <c r="C55" s="26"/>
      <c r="D55" s="26"/>
      <c r="E55" s="26"/>
      <c r="F55" s="26"/>
      <c r="G55" s="26"/>
      <c r="H55" s="26"/>
      <c r="I55" s="26"/>
      <c r="J55" s="26"/>
      <c r="K55" s="26"/>
      <c r="L55" s="26"/>
    </row>
    <row r="56" customFormat="false" ht="15" hidden="false" customHeight="false" outlineLevel="0" collapsed="false">
      <c r="A56" s="0" t="s">
        <v>134</v>
      </c>
      <c r="B56" s="22" t="n">
        <v>6.2</v>
      </c>
      <c r="C56" s="22" t="n">
        <v>7.2</v>
      </c>
      <c r="D56" s="22" t="n">
        <v>8</v>
      </c>
      <c r="E56" s="22" t="n">
        <v>8.6</v>
      </c>
      <c r="F56" s="22" t="n">
        <v>9.2</v>
      </c>
      <c r="G56" s="27" t="n">
        <f aca="false">F56*(1+$F57+($L57-$F57)*G$17/5)</f>
        <v>9.76868837209302</v>
      </c>
      <c r="H56" s="27" t="n">
        <f aca="false">G56*(1+$F57+($L57-$F57)*H$17/5)</f>
        <v>10.2948344713899</v>
      </c>
      <c r="I56" s="27" t="n">
        <f aca="false">H56*(1+$F57+($L57-$F57)*I$17/5)</f>
        <v>10.7674391980533</v>
      </c>
      <c r="J56" s="27" t="n">
        <f aca="false">I56*(1+$F57+($L57-$F57)*J$17/5)</f>
        <v>11.1761010764538</v>
      </c>
      <c r="K56" s="27" t="n">
        <f aca="false">J56*(1+$F57+($L57-$F57)*K$17/5)</f>
        <v>11.5113841087474</v>
      </c>
      <c r="L56" s="27" t="n">
        <f aca="false">K56*(1+L57)</f>
        <v>11.8567256320099</v>
      </c>
    </row>
    <row r="57" customFormat="false" ht="15" hidden="false" customHeight="false" outlineLevel="0" collapsed="false">
      <c r="A57" s="0" t="s">
        <v>135</v>
      </c>
      <c r="B57" s="6" t="n">
        <f aca="false">B56/$B$12-1</f>
        <v>0.23015873015873</v>
      </c>
      <c r="C57" s="6" t="n">
        <f aca="false">C56/B56-1</f>
        <v>0.161290322580645</v>
      </c>
      <c r="D57" s="6" t="n">
        <f aca="false">D56/C56-1</f>
        <v>0.111111111111111</v>
      </c>
      <c r="E57" s="6" t="n">
        <f aca="false">E56/D56-1</f>
        <v>0.075</v>
      </c>
      <c r="F57" s="6" t="n">
        <f aca="false">F56/E56-1</f>
        <v>0.069767441860465</v>
      </c>
      <c r="G57" s="6" t="n">
        <f aca="false">G56/F56-1</f>
        <v>0.0618139534883719</v>
      </c>
      <c r="H57" s="6" t="n">
        <f aca="false">H56/G56-1</f>
        <v>0.0538604651162791</v>
      </c>
      <c r="I57" s="6" t="n">
        <f aca="false">I56/H56-1</f>
        <v>0.045906976744186</v>
      </c>
      <c r="J57" s="6" t="n">
        <f aca="false">J56/I56-1</f>
        <v>0.0379534883720929</v>
      </c>
      <c r="K57" s="6" t="n">
        <f aca="false">K56/J56-1</f>
        <v>0.03</v>
      </c>
      <c r="L57" s="28" t="n">
        <v>0.03</v>
      </c>
    </row>
    <row r="58" customFormat="false" ht="15" hidden="false" customHeight="false" outlineLevel="0" collapsed="false">
      <c r="A58" s="0" t="s">
        <v>136</v>
      </c>
      <c r="B58" s="29" t="n">
        <v>0.35</v>
      </c>
      <c r="C58" s="29" t="n">
        <v>0.36</v>
      </c>
      <c r="D58" s="29" t="n">
        <v>0.36</v>
      </c>
      <c r="E58" s="29" t="n">
        <v>0.31</v>
      </c>
      <c r="F58" s="29" t="n">
        <v>0.27</v>
      </c>
      <c r="G58" s="6" t="n">
        <f aca="false">$F58+($L58-$F58)*G$17/5</f>
        <v>0.252</v>
      </c>
      <c r="H58" s="6" t="n">
        <f aca="false">$F58+($L58-$F58)*H$17/5</f>
        <v>0.234</v>
      </c>
      <c r="I58" s="6" t="n">
        <f aca="false">$F58+($L58-$F58)*I$17/5</f>
        <v>0.216</v>
      </c>
      <c r="J58" s="6" t="n">
        <f aca="false">$F58+($L58-$F58)*J$17/5</f>
        <v>0.198</v>
      </c>
      <c r="K58" s="6" t="n">
        <f aca="false">$F58+($L58-$F58)*K$17/5</f>
        <v>0.18</v>
      </c>
      <c r="L58" s="28" t="n">
        <v>0.18</v>
      </c>
    </row>
    <row r="59" customFormat="false" ht="15" hidden="false" customHeight="false" outlineLevel="0" collapsed="false">
      <c r="A59" s="0" t="s">
        <v>137</v>
      </c>
      <c r="B59" s="27" t="n">
        <f aca="false">B56*B58</f>
        <v>2.17</v>
      </c>
      <c r="C59" s="27" t="n">
        <f aca="false">C56*C58</f>
        <v>2.592</v>
      </c>
      <c r="D59" s="27" t="n">
        <f aca="false">D56*D58</f>
        <v>2.88</v>
      </c>
      <c r="E59" s="27" t="n">
        <f aca="false">E56*E58</f>
        <v>2.666</v>
      </c>
      <c r="F59" s="27" t="n">
        <f aca="false">F56*F58</f>
        <v>2.484</v>
      </c>
      <c r="G59" s="27" t="n">
        <f aca="false">G56*G58</f>
        <v>2.46170946976744</v>
      </c>
      <c r="H59" s="27" t="n">
        <f aca="false">H56*H58</f>
        <v>2.40899126630525</v>
      </c>
      <c r="I59" s="27" t="n">
        <f aca="false">I56*I58</f>
        <v>2.32576686677951</v>
      </c>
      <c r="J59" s="27" t="n">
        <f aca="false">J56*J58</f>
        <v>2.21286801313785</v>
      </c>
      <c r="K59" s="27" t="n">
        <f aca="false">K56*K58</f>
        <v>2.07204913957454</v>
      </c>
      <c r="L59" s="27" t="n">
        <f aca="false">L56*L58</f>
        <v>2.13421061376177</v>
      </c>
    </row>
    <row r="60" customFormat="false" ht="15" hidden="false" customHeight="false" outlineLevel="0" collapsed="false">
      <c r="A60" s="0" t="s">
        <v>138</v>
      </c>
      <c r="B60" s="27" t="n">
        <f aca="false">B59*(1-$B$9)</f>
        <v>1.9096</v>
      </c>
      <c r="C60" s="27" t="n">
        <f aca="false">C59*(1-$B$9)</f>
        <v>2.28096</v>
      </c>
      <c r="D60" s="27" t="n">
        <f aca="false">D59*(1-$B$9)</f>
        <v>2.5344</v>
      </c>
      <c r="E60" s="27" t="n">
        <f aca="false">E59*(1-$B$9)</f>
        <v>2.34608</v>
      </c>
      <c r="F60" s="27" t="n">
        <f aca="false">F59*(1-$B$9)</f>
        <v>2.18592</v>
      </c>
      <c r="G60" s="27" t="n">
        <f aca="false">G59*(1-$B$9)</f>
        <v>2.16630433339535</v>
      </c>
      <c r="H60" s="27" t="n">
        <f aca="false">H59*(1-$B$9)</f>
        <v>2.11991231434862</v>
      </c>
      <c r="I60" s="27" t="n">
        <f aca="false">I59*(1-$B$9)</f>
        <v>2.04667484276597</v>
      </c>
      <c r="J60" s="27" t="n">
        <f aca="false">J59*(1-$B$9)</f>
        <v>1.94732385156131</v>
      </c>
      <c r="K60" s="27" t="n">
        <f aca="false">K59*(1-$B$9)</f>
        <v>1.82340324282559</v>
      </c>
      <c r="L60" s="27" t="n">
        <f aca="false">L59*(1-$B$9)</f>
        <v>1.87810534011036</v>
      </c>
    </row>
    <row r="61" customFormat="false" ht="15" hidden="false" customHeight="false" outlineLevel="0" collapsed="false">
      <c r="A61" s="0" t="s">
        <v>139</v>
      </c>
      <c r="B61" s="29" t="n">
        <v>0.07</v>
      </c>
      <c r="C61" s="29" t="n">
        <v>0.06</v>
      </c>
      <c r="D61" s="29" t="n">
        <v>0.05</v>
      </c>
      <c r="E61" s="29" t="n">
        <v>0.04</v>
      </c>
      <c r="F61" s="29" t="n">
        <v>0.03</v>
      </c>
      <c r="G61" s="6" t="n">
        <f aca="false">$F61+($L61-$F61)*G$17/5</f>
        <v>0.03</v>
      </c>
      <c r="H61" s="6" t="n">
        <f aca="false">$F61+($L61-$F61)*H$17/5</f>
        <v>0.03</v>
      </c>
      <c r="I61" s="6" t="n">
        <f aca="false">$F61+($L61-$F61)*I$17/5</f>
        <v>0.03</v>
      </c>
      <c r="J61" s="6" t="n">
        <f aca="false">$F61+($L61-$F61)*J$17/5</f>
        <v>0.03</v>
      </c>
      <c r="K61" s="6" t="n">
        <f aca="false">$F61+($L61-$F61)*K$17/5</f>
        <v>0.03</v>
      </c>
      <c r="L61" s="28" t="n">
        <v>0.03</v>
      </c>
    </row>
    <row r="62" customFormat="false" ht="15" hidden="false" customHeight="false" outlineLevel="0" collapsed="false">
      <c r="A62" s="0" t="s">
        <v>140</v>
      </c>
      <c r="B62" s="27" t="n">
        <f aca="false">B56*B61</f>
        <v>0.434</v>
      </c>
      <c r="C62" s="27" t="n">
        <f aca="false">C56*C61</f>
        <v>0.432</v>
      </c>
      <c r="D62" s="27" t="n">
        <f aca="false">D56*D61</f>
        <v>0.4</v>
      </c>
      <c r="E62" s="27" t="n">
        <f aca="false">E56*E61</f>
        <v>0.344</v>
      </c>
      <c r="F62" s="27" t="n">
        <f aca="false">F56*F61</f>
        <v>0.276</v>
      </c>
      <c r="G62" s="27" t="n">
        <f aca="false">G56*G61</f>
        <v>0.293060651162791</v>
      </c>
      <c r="H62" s="27" t="n">
        <f aca="false">H56*H61</f>
        <v>0.308845034141698</v>
      </c>
      <c r="I62" s="27" t="n">
        <f aca="false">I56*I61</f>
        <v>0.323023175941598</v>
      </c>
      <c r="J62" s="27" t="n">
        <f aca="false">J56*J61</f>
        <v>0.335283032293614</v>
      </c>
      <c r="K62" s="27" t="n">
        <f aca="false">K56*K61</f>
        <v>0.345341523262423</v>
      </c>
      <c r="L62" s="27" t="n">
        <f aca="false">L56*L61</f>
        <v>0.355701768960296</v>
      </c>
    </row>
    <row r="63" customFormat="false" ht="15" hidden="false" customHeight="false" outlineLevel="0" collapsed="false">
      <c r="A63" s="0" t="s">
        <v>141</v>
      </c>
      <c r="B63" s="27" t="n">
        <f aca="false">$B$11*(B56-$B$12)</f>
        <v>0.116</v>
      </c>
      <c r="C63" s="27" t="n">
        <f aca="false">$B$11*(C56-B56)</f>
        <v>0.1</v>
      </c>
      <c r="D63" s="27" t="n">
        <f aca="false">$B$11*(D56-C56)</f>
        <v>0.08</v>
      </c>
      <c r="E63" s="27" t="n">
        <f aca="false">$B$11*(E56-D56)</f>
        <v>0.06</v>
      </c>
      <c r="F63" s="27" t="n">
        <f aca="false">$B$11*(F56-E56)</f>
        <v>0.06</v>
      </c>
      <c r="G63" s="27" t="n">
        <f aca="false">$B$11*(G56-F56)</f>
        <v>0.0568688372093021</v>
      </c>
      <c r="H63" s="27" t="n">
        <f aca="false">$B$11*(H56-G56)</f>
        <v>0.0526146099296916</v>
      </c>
      <c r="I63" s="27" t="n">
        <f aca="false">$B$11*(I56-H56)</f>
        <v>0.0472604726663342</v>
      </c>
      <c r="J63" s="27" t="n">
        <f aca="false">$B$11*(J56-I56)</f>
        <v>0.0408661878400533</v>
      </c>
      <c r="K63" s="27" t="n">
        <f aca="false">$B$11*(K56-J56)</f>
        <v>0.0335283032293615</v>
      </c>
      <c r="L63" s="27" t="n">
        <f aca="false">$B$11*(L56-K56)</f>
        <v>0.0345341523262423</v>
      </c>
    </row>
    <row r="64" customFormat="false" ht="15" hidden="false" customHeight="false" outlineLevel="0" collapsed="false">
      <c r="A64" s="0" t="s">
        <v>142</v>
      </c>
      <c r="B64" s="27" t="n">
        <f aca="false">B60-B62-B63</f>
        <v>1.3596</v>
      </c>
      <c r="C64" s="27" t="n">
        <f aca="false">C60-C62-C63</f>
        <v>1.74896</v>
      </c>
      <c r="D64" s="27" t="n">
        <f aca="false">D60-D62-D63</f>
        <v>2.0544</v>
      </c>
      <c r="E64" s="27" t="n">
        <f aca="false">E60-E62-E63</f>
        <v>1.94208</v>
      </c>
      <c r="F64" s="27" t="n">
        <f aca="false">F60-F62-F63</f>
        <v>1.84992</v>
      </c>
      <c r="G64" s="27" t="n">
        <f aca="false">G60-G62-G63</f>
        <v>1.81637484502326</v>
      </c>
      <c r="H64" s="27" t="n">
        <f aca="false">H60-H62-H63</f>
        <v>1.75845267027723</v>
      </c>
      <c r="I64" s="27" t="n">
        <f aca="false">I60-I62-I63</f>
        <v>1.67639119415803</v>
      </c>
      <c r="J64" s="27" t="n">
        <f aca="false">J60-J62-J63</f>
        <v>1.57117463142764</v>
      </c>
      <c r="K64" s="27" t="n">
        <f aca="false">K60-K62-K63</f>
        <v>1.44453341633381</v>
      </c>
      <c r="L64" s="27" t="n">
        <f aca="false">L60-L62-L63</f>
        <v>1.48786941882382</v>
      </c>
    </row>
    <row r="65" customFormat="false" ht="15" hidden="false" customHeight="false" outlineLevel="0" collapsed="false">
      <c r="A65" s="0" t="s">
        <v>143</v>
      </c>
      <c r="B65" s="30" t="n">
        <f aca="false">1/(1+$B$10)^B$16</f>
        <v>0.951302988308988</v>
      </c>
      <c r="C65" s="30" t="n">
        <f aca="false">1/(1+$B$10)^C$16</f>
        <v>0.860907681727591</v>
      </c>
      <c r="D65" s="30" t="n">
        <f aca="false">1/(1+$B$10)^D$16</f>
        <v>0.77910197441411</v>
      </c>
      <c r="E65" s="30" t="n">
        <f aca="false">1/(1+$B$10)^E$16</f>
        <v>0.705069660103267</v>
      </c>
      <c r="F65" s="30" t="n">
        <f aca="false">1/(1+$B$10)^F$16</f>
        <v>0.638072090591192</v>
      </c>
      <c r="G65" s="30" t="n">
        <f aca="false">1/(1+$B$10)^G$16</f>
        <v>0.577440805964879</v>
      </c>
      <c r="H65" s="30" t="n">
        <f aca="false">1/(1+$B$10)^H$16</f>
        <v>0.522570865126588</v>
      </c>
      <c r="I65" s="30" t="n">
        <f aca="false">1/(1+$B$10)^I$16</f>
        <v>0.47291481006931</v>
      </c>
      <c r="J65" s="30" t="n">
        <f aca="false">1/(1+$B$10)^J$16</f>
        <v>0.427977203682634</v>
      </c>
      <c r="K65" s="30" t="n">
        <f aca="false">1/(1+$B$10)^K$16</f>
        <v>0.387309686590619</v>
      </c>
    </row>
    <row r="66" customFormat="false" ht="15" hidden="false" customHeight="false" outlineLevel="0" collapsed="false">
      <c r="A66" s="0" t="s">
        <v>144</v>
      </c>
      <c r="B66" s="27" t="n">
        <f aca="false">B64*B65</f>
        <v>1.2933915429049</v>
      </c>
      <c r="C66" s="27" t="n">
        <f aca="false">C64*C65</f>
        <v>1.50569309903429</v>
      </c>
      <c r="D66" s="27" t="n">
        <f aca="false">D64*D65</f>
        <v>1.60058709623635</v>
      </c>
      <c r="E66" s="27" t="n">
        <f aca="false">E64*E65</f>
        <v>1.36930168549335</v>
      </c>
      <c r="F66" s="27" t="n">
        <f aca="false">F64*F65</f>
        <v>1.18038232182646</v>
      </c>
      <c r="G66" s="27" t="n">
        <f aca="false">G64*G65</f>
        <v>1.04884895444456</v>
      </c>
      <c r="H66" s="27" t="n">
        <f aca="false">H64*H65</f>
        <v>0.918916133190928</v>
      </c>
      <c r="I66" s="27" t="n">
        <f aca="false">I64*I65</f>
        <v>0.792790223187111</v>
      </c>
      <c r="J66" s="27" t="n">
        <f aca="false">J64*J65</f>
        <v>0.672426925255496</v>
      </c>
      <c r="K66" s="27" t="n">
        <f aca="false">K64*K65</f>
        <v>0.559481784749923</v>
      </c>
      <c r="L66" s="27"/>
    </row>
    <row r="67" customFormat="false" ht="15" hidden="false" customHeight="false" outlineLevel="0" collapsed="false">
      <c r="A67" s="0" t="s">
        <v>145</v>
      </c>
      <c r="B67" s="27" t="n">
        <f aca="false">L64/($B$10-L57)</f>
        <v>19.838258917651</v>
      </c>
      <c r="C67" s="0" t="str">
        <f aca="false">IF($B$10&gt;L57,"","Discount rate must exceed terminal growth")</f>
        <v/>
      </c>
    </row>
    <row r="68" customFormat="false" ht="15" hidden="false" customHeight="false" outlineLevel="0" collapsed="false">
      <c r="A68" s="0" t="s">
        <v>146</v>
      </c>
      <c r="B68" s="27" t="n">
        <f aca="false">B67/(1+$B$10)^$K$16</f>
        <v>7.68354984389894</v>
      </c>
    </row>
    <row r="69" customFormat="false" ht="15" hidden="false" customHeight="false" outlineLevel="0" collapsed="false">
      <c r="A69" s="0" t="s">
        <v>147</v>
      </c>
      <c r="B69" s="27" t="n">
        <f aca="false">SUM(B66:K66)+B68+$B$7+$B$8</f>
        <v>20.1553696102223</v>
      </c>
    </row>
    <row r="70" customFormat="false" ht="15" hidden="false" customHeight="false" outlineLevel="0" collapsed="false">
      <c r="A70" s="0" t="s">
        <v>148</v>
      </c>
      <c r="B70" s="31" t="n">
        <f aca="false">B69/$B$6</f>
        <v>187.544148229481</v>
      </c>
    </row>
    <row r="71" customFormat="false" ht="15" hidden="false" customHeight="false" outlineLevel="0" collapsed="false">
      <c r="A71" s="0" t="s">
        <v>149</v>
      </c>
      <c r="B71" s="6" t="n">
        <f aca="false">B70/$B$4-1</f>
        <v>0.0931057191203639</v>
      </c>
    </row>
    <row r="74" customFormat="false" ht="15" hidden="false" customHeight="false" outlineLevel="0" collapsed="false">
      <c r="A74" s="12" t="s">
        <v>152</v>
      </c>
      <c r="B74" s="26"/>
      <c r="C74" s="12" t="s">
        <v>153</v>
      </c>
      <c r="D74" s="26"/>
      <c r="E74" s="26"/>
      <c r="F74" s="26"/>
      <c r="G74" s="26"/>
      <c r="H74" s="26"/>
      <c r="I74" s="26"/>
      <c r="J74" s="26"/>
      <c r="K74" s="26"/>
      <c r="L74" s="26"/>
    </row>
    <row r="75" customFormat="false" ht="15" hidden="false" customHeight="false" outlineLevel="0" collapsed="false">
      <c r="A75" s="0" t="s">
        <v>154</v>
      </c>
      <c r="B75" s="7" t="n">
        <f aca="false">B34</f>
        <v>72.1833847749812</v>
      </c>
      <c r="C75" s="6" t="n">
        <f aca="false">B75/$B$4-1</f>
        <v>-0.579277351664153</v>
      </c>
    </row>
    <row r="76" customFormat="false" ht="15" hidden="false" customHeight="false" outlineLevel="0" collapsed="false">
      <c r="A76" s="0" t="s">
        <v>155</v>
      </c>
      <c r="B76" s="7" t="n">
        <f aca="false">B52</f>
        <v>125.465175895058</v>
      </c>
      <c r="C76" s="6" t="n">
        <f aca="false">B76/$B$4-1</f>
        <v>-0.268723110712488</v>
      </c>
    </row>
    <row r="77" customFormat="false" ht="15" hidden="false" customHeight="false" outlineLevel="0" collapsed="false">
      <c r="A77" s="0" t="s">
        <v>156</v>
      </c>
      <c r="B77" s="7" t="n">
        <f aca="false">B70</f>
        <v>187.544148229481</v>
      </c>
      <c r="C77" s="6" t="n">
        <f aca="false">B77/$B$4-1</f>
        <v>0.0931057191203639</v>
      </c>
    </row>
    <row r="78" customFormat="false" ht="15" hidden="false" customHeight="false" outlineLevel="0" collapsed="false">
      <c r="A78" s="0" t="s">
        <v>157</v>
      </c>
      <c r="B78" s="7" t="n">
        <f aca="false">INDEX(B34:B70,1+($B$13-1)*18)</f>
        <v>125.465175895058</v>
      </c>
      <c r="C78" s="6" t="n">
        <f aca="false">B78/$B$4-1</f>
        <v>-0.268723110712488</v>
      </c>
    </row>
    <row r="79" customFormat="false" ht="15" hidden="false" customHeight="false" outlineLevel="0" collapsed="false">
      <c r="A79" s="0" t="s">
        <v>158</v>
      </c>
      <c r="B79" s="8" t="n">
        <f aca="false">B50/(SUM(B48:K48)+B50)</f>
        <v>0.320673789894154</v>
      </c>
    </row>
    <row r="81" customFormat="false" ht="15" hidden="false" customHeight="false" outlineLevel="0" collapsed="false">
      <c r="A81" s="9" t="s">
        <v>159</v>
      </c>
    </row>
    <row r="82" customFormat="false" ht="15" hidden="false" customHeight="false" outlineLevel="0" collapsed="false">
      <c r="A82" s="0" t="s">
        <v>5</v>
      </c>
      <c r="B82" s="11" t="n">
        <v>0.05</v>
      </c>
      <c r="C82" s="11" t="n">
        <v>0.06</v>
      </c>
      <c r="D82" s="11" t="n">
        <v>0.07</v>
      </c>
      <c r="E82" s="11" t="n">
        <v>0.08</v>
      </c>
      <c r="F82" s="11" t="n">
        <v>0.09</v>
      </c>
      <c r="G82" s="11" t="n">
        <v>0.1</v>
      </c>
      <c r="H82" s="11" t="n">
        <v>0.11</v>
      </c>
      <c r="I82" s="11" t="n">
        <v>0.12</v>
      </c>
      <c r="J82" s="11" t="n">
        <v>0.13</v>
      </c>
      <c r="K82" s="11" t="n">
        <v>0.14</v>
      </c>
    </row>
    <row r="83" customFormat="false" ht="15" hidden="false" customHeight="false" outlineLevel="0" collapsed="false">
      <c r="A83" s="0" t="s">
        <v>155</v>
      </c>
      <c r="B83" s="7" t="n">
        <f aca="false">IF(B82&gt;$L39,(SUMPRODUCT($B46:$K46/(1+B82)^$B$16:$K$16)+$L46/(B82-$L39)/(1+B82)^$K$16+$B$7+$B$8)/$B$6,"n/a")</f>
        <v>291.769587008621</v>
      </c>
      <c r="C83" s="7" t="n">
        <f aca="false">IF(C82&gt;$L39,(SUMPRODUCT($B46:$K46/(1+C82)^$B$16:$K$16)+$L46/(C82-$L39)/(1+C82)^$K$16+$B$7+$B$8)/$B$6,"n/a")</f>
        <v>223.946592470086</v>
      </c>
      <c r="D83" s="7" t="n">
        <f aca="false">IF(D82&gt;$L39,(SUMPRODUCT($B46:$K46/(1+D82)^$B$16:$K$16)+$L46/(D82-$L39)/(1+D82)^$K$16+$B$7+$B$8)/$B$6,"n/a")</f>
        <v>185.781413046447</v>
      </c>
      <c r="E83" s="7" t="n">
        <f aca="false">IF(E82&gt;$L39,(SUMPRODUCT($B46:$K46/(1+E82)^$B$16:$K$16)+$L46/(E82-$L39)/(1+E82)^$K$16+$B$7+$B$8)/$B$6,"n/a")</f>
        <v>161.126381347127</v>
      </c>
      <c r="F83" s="7" t="n">
        <f aca="false">IF(F82&gt;$L39,(SUMPRODUCT($B46:$K46/(1+F82)^$B$16:$K$16)+$L46/(F82-$L39)/(1+F82)^$K$16+$B$7+$B$8)/$B$6,"n/a")</f>
        <v>143.76872298511</v>
      </c>
      <c r="G83" s="7" t="n">
        <f aca="false">IF(G82&gt;$L39,(SUMPRODUCT($B46:$K46/(1+G82)^$B$16:$K$16)+$L46/(G82-$L39)/(1+G82)^$K$16+$B$7+$B$8)/$B$6,"n/a")</f>
        <v>130.807473417064</v>
      </c>
      <c r="H83" s="7" t="n">
        <f aca="false">IF(H82&gt;$L39,(SUMPRODUCT($B46:$K46/(1+H82)^$B$16:$K$16)+$L46/(H82-$L39)/(1+H82)^$K$16+$B$7+$B$8)/$B$6,"n/a")</f>
        <v>120.705495484594</v>
      </c>
      <c r="I83" s="7" t="n">
        <f aca="false">IF(I82&gt;$L39,(SUMPRODUCT($B46:$K46/(1+I82)^$B$16:$K$16)+$L46/(I82-$L39)/(1+I82)^$K$16+$B$7+$B$8)/$B$6,"n/a")</f>
        <v>112.571788357107</v>
      </c>
      <c r="J83" s="7" t="n">
        <f aca="false">IF(J82&gt;$L39,(SUMPRODUCT($B46:$K46/(1+J82)^$B$16:$K$16)+$L46/(J82-$L39)/(1+J82)^$K$16+$B$7+$B$8)/$B$6,"n/a")</f>
        <v>105.853894989508</v>
      </c>
      <c r="K83" s="7" t="n">
        <f aca="false">IF(K82&gt;$L39,(SUMPRODUCT($B46:$K46/(1+K82)^$B$16:$K$16)+$L46/(K82-$L39)/(1+K82)^$K$16+$B$7+$B$8)/$B$6,"n/a")</f>
        <v>100.19078401712</v>
      </c>
    </row>
    <row r="84" customFormat="false" ht="15" hidden="false" customHeight="false" outlineLevel="0" collapsed="false">
      <c r="A84" s="0" t="s">
        <v>160</v>
      </c>
      <c r="B84" s="6" t="n">
        <f aca="false">IFERROR(B83/$B$4-1,"n/a")</f>
        <v>0.700586273874341</v>
      </c>
      <c r="C84" s="6" t="n">
        <f aca="false">IFERROR(C83/$B$4-1,"n/a")</f>
        <v>0.305278268170927</v>
      </c>
      <c r="D84" s="6" t="n">
        <f aca="false">IFERROR(D83/$B$4-1,"n/a")</f>
        <v>0.0828315733895637</v>
      </c>
      <c r="E84" s="6" t="n">
        <f aca="false">IFERROR(E83/$B$4-1,"n/a")</f>
        <v>-0.0608708903239061</v>
      </c>
      <c r="F84" s="6" t="n">
        <f aca="false">IFERROR(F83/$B$4-1,"n/a")</f>
        <v>-0.162040432563329</v>
      </c>
      <c r="G84" s="6" t="n">
        <f aca="false">IFERROR(G83/$B$4-1,"n/a")</f>
        <v>-0.237585397114509</v>
      </c>
      <c r="H84" s="6" t="n">
        <f aca="false">IFERROR(H83/$B$4-1,"n/a")</f>
        <v>-0.296465026026732</v>
      </c>
      <c r="I84" s="6" t="n">
        <f aca="false">IFERROR(I83/$B$4-1,"n/a")</f>
        <v>-0.343872539738261</v>
      </c>
      <c r="J84" s="6" t="n">
        <f aca="false">IFERROR(J83/$B$4-1,"n/a")</f>
        <v>-0.383027947837572</v>
      </c>
      <c r="K84" s="6" t="n">
        <f aca="false">IFERROR(K83/$B$4-1,"n/a")</f>
        <v>-0.416035530587398</v>
      </c>
    </row>
    <row r="86" customFormat="false" ht="15" hidden="false" customHeight="false" outlineLevel="0" collapsed="false">
      <c r="A86" s="9" t="s">
        <v>161</v>
      </c>
      <c r="B86" s="18" t="n">
        <f aca="false">IFERROR(IF(MATCH($B$4,$B$83:$K$83,-1)=10,"above 14%",INDEX($B$82:$K$82,MATCH($B$4,$B$83:$K$83,-1))+(INDEX($B$83:$K$83,MATCH($B$4,$B$83:$K$83,-1))-$B$4)/(INDEX($B$83:$K$83,MATCH($B$4,$B$83:$K$83,-1))-INDEX($B$83:$K$83,MATCH($B$4,$B$83:$K$83,-1)+1))*(INDEX($B$82:$K$82,MATCH($B$4,$B$83:$K$83,-1)+1)-INDEX($B$82:$K$82,MATCH($B$4,$B$83:$K$83,-1)))),"below 5%")</f>
        <v>0.0757641025246946</v>
      </c>
      <c r="C86" s="2" t="s">
        <v>162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12" min="2" style="0" width="11"/>
  </cols>
  <sheetData>
    <row r="1" customFormat="false" ht="16.15" hidden="false" customHeight="false" outlineLevel="0" collapsed="false">
      <c r="A1" s="1" t="s">
        <v>229</v>
      </c>
    </row>
    <row r="2" customFormat="false" ht="15" hidden="false" customHeight="false" outlineLevel="0" collapsed="false">
      <c r="A2" s="2" t="s">
        <v>230</v>
      </c>
    </row>
    <row r="4" customFormat="false" ht="15" hidden="false" customHeight="false" outlineLevel="0" collapsed="false">
      <c r="A4" s="0" t="s">
        <v>101</v>
      </c>
      <c r="B4" s="19" t="n">
        <v>332.07</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231</v>
      </c>
      <c r="B6" s="19" t="n">
        <v>109.96</v>
      </c>
      <c r="C6" s="2" t="s">
        <v>232</v>
      </c>
    </row>
    <row r="7" customFormat="false" ht="15" hidden="false" customHeight="false" outlineLevel="0" collapsed="false">
      <c r="A7" s="0" t="s">
        <v>233</v>
      </c>
      <c r="B7" s="11" t="n">
        <v>0.6</v>
      </c>
      <c r="C7" s="2" t="s">
        <v>45</v>
      </c>
    </row>
    <row r="8" customFormat="false" ht="15" hidden="false" customHeight="false" outlineLevel="0" collapsed="false">
      <c r="A8" s="0" t="s">
        <v>234</v>
      </c>
      <c r="B8" s="5" t="n">
        <f aca="false">WACC!B40</f>
        <v>0.1</v>
      </c>
      <c r="C8" s="2" t="s">
        <v>113</v>
      </c>
    </row>
    <row r="9" customFormat="false" ht="15" hidden="false" customHeight="false" outlineLevel="0" collapsed="false">
      <c r="A9" s="0" t="s">
        <v>117</v>
      </c>
      <c r="B9" s="10" t="n">
        <v>2</v>
      </c>
      <c r="C9" s="2" t="s">
        <v>118</v>
      </c>
    </row>
    <row r="11" customFormat="false" ht="15" hidden="false" customHeight="false" outlineLevel="0" collapsed="false">
      <c r="A11" s="9" t="s">
        <v>119</v>
      </c>
      <c r="B11" s="9" t="s">
        <v>120</v>
      </c>
      <c r="C11" s="9" t="s">
        <v>121</v>
      </c>
      <c r="D11" s="9" t="s">
        <v>122</v>
      </c>
      <c r="E11" s="9" t="s">
        <v>123</v>
      </c>
      <c r="F11" s="9" t="s">
        <v>124</v>
      </c>
      <c r="G11" s="9" t="s">
        <v>125</v>
      </c>
      <c r="H11" s="9" t="s">
        <v>126</v>
      </c>
      <c r="I11" s="9" t="s">
        <v>127</v>
      </c>
      <c r="J11" s="9" t="s">
        <v>128</v>
      </c>
      <c r="K11" s="9" t="s">
        <v>129</v>
      </c>
      <c r="L11" s="9" t="s">
        <v>130</v>
      </c>
    </row>
    <row r="12" customFormat="false" ht="15" hidden="false" customHeight="false" outlineLevel="0" collapsed="false">
      <c r="A12" s="0" t="s">
        <v>235</v>
      </c>
      <c r="B12" s="0" t="n">
        <v>1</v>
      </c>
      <c r="C12" s="0" t="n">
        <v>2</v>
      </c>
      <c r="D12" s="0" t="n">
        <v>3</v>
      </c>
      <c r="E12" s="0" t="n">
        <v>4</v>
      </c>
      <c r="F12" s="0" t="n">
        <v>5</v>
      </c>
      <c r="G12" s="0" t="n">
        <v>6</v>
      </c>
      <c r="H12" s="0" t="n">
        <v>7</v>
      </c>
      <c r="I12" s="0" t="n">
        <v>8</v>
      </c>
      <c r="J12" s="0" t="n">
        <v>9</v>
      </c>
      <c r="K12" s="0" t="n">
        <v>10</v>
      </c>
    </row>
    <row r="13" customFormat="false" ht="15" hidden="false" customHeight="false" outlineLevel="0" collapsed="false">
      <c r="A13" s="0" t="s">
        <v>132</v>
      </c>
      <c r="B13" s="0" t="n">
        <v>0</v>
      </c>
      <c r="C13" s="0" t="n">
        <v>0</v>
      </c>
      <c r="D13" s="0" t="n">
        <v>0</v>
      </c>
      <c r="E13" s="0" t="n">
        <v>0</v>
      </c>
      <c r="F13" s="0" t="n">
        <v>0</v>
      </c>
      <c r="G13" s="0" t="n">
        <v>1</v>
      </c>
      <c r="H13" s="0" t="n">
        <v>2</v>
      </c>
      <c r="I13" s="0" t="n">
        <v>3</v>
      </c>
      <c r="J13" s="0" t="n">
        <v>4</v>
      </c>
      <c r="K13" s="0" t="n">
        <v>5</v>
      </c>
    </row>
    <row r="15" customFormat="false" ht="15" hidden="false" customHeight="false" outlineLevel="0" collapsed="false">
      <c r="A15" s="12" t="s">
        <v>236</v>
      </c>
      <c r="B15" s="26"/>
      <c r="C15" s="26"/>
      <c r="D15" s="26"/>
      <c r="E15" s="26"/>
      <c r="F15" s="26"/>
      <c r="G15" s="26"/>
      <c r="H15" s="26"/>
      <c r="I15" s="26"/>
      <c r="J15" s="26"/>
      <c r="K15" s="26"/>
      <c r="L15" s="26"/>
    </row>
    <row r="16" customFormat="false" ht="15" hidden="false" customHeight="false" outlineLevel="0" collapsed="false">
      <c r="A16" s="0" t="s">
        <v>237</v>
      </c>
      <c r="B16" s="11" t="n">
        <v>0.17</v>
      </c>
      <c r="C16" s="11" t="n">
        <v>0.13</v>
      </c>
      <c r="D16" s="11" t="n">
        <v>0.12</v>
      </c>
      <c r="E16" s="11" t="n">
        <v>0.14</v>
      </c>
      <c r="F16" s="11" t="n">
        <v>0.15</v>
      </c>
      <c r="G16" s="8" t="n">
        <f aca="false">$F16+($L16-$F16)*G$13/5</f>
        <v>0.148</v>
      </c>
      <c r="H16" s="8" t="n">
        <f aca="false">$F16+($L16-$F16)*H$13/5</f>
        <v>0.146</v>
      </c>
      <c r="I16" s="8" t="n">
        <f aca="false">$F16+($L16-$F16)*I$13/5</f>
        <v>0.144</v>
      </c>
      <c r="J16" s="8" t="n">
        <f aca="false">$F16+($L16-$F16)*J$13/5</f>
        <v>0.142</v>
      </c>
      <c r="K16" s="8" t="n">
        <f aca="false">$F16+($L16-$F16)*K$13/5</f>
        <v>0.14</v>
      </c>
      <c r="L16" s="17" t="n">
        <v>0.14</v>
      </c>
    </row>
    <row r="17" customFormat="false" ht="15" hidden="false" customHeight="false" outlineLevel="0" collapsed="false">
      <c r="A17" s="0" t="s">
        <v>238</v>
      </c>
      <c r="B17" s="32" t="n">
        <f aca="false">$B$6</f>
        <v>109.96</v>
      </c>
      <c r="C17" s="32" t="n">
        <f aca="false">B17+B19</f>
        <v>117.43728</v>
      </c>
      <c r="D17" s="32" t="n">
        <f aca="false">C17+C19</f>
        <v>123.54401856</v>
      </c>
      <c r="E17" s="32" t="n">
        <f aca="false">D17+D19</f>
        <v>129.47413145088</v>
      </c>
      <c r="F17" s="32" t="n">
        <f aca="false">E17+E19</f>
        <v>136.724682812129</v>
      </c>
      <c r="G17" s="32" t="n">
        <f aca="false">F17+F19</f>
        <v>144.928163780857</v>
      </c>
      <c r="H17" s="32" t="n">
        <f aca="false">G17+G19</f>
        <v>153.507911076684</v>
      </c>
      <c r="I17" s="32" t="n">
        <f aca="false">H17+H19</f>
        <v>162.472773083562</v>
      </c>
      <c r="J17" s="32" t="n">
        <f aca="false">I17+I19</f>
        <v>171.831204813175</v>
      </c>
      <c r="K17" s="32" t="n">
        <f aca="false">J17+J19</f>
        <v>181.591217246564</v>
      </c>
      <c r="L17" s="32" t="n">
        <f aca="false">K17+K19</f>
        <v>191.760325412371</v>
      </c>
    </row>
    <row r="18" customFormat="false" ht="15" hidden="false" customHeight="false" outlineLevel="0" collapsed="false">
      <c r="A18" s="0" t="s">
        <v>239</v>
      </c>
      <c r="B18" s="32" t="n">
        <f aca="false">B16*B17</f>
        <v>18.6932</v>
      </c>
      <c r="C18" s="32" t="n">
        <f aca="false">C16*C17</f>
        <v>15.2668464</v>
      </c>
      <c r="D18" s="32" t="n">
        <f aca="false">D16*D17</f>
        <v>14.8252822272</v>
      </c>
      <c r="E18" s="32" t="n">
        <f aca="false">E16*E17</f>
        <v>18.1263784031232</v>
      </c>
      <c r="F18" s="32" t="n">
        <f aca="false">F16*F17</f>
        <v>20.5087024218194</v>
      </c>
      <c r="G18" s="32" t="n">
        <f aca="false">G16*G17</f>
        <v>21.4493682395668</v>
      </c>
      <c r="H18" s="32" t="n">
        <f aca="false">H16*H17</f>
        <v>22.4121550171958</v>
      </c>
      <c r="I18" s="32" t="n">
        <f aca="false">I16*I17</f>
        <v>23.3960793240329</v>
      </c>
      <c r="J18" s="32" t="n">
        <f aca="false">J16*J17</f>
        <v>24.4000310834709</v>
      </c>
      <c r="K18" s="32" t="n">
        <f aca="false">K16*K17</f>
        <v>25.4227704145189</v>
      </c>
      <c r="L18" s="32"/>
    </row>
    <row r="19" customFormat="false" ht="15" hidden="false" customHeight="false" outlineLevel="0" collapsed="false">
      <c r="A19" s="0" t="s">
        <v>240</v>
      </c>
      <c r="B19" s="32" t="n">
        <f aca="false">B18*(1-$B$7)</f>
        <v>7.47728</v>
      </c>
      <c r="C19" s="32" t="n">
        <f aca="false">C18*(1-$B$7)</f>
        <v>6.10673856</v>
      </c>
      <c r="D19" s="32" t="n">
        <f aca="false">D18*(1-$B$7)</f>
        <v>5.93011289088</v>
      </c>
      <c r="E19" s="32" t="n">
        <f aca="false">E18*(1-$B$7)</f>
        <v>7.25055136124928</v>
      </c>
      <c r="F19" s="32" t="n">
        <f aca="false">F18*(1-$B$7)</f>
        <v>8.20348096872776</v>
      </c>
      <c r="G19" s="32" t="n">
        <f aca="false">G18*(1-$B$7)</f>
        <v>8.57974729582674</v>
      </c>
      <c r="H19" s="32" t="n">
        <f aca="false">H18*(1-$B$7)</f>
        <v>8.96486200687833</v>
      </c>
      <c r="I19" s="32" t="n">
        <f aca="false">I18*(1-$B$7)</f>
        <v>9.35843172961318</v>
      </c>
      <c r="J19" s="32" t="n">
        <f aca="false">J18*(1-$B$7)</f>
        <v>9.76001243338836</v>
      </c>
      <c r="K19" s="32" t="n">
        <f aca="false">K18*(1-$B$7)</f>
        <v>10.1691081658076</v>
      </c>
      <c r="L19" s="32"/>
    </row>
    <row r="20" customFormat="false" ht="15" hidden="false" customHeight="false" outlineLevel="0" collapsed="false">
      <c r="A20" s="0" t="s">
        <v>241</v>
      </c>
      <c r="B20" s="32" t="n">
        <f aca="false">(B16-$B$8)*B17</f>
        <v>7.6972</v>
      </c>
      <c r="C20" s="32" t="n">
        <f aca="false">(C16-$B$8)*C17</f>
        <v>3.5231184</v>
      </c>
      <c r="D20" s="32" t="n">
        <f aca="false">(D16-$B$8)*D17</f>
        <v>2.4708803712</v>
      </c>
      <c r="E20" s="32" t="n">
        <f aca="false">(E16-$B$8)*E17</f>
        <v>5.1789652580352</v>
      </c>
      <c r="F20" s="32" t="n">
        <f aca="false">(F16-$B$8)*F17</f>
        <v>6.83623414060646</v>
      </c>
      <c r="G20" s="32" t="n">
        <f aca="false">(G16-$B$8)*G17</f>
        <v>6.95655186148114</v>
      </c>
      <c r="H20" s="32" t="n">
        <f aca="false">(H16-$B$8)*H17</f>
        <v>7.06136390952745</v>
      </c>
      <c r="I20" s="32" t="n">
        <f aca="false">(I16-$B$8)*I17</f>
        <v>7.14880201567673</v>
      </c>
      <c r="J20" s="32" t="n">
        <f aca="false">(J16-$B$8)*J17</f>
        <v>7.21691060215336</v>
      </c>
      <c r="K20" s="32" t="n">
        <f aca="false">(K16-$B$8)*K17</f>
        <v>7.26364868986255</v>
      </c>
      <c r="L20" s="32" t="n">
        <f aca="false">(L16-$B$8)*L17</f>
        <v>7.67041301649485</v>
      </c>
    </row>
    <row r="21" customFormat="false" ht="15" hidden="false" customHeight="false" outlineLevel="0" collapsed="false">
      <c r="A21" s="0" t="s">
        <v>143</v>
      </c>
      <c r="B21" s="30" t="n">
        <f aca="false">1/(1+$B$8)^B$12</f>
        <v>0.909090909090909</v>
      </c>
      <c r="C21" s="30" t="n">
        <f aca="false">1/(1+$B$8)^C$12</f>
        <v>0.826446280991735</v>
      </c>
      <c r="D21" s="30" t="n">
        <f aca="false">1/(1+$B$8)^D$12</f>
        <v>0.751314800901578</v>
      </c>
      <c r="E21" s="30" t="n">
        <f aca="false">1/(1+$B$8)^E$12</f>
        <v>0.683013455365071</v>
      </c>
      <c r="F21" s="30" t="n">
        <f aca="false">1/(1+$B$8)^F$12</f>
        <v>0.620921323059155</v>
      </c>
      <c r="G21" s="30" t="n">
        <f aca="false">1/(1+$B$8)^G$12</f>
        <v>0.564473930053777</v>
      </c>
      <c r="H21" s="30" t="n">
        <f aca="false">1/(1+$B$8)^H$12</f>
        <v>0.513158118230707</v>
      </c>
      <c r="I21" s="30" t="n">
        <f aca="false">1/(1+$B$8)^I$12</f>
        <v>0.466507380209733</v>
      </c>
      <c r="J21" s="30" t="n">
        <f aca="false">1/(1+$B$8)^J$12</f>
        <v>0.424097618372485</v>
      </c>
      <c r="K21" s="30" t="n">
        <f aca="false">1/(1+$B$8)^K$12</f>
        <v>0.385543289429531</v>
      </c>
      <c r="L21" s="30"/>
    </row>
    <row r="22" customFormat="false" ht="15" hidden="false" customHeight="false" outlineLevel="0" collapsed="false">
      <c r="A22" s="0" t="s">
        <v>242</v>
      </c>
      <c r="B22" s="32" t="n">
        <f aca="false">B20*B21</f>
        <v>6.99745454545455</v>
      </c>
      <c r="C22" s="32" t="n">
        <f aca="false">C20*C21</f>
        <v>2.91166809917355</v>
      </c>
      <c r="D22" s="32" t="n">
        <f aca="false">D20*D21</f>
        <v>1.85640899413974</v>
      </c>
      <c r="E22" s="32" t="n">
        <f aca="false">E20*E21</f>
        <v>3.53730295610628</v>
      </c>
      <c r="F22" s="32" t="n">
        <f aca="false">F20*F21</f>
        <v>4.24476354732753</v>
      </c>
      <c r="G22" s="32" t="n">
        <f aca="false">G20*G21</f>
        <v>3.92679216887318</v>
      </c>
      <c r="H22" s="32" t="n">
        <f aca="false">H20*H21</f>
        <v>3.62359621595533</v>
      </c>
      <c r="I22" s="32" t="n">
        <f aca="false">I20*I21</f>
        <v>3.33496889997141</v>
      </c>
      <c r="J22" s="32" t="n">
        <f aca="false">J20*J21</f>
        <v>3.06067459838037</v>
      </c>
      <c r="K22" s="32" t="n">
        <f aca="false">K20*K21</f>
        <v>2.80045100915011</v>
      </c>
      <c r="L22" s="32"/>
    </row>
    <row r="23" customFormat="false" ht="15" hidden="false" customHeight="false" outlineLevel="0" collapsed="false">
      <c r="A23" s="0" t="s">
        <v>243</v>
      </c>
      <c r="B23" s="11" t="n">
        <v>0.035</v>
      </c>
    </row>
    <row r="24" customFormat="false" ht="15" hidden="false" customHeight="false" outlineLevel="0" collapsed="false">
      <c r="A24" s="0" t="s">
        <v>244</v>
      </c>
      <c r="B24" s="7" t="n">
        <f aca="false">L20/($B$8-B23)/(1+$B$8)^$K$12</f>
        <v>45.4965579332695</v>
      </c>
    </row>
    <row r="25" customFormat="false" ht="15" hidden="false" customHeight="false" outlineLevel="0" collapsed="false">
      <c r="A25" s="0" t="s">
        <v>245</v>
      </c>
      <c r="B25" s="31" t="n">
        <f aca="false">$B$6+SUM(B22:K22)+B24</f>
        <v>191.750638967802</v>
      </c>
    </row>
    <row r="26" customFormat="false" ht="15" hidden="false" customHeight="false" outlineLevel="0" collapsed="false">
      <c r="A26" s="0" t="s">
        <v>149</v>
      </c>
      <c r="B26" s="6" t="n">
        <f aca="false">B25/$B$4-1</f>
        <v>-0.422559583919651</v>
      </c>
    </row>
    <row r="27" customFormat="false" ht="15" hidden="false" customHeight="false" outlineLevel="0" collapsed="false">
      <c r="A27" s="12" t="s">
        <v>246</v>
      </c>
      <c r="B27" s="26"/>
      <c r="C27" s="26"/>
      <c r="D27" s="26"/>
      <c r="E27" s="26"/>
      <c r="F27" s="26"/>
      <c r="G27" s="26"/>
      <c r="H27" s="26"/>
      <c r="I27" s="26"/>
      <c r="J27" s="26"/>
      <c r="K27" s="26"/>
      <c r="L27" s="26"/>
    </row>
    <row r="28" customFormat="false" ht="15" hidden="false" customHeight="false" outlineLevel="0" collapsed="false">
      <c r="A28" s="0" t="s">
        <v>237</v>
      </c>
      <c r="B28" s="11" t="n">
        <v>0.2</v>
      </c>
      <c r="C28" s="11" t="n">
        <v>0.19</v>
      </c>
      <c r="D28" s="11" t="n">
        <v>0.18</v>
      </c>
      <c r="E28" s="11" t="n">
        <v>0.17</v>
      </c>
      <c r="F28" s="11" t="n">
        <v>0.17</v>
      </c>
      <c r="G28" s="8" t="n">
        <f aca="false">$F28+($L28-$F28)*G$13/5</f>
        <v>0.168</v>
      </c>
      <c r="H28" s="8" t="n">
        <f aca="false">$F28+($L28-$F28)*H$13/5</f>
        <v>0.166</v>
      </c>
      <c r="I28" s="8" t="n">
        <f aca="false">$F28+($L28-$F28)*I$13/5</f>
        <v>0.164</v>
      </c>
      <c r="J28" s="8" t="n">
        <f aca="false">$F28+($L28-$F28)*J$13/5</f>
        <v>0.162</v>
      </c>
      <c r="K28" s="8" t="n">
        <f aca="false">$F28+($L28-$F28)*K$13/5</f>
        <v>0.16</v>
      </c>
      <c r="L28" s="17" t="n">
        <v>0.16</v>
      </c>
    </row>
    <row r="29" customFormat="false" ht="15" hidden="false" customHeight="false" outlineLevel="0" collapsed="false">
      <c r="A29" s="0" t="s">
        <v>238</v>
      </c>
      <c r="B29" s="32" t="n">
        <f aca="false">$B$6</f>
        <v>109.96</v>
      </c>
      <c r="C29" s="32" t="n">
        <f aca="false">B29+B31</f>
        <v>118.7568</v>
      </c>
      <c r="D29" s="32" t="n">
        <f aca="false">C29+C31</f>
        <v>127.7823168</v>
      </c>
      <c r="E29" s="32" t="n">
        <f aca="false">D29+D31</f>
        <v>136.9826436096</v>
      </c>
      <c r="F29" s="32" t="n">
        <f aca="false">E29+E31</f>
        <v>146.297463375053</v>
      </c>
      <c r="G29" s="32" t="n">
        <f aca="false">F29+F31</f>
        <v>156.245690884556</v>
      </c>
      <c r="H29" s="32" t="n">
        <f aca="false">G29+G31</f>
        <v>166.745401311999</v>
      </c>
      <c r="I29" s="32" t="n">
        <f aca="false">H29+H31</f>
        <v>177.817295959115</v>
      </c>
      <c r="J29" s="32" t="n">
        <f aca="false">I29+I31</f>
        <v>189.482110574033</v>
      </c>
      <c r="K29" s="32" t="n">
        <f aca="false">J29+J31</f>
        <v>201.760551339231</v>
      </c>
      <c r="L29" s="32" t="n">
        <f aca="false">K29+K31</f>
        <v>214.673226624941</v>
      </c>
    </row>
    <row r="30" customFormat="false" ht="15" hidden="false" customHeight="false" outlineLevel="0" collapsed="false">
      <c r="A30" s="0" t="s">
        <v>239</v>
      </c>
      <c r="B30" s="32" t="n">
        <f aca="false">B28*B29</f>
        <v>21.992</v>
      </c>
      <c r="C30" s="32" t="n">
        <f aca="false">C28*C29</f>
        <v>22.563792</v>
      </c>
      <c r="D30" s="32" t="n">
        <f aca="false">D28*D29</f>
        <v>23.000817024</v>
      </c>
      <c r="E30" s="32" t="n">
        <f aca="false">E28*E29</f>
        <v>23.287049413632</v>
      </c>
      <c r="F30" s="32" t="n">
        <f aca="false">F28*F29</f>
        <v>24.870568773759</v>
      </c>
      <c r="G30" s="32" t="n">
        <f aca="false">G28*G29</f>
        <v>26.2492760686055</v>
      </c>
      <c r="H30" s="32" t="n">
        <f aca="false">H28*H29</f>
        <v>27.6797366177918</v>
      </c>
      <c r="I30" s="32" t="n">
        <f aca="false">I28*I29</f>
        <v>29.1620365372949</v>
      </c>
      <c r="J30" s="32" t="n">
        <f aca="false">J28*J29</f>
        <v>30.6961019129934</v>
      </c>
      <c r="K30" s="32" t="n">
        <f aca="false">K28*K29</f>
        <v>32.2816882142769</v>
      </c>
      <c r="L30" s="32"/>
    </row>
    <row r="31" customFormat="false" ht="15" hidden="false" customHeight="false" outlineLevel="0" collapsed="false">
      <c r="A31" s="0" t="s">
        <v>240</v>
      </c>
      <c r="B31" s="32" t="n">
        <f aca="false">B30*(1-$B$7)</f>
        <v>8.7968</v>
      </c>
      <c r="C31" s="32" t="n">
        <f aca="false">C30*(1-$B$7)</f>
        <v>9.0255168</v>
      </c>
      <c r="D31" s="32" t="n">
        <f aca="false">D30*(1-$B$7)</f>
        <v>9.2003268096</v>
      </c>
      <c r="E31" s="32" t="n">
        <f aca="false">E30*(1-$B$7)</f>
        <v>9.3148197654528</v>
      </c>
      <c r="F31" s="32" t="n">
        <f aca="false">F30*(1-$B$7)</f>
        <v>9.94822750950359</v>
      </c>
      <c r="G31" s="32" t="n">
        <f aca="false">G30*(1-$B$7)</f>
        <v>10.4997104274422</v>
      </c>
      <c r="H31" s="32" t="n">
        <f aca="false">H30*(1-$B$7)</f>
        <v>11.0718946471167</v>
      </c>
      <c r="I31" s="32" t="n">
        <f aca="false">I30*(1-$B$7)</f>
        <v>11.664814614918</v>
      </c>
      <c r="J31" s="32" t="n">
        <f aca="false">J30*(1-$B$7)</f>
        <v>12.2784407651974</v>
      </c>
      <c r="K31" s="32" t="n">
        <f aca="false">K30*(1-$B$7)</f>
        <v>12.9126752857108</v>
      </c>
      <c r="L31" s="32"/>
    </row>
    <row r="32" customFormat="false" ht="15" hidden="false" customHeight="false" outlineLevel="0" collapsed="false">
      <c r="A32" s="0" t="s">
        <v>241</v>
      </c>
      <c r="B32" s="32" t="n">
        <f aca="false">(B28-$B$8)*B29</f>
        <v>10.996</v>
      </c>
      <c r="C32" s="32" t="n">
        <f aca="false">(C28-$B$8)*C29</f>
        <v>10.688112</v>
      </c>
      <c r="D32" s="32" t="n">
        <f aca="false">(D28-$B$8)*D29</f>
        <v>10.222585344</v>
      </c>
      <c r="E32" s="32" t="n">
        <f aca="false">(E28-$B$8)*E29</f>
        <v>9.588785052672</v>
      </c>
      <c r="F32" s="32" t="n">
        <f aca="false">(F28-$B$8)*F29</f>
        <v>10.2408224362537</v>
      </c>
      <c r="G32" s="32" t="n">
        <f aca="false">(G28-$B$8)*G29</f>
        <v>10.6247069801498</v>
      </c>
      <c r="H32" s="32" t="n">
        <f aca="false">(H28-$B$8)*H29</f>
        <v>11.0051964865919</v>
      </c>
      <c r="I32" s="32" t="n">
        <f aca="false">(I28-$B$8)*I29</f>
        <v>11.3803069413834</v>
      </c>
      <c r="J32" s="32" t="n">
        <f aca="false">(J28-$B$8)*J29</f>
        <v>11.7478908555901</v>
      </c>
      <c r="K32" s="32" t="n">
        <f aca="false">(K28-$B$8)*K29</f>
        <v>12.1056330803538</v>
      </c>
      <c r="L32" s="32" t="n">
        <f aca="false">(L28-$B$8)*L29</f>
        <v>12.8803935974965</v>
      </c>
    </row>
    <row r="33" customFormat="false" ht="15" hidden="false" customHeight="false" outlineLevel="0" collapsed="false">
      <c r="A33" s="0" t="s">
        <v>143</v>
      </c>
      <c r="B33" s="30" t="n">
        <f aca="false">1/(1+$B$8)^B$12</f>
        <v>0.909090909090909</v>
      </c>
      <c r="C33" s="30" t="n">
        <f aca="false">1/(1+$B$8)^C$12</f>
        <v>0.826446280991735</v>
      </c>
      <c r="D33" s="30" t="n">
        <f aca="false">1/(1+$B$8)^D$12</f>
        <v>0.751314800901578</v>
      </c>
      <c r="E33" s="30" t="n">
        <f aca="false">1/(1+$B$8)^E$12</f>
        <v>0.683013455365071</v>
      </c>
      <c r="F33" s="30" t="n">
        <f aca="false">1/(1+$B$8)^F$12</f>
        <v>0.620921323059155</v>
      </c>
      <c r="G33" s="30" t="n">
        <f aca="false">1/(1+$B$8)^G$12</f>
        <v>0.564473930053777</v>
      </c>
      <c r="H33" s="30" t="n">
        <f aca="false">1/(1+$B$8)^H$12</f>
        <v>0.513158118230707</v>
      </c>
      <c r="I33" s="30" t="n">
        <f aca="false">1/(1+$B$8)^I$12</f>
        <v>0.466507380209733</v>
      </c>
      <c r="J33" s="30" t="n">
        <f aca="false">1/(1+$B$8)^J$12</f>
        <v>0.424097618372485</v>
      </c>
      <c r="K33" s="30" t="n">
        <f aca="false">1/(1+$B$8)^K$12</f>
        <v>0.385543289429531</v>
      </c>
      <c r="L33" s="30"/>
    </row>
    <row r="34" customFormat="false" ht="15" hidden="false" customHeight="false" outlineLevel="0" collapsed="false">
      <c r="A34" s="0" t="s">
        <v>242</v>
      </c>
      <c r="B34" s="32" t="n">
        <f aca="false">B32*B33</f>
        <v>9.99636363636364</v>
      </c>
      <c r="C34" s="32" t="n">
        <f aca="false">C32*C33</f>
        <v>8.83315041322314</v>
      </c>
      <c r="D34" s="32" t="n">
        <f aca="false">D32*D33</f>
        <v>7.68037967242674</v>
      </c>
      <c r="E34" s="32" t="n">
        <f aca="false">E32*E33</f>
        <v>6.54926921157844</v>
      </c>
      <c r="F34" s="32" t="n">
        <f aca="false">F32*F33</f>
        <v>6.35874501633252</v>
      </c>
      <c r="G34" s="32" t="n">
        <f aca="false">G32*G33</f>
        <v>5.99737010475498</v>
      </c>
      <c r="H34" s="32" t="n">
        <f aca="false">H32*H33</f>
        <v>5.64740591981869</v>
      </c>
      <c r="I34" s="32" t="n">
        <f aca="false">I32*I33</f>
        <v>5.3089971772074</v>
      </c>
      <c r="J34" s="32" t="n">
        <f aca="false">J32*J33</f>
        <v>4.98225253275564</v>
      </c>
      <c r="K34" s="32" t="n">
        <f aca="false">K32*K33</f>
        <v>4.66724559842657</v>
      </c>
      <c r="L34" s="32"/>
    </row>
    <row r="35" customFormat="false" ht="15" hidden="false" customHeight="false" outlineLevel="0" collapsed="false">
      <c r="A35" s="0" t="s">
        <v>243</v>
      </c>
      <c r="B35" s="11" t="n">
        <v>0.04</v>
      </c>
    </row>
    <row r="36" customFormat="false" ht="15" hidden="false" customHeight="false" outlineLevel="0" collapsed="false">
      <c r="A36" s="0" t="s">
        <v>244</v>
      </c>
      <c r="B36" s="7" t="n">
        <f aca="false">L32/($B$8-B35)/(1+$B$8)^$K$12</f>
        <v>82.7658219454312</v>
      </c>
    </row>
    <row r="37" customFormat="false" ht="15" hidden="false" customHeight="false" outlineLevel="0" collapsed="false">
      <c r="A37" s="0" t="s">
        <v>245</v>
      </c>
      <c r="B37" s="31" t="n">
        <f aca="false">$B$6+SUM(B34:K34)+B36</f>
        <v>258.747001228319</v>
      </c>
    </row>
    <row r="38" customFormat="false" ht="15" hidden="false" customHeight="false" outlineLevel="0" collapsed="false">
      <c r="A38" s="0" t="s">
        <v>149</v>
      </c>
      <c r="B38" s="6" t="n">
        <f aca="false">B37/$B$4-1</f>
        <v>-0.220805850488394</v>
      </c>
    </row>
    <row r="39" customFormat="false" ht="15" hidden="false" customHeight="false" outlineLevel="0" collapsed="false">
      <c r="A39" s="12" t="s">
        <v>247</v>
      </c>
      <c r="B39" s="26"/>
      <c r="C39" s="26"/>
      <c r="D39" s="26"/>
      <c r="E39" s="26"/>
      <c r="F39" s="26"/>
      <c r="G39" s="26"/>
      <c r="H39" s="26"/>
      <c r="I39" s="26"/>
      <c r="J39" s="26"/>
      <c r="K39" s="26"/>
      <c r="L39" s="26"/>
    </row>
    <row r="40" customFormat="false" ht="15" hidden="false" customHeight="false" outlineLevel="0" collapsed="false">
      <c r="A40" s="0" t="s">
        <v>237</v>
      </c>
      <c r="B40" s="11" t="n">
        <v>0.21</v>
      </c>
      <c r="C40" s="11" t="n">
        <v>0.21</v>
      </c>
      <c r="D40" s="11" t="n">
        <v>0.2</v>
      </c>
      <c r="E40" s="11" t="n">
        <v>0.2</v>
      </c>
      <c r="F40" s="11" t="n">
        <v>0.19</v>
      </c>
      <c r="G40" s="8" t="n">
        <f aca="false">$F40+($L40-$F40)*G$13/5</f>
        <v>0.188</v>
      </c>
      <c r="H40" s="8" t="n">
        <f aca="false">$F40+($L40-$F40)*H$13/5</f>
        <v>0.186</v>
      </c>
      <c r="I40" s="8" t="n">
        <f aca="false">$F40+($L40-$F40)*I$13/5</f>
        <v>0.184</v>
      </c>
      <c r="J40" s="8" t="n">
        <f aca="false">$F40+($L40-$F40)*J$13/5</f>
        <v>0.182</v>
      </c>
      <c r="K40" s="8" t="n">
        <f aca="false">$F40+($L40-$F40)*K$13/5</f>
        <v>0.18</v>
      </c>
      <c r="L40" s="17" t="n">
        <v>0.18</v>
      </c>
    </row>
    <row r="41" customFormat="false" ht="15" hidden="false" customHeight="false" outlineLevel="0" collapsed="false">
      <c r="A41" s="0" t="s">
        <v>238</v>
      </c>
      <c r="B41" s="32" t="n">
        <f aca="false">$B$6</f>
        <v>109.96</v>
      </c>
      <c r="C41" s="32" t="n">
        <f aca="false">B41+B43</f>
        <v>119.19664</v>
      </c>
      <c r="D41" s="32" t="n">
        <f aca="false">C41+C43</f>
        <v>129.20915776</v>
      </c>
      <c r="E41" s="32" t="n">
        <f aca="false">D41+D43</f>
        <v>139.5458903808</v>
      </c>
      <c r="F41" s="32" t="n">
        <f aca="false">E41+E43</f>
        <v>150.709561611264</v>
      </c>
      <c r="G41" s="32" t="n">
        <f aca="false">F41+F43</f>
        <v>162.16348829372</v>
      </c>
      <c r="H41" s="32" t="n">
        <f aca="false">G41+G43</f>
        <v>174.358182613408</v>
      </c>
      <c r="I41" s="32" t="n">
        <f aca="false">H41+H43</f>
        <v>187.330431399845</v>
      </c>
      <c r="J41" s="32" t="n">
        <f aca="false">I41+I43</f>
        <v>201.117951150874</v>
      </c>
      <c r="K41" s="32" t="n">
        <f aca="false">J41+J43</f>
        <v>215.759337994658</v>
      </c>
      <c r="L41" s="32" t="n">
        <f aca="false">K41+K43</f>
        <v>231.294010330273</v>
      </c>
    </row>
    <row r="42" customFormat="false" ht="15" hidden="false" customHeight="false" outlineLevel="0" collapsed="false">
      <c r="A42" s="0" t="s">
        <v>239</v>
      </c>
      <c r="B42" s="32" t="n">
        <f aca="false">B40*B41</f>
        <v>23.0916</v>
      </c>
      <c r="C42" s="32" t="n">
        <f aca="false">C40*C41</f>
        <v>25.0312944</v>
      </c>
      <c r="D42" s="32" t="n">
        <f aca="false">D40*D41</f>
        <v>25.841831552</v>
      </c>
      <c r="E42" s="32" t="n">
        <f aca="false">E40*E41</f>
        <v>27.90917807616</v>
      </c>
      <c r="F42" s="32" t="n">
        <f aca="false">F40*F41</f>
        <v>28.6348167061402</v>
      </c>
      <c r="G42" s="32" t="n">
        <f aca="false">G40*G41</f>
        <v>30.4867357992194</v>
      </c>
      <c r="H42" s="32" t="n">
        <f aca="false">H40*H41</f>
        <v>32.4306219660939</v>
      </c>
      <c r="I42" s="32" t="n">
        <f aca="false">I40*I41</f>
        <v>34.4687993775715</v>
      </c>
      <c r="J42" s="32" t="n">
        <f aca="false">J40*J41</f>
        <v>36.6034671094591</v>
      </c>
      <c r="K42" s="32" t="n">
        <f aca="false">K40*K41</f>
        <v>38.8366808390384</v>
      </c>
      <c r="L42" s="32"/>
    </row>
    <row r="43" customFormat="false" ht="15" hidden="false" customHeight="false" outlineLevel="0" collapsed="false">
      <c r="A43" s="0" t="s">
        <v>240</v>
      </c>
      <c r="B43" s="32" t="n">
        <f aca="false">B42*(1-$B$7)</f>
        <v>9.23664</v>
      </c>
      <c r="C43" s="32" t="n">
        <f aca="false">C42*(1-$B$7)</f>
        <v>10.01251776</v>
      </c>
      <c r="D43" s="32" t="n">
        <f aca="false">D42*(1-$B$7)</f>
        <v>10.3367326208</v>
      </c>
      <c r="E43" s="32" t="n">
        <f aca="false">E42*(1-$B$7)</f>
        <v>11.163671230464</v>
      </c>
      <c r="F43" s="32" t="n">
        <f aca="false">F42*(1-$B$7)</f>
        <v>11.4539266824561</v>
      </c>
      <c r="G43" s="32" t="n">
        <f aca="false">G42*(1-$B$7)</f>
        <v>12.1946943196877</v>
      </c>
      <c r="H43" s="32" t="n">
        <f aca="false">H42*(1-$B$7)</f>
        <v>12.9722487864375</v>
      </c>
      <c r="I43" s="32" t="n">
        <f aca="false">I42*(1-$B$7)</f>
        <v>13.7875197510286</v>
      </c>
      <c r="J43" s="32" t="n">
        <f aca="false">J42*(1-$B$7)</f>
        <v>14.6413868437836</v>
      </c>
      <c r="K43" s="32" t="n">
        <f aca="false">K42*(1-$B$7)</f>
        <v>15.5346723356153</v>
      </c>
      <c r="L43" s="32"/>
    </row>
    <row r="44" customFormat="false" ht="15" hidden="false" customHeight="false" outlineLevel="0" collapsed="false">
      <c r="A44" s="0" t="s">
        <v>241</v>
      </c>
      <c r="B44" s="32" t="n">
        <f aca="false">(B40-$B$8)*B41</f>
        <v>12.0956</v>
      </c>
      <c r="C44" s="32" t="n">
        <f aca="false">(C40-$B$8)*C41</f>
        <v>13.1116304</v>
      </c>
      <c r="D44" s="32" t="n">
        <f aca="false">(D40-$B$8)*D41</f>
        <v>12.920915776</v>
      </c>
      <c r="E44" s="32" t="n">
        <f aca="false">(E40-$B$8)*E41</f>
        <v>13.95458903808</v>
      </c>
      <c r="F44" s="32" t="n">
        <f aca="false">(F40-$B$8)*F41</f>
        <v>13.5638605450138</v>
      </c>
      <c r="G44" s="32" t="n">
        <f aca="false">(G40-$B$8)*G41</f>
        <v>14.2703869698474</v>
      </c>
      <c r="H44" s="32" t="n">
        <f aca="false">(H40-$B$8)*H41</f>
        <v>14.9948037047531</v>
      </c>
      <c r="I44" s="32" t="n">
        <f aca="false">(I40-$B$8)*I41</f>
        <v>15.735756237587</v>
      </c>
      <c r="J44" s="32" t="n">
        <f aca="false">(J40-$B$8)*J41</f>
        <v>16.4916719943717</v>
      </c>
      <c r="K44" s="32" t="n">
        <f aca="false">(K40-$B$8)*K41</f>
        <v>17.2607470395726</v>
      </c>
      <c r="L44" s="32" t="n">
        <f aca="false">(L40-$B$8)*L41</f>
        <v>18.5035208264218</v>
      </c>
    </row>
    <row r="45" customFormat="false" ht="15" hidden="false" customHeight="false" outlineLevel="0" collapsed="false">
      <c r="A45" s="0" t="s">
        <v>143</v>
      </c>
      <c r="B45" s="30" t="n">
        <f aca="false">1/(1+$B$8)^B$12</f>
        <v>0.909090909090909</v>
      </c>
      <c r="C45" s="30" t="n">
        <f aca="false">1/(1+$B$8)^C$12</f>
        <v>0.826446280991735</v>
      </c>
      <c r="D45" s="30" t="n">
        <f aca="false">1/(1+$B$8)^D$12</f>
        <v>0.751314800901578</v>
      </c>
      <c r="E45" s="30" t="n">
        <f aca="false">1/(1+$B$8)^E$12</f>
        <v>0.683013455365071</v>
      </c>
      <c r="F45" s="30" t="n">
        <f aca="false">1/(1+$B$8)^F$12</f>
        <v>0.620921323059155</v>
      </c>
      <c r="G45" s="30" t="n">
        <f aca="false">1/(1+$B$8)^G$12</f>
        <v>0.564473930053777</v>
      </c>
      <c r="H45" s="30" t="n">
        <f aca="false">1/(1+$B$8)^H$12</f>
        <v>0.513158118230707</v>
      </c>
      <c r="I45" s="30" t="n">
        <f aca="false">1/(1+$B$8)^I$12</f>
        <v>0.466507380209733</v>
      </c>
      <c r="J45" s="30" t="n">
        <f aca="false">1/(1+$B$8)^J$12</f>
        <v>0.424097618372485</v>
      </c>
      <c r="K45" s="30" t="n">
        <f aca="false">1/(1+$B$8)^K$12</f>
        <v>0.385543289429531</v>
      </c>
      <c r="L45" s="30"/>
    </row>
    <row r="46" customFormat="false" ht="15" hidden="false" customHeight="false" outlineLevel="0" collapsed="false">
      <c r="A46" s="0" t="s">
        <v>242</v>
      </c>
      <c r="B46" s="32" t="n">
        <f aca="false">B44*B45</f>
        <v>10.996</v>
      </c>
      <c r="C46" s="32" t="n">
        <f aca="false">C44*C45</f>
        <v>10.8360581818182</v>
      </c>
      <c r="D46" s="32" t="n">
        <f aca="false">D44*D45</f>
        <v>9.70767526371149</v>
      </c>
      <c r="E46" s="32" t="n">
        <f aca="false">E44*E45</f>
        <v>9.53117207709856</v>
      </c>
      <c r="F46" s="32" t="n">
        <f aca="false">F44*F45</f>
        <v>8.42209023539981</v>
      </c>
      <c r="G46" s="32" t="n">
        <f aca="false">G44*G45</f>
        <v>8.05526141625795</v>
      </c>
      <c r="H46" s="32" t="n">
        <f aca="false">H44*H45</f>
        <v>7.69470525236991</v>
      </c>
      <c r="I46" s="32" t="n">
        <f aca="false">I44*I45</f>
        <v>7.34084641801568</v>
      </c>
      <c r="J46" s="32" t="n">
        <f aca="false">J44*J45</f>
        <v>6.99407881579322</v>
      </c>
      <c r="K46" s="32" t="n">
        <f aca="false">K44*K45</f>
        <v>6.65476519164787</v>
      </c>
      <c r="L46" s="32"/>
    </row>
    <row r="47" customFormat="false" ht="15" hidden="false" customHeight="false" outlineLevel="0" collapsed="false">
      <c r="A47" s="0" t="s">
        <v>243</v>
      </c>
      <c r="B47" s="11" t="n">
        <v>0.04</v>
      </c>
    </row>
    <row r="48" customFormat="false" ht="15" hidden="false" customHeight="false" outlineLevel="0" collapsed="false">
      <c r="A48" s="0" t="s">
        <v>244</v>
      </c>
      <c r="B48" s="7" t="n">
        <f aca="false">L44/($B$8-B47)/(1+$B$8)^$K$12</f>
        <v>118.898471424109</v>
      </c>
    </row>
    <row r="49" customFormat="false" ht="15" hidden="false" customHeight="false" outlineLevel="0" collapsed="false">
      <c r="A49" s="0" t="s">
        <v>245</v>
      </c>
      <c r="B49" s="31" t="n">
        <f aca="false">$B$6+SUM(B46:K46)+B48</f>
        <v>315.091124276221</v>
      </c>
    </row>
    <row r="50" customFormat="false" ht="15" hidden="false" customHeight="false" outlineLevel="0" collapsed="false">
      <c r="A50" s="0" t="s">
        <v>149</v>
      </c>
      <c r="B50" s="6" t="n">
        <f aca="false">B49/$B$4-1</f>
        <v>-0.0511304114306584</v>
      </c>
    </row>
    <row r="52" customFormat="false" ht="15" hidden="false" customHeight="false" outlineLevel="0" collapsed="false">
      <c r="A52" s="12" t="s">
        <v>152</v>
      </c>
      <c r="B52" s="26"/>
      <c r="C52" s="12" t="s">
        <v>153</v>
      </c>
      <c r="D52" s="26"/>
      <c r="E52" s="26"/>
      <c r="F52" s="26"/>
      <c r="G52" s="26"/>
      <c r="H52" s="26"/>
      <c r="I52" s="26"/>
      <c r="J52" s="26"/>
      <c r="K52" s="26"/>
      <c r="L52" s="26"/>
    </row>
    <row r="53" customFormat="false" ht="15" hidden="false" customHeight="false" outlineLevel="0" collapsed="false">
      <c r="A53" s="0" t="s">
        <v>154</v>
      </c>
      <c r="B53" s="7" t="n">
        <f aca="false">B25</f>
        <v>191.750638967802</v>
      </c>
      <c r="C53" s="6" t="n">
        <f aca="false">B53/$B$4-1</f>
        <v>-0.422559583919651</v>
      </c>
    </row>
    <row r="54" customFormat="false" ht="15" hidden="false" customHeight="false" outlineLevel="0" collapsed="false">
      <c r="A54" s="0" t="s">
        <v>155</v>
      </c>
      <c r="B54" s="7" t="n">
        <f aca="false">B37</f>
        <v>258.747001228319</v>
      </c>
      <c r="C54" s="6" t="n">
        <f aca="false">B54/$B$4-1</f>
        <v>-0.220805850488394</v>
      </c>
    </row>
    <row r="55" customFormat="false" ht="15" hidden="false" customHeight="false" outlineLevel="0" collapsed="false">
      <c r="A55" s="0" t="s">
        <v>156</v>
      </c>
      <c r="B55" s="7" t="n">
        <f aca="false">B49</f>
        <v>315.091124276221</v>
      </c>
      <c r="C55" s="6" t="n">
        <f aca="false">B55/$B$4-1</f>
        <v>-0.0511304114306584</v>
      </c>
    </row>
    <row r="56" customFormat="false" ht="15" hidden="false" customHeight="false" outlineLevel="0" collapsed="false">
      <c r="A56" s="0" t="s">
        <v>157</v>
      </c>
      <c r="B56" s="7" t="n">
        <f aca="false">INDEX(B25:B49,1+($B$9-1)*12)</f>
        <v>258.747001228319</v>
      </c>
      <c r="C56" s="6" t="n">
        <f aca="false">B56/$B$4-1</f>
        <v>-0.220805850488394</v>
      </c>
    </row>
    <row r="57" customFormat="false" ht="15" hidden="false" customHeight="false" outlineLevel="0" collapsed="false">
      <c r="A57" s="0" t="s">
        <v>248</v>
      </c>
      <c r="B57" s="33" t="n">
        <f aca="false">B54/$B$6</f>
        <v>2.35310113885339</v>
      </c>
    </row>
    <row r="58" customFormat="false" ht="15" hidden="false" customHeight="false" outlineLevel="0" collapsed="false">
      <c r="A58" s="0" t="s">
        <v>249</v>
      </c>
      <c r="B58" s="33" t="n">
        <f aca="false">B4/B6</f>
        <v>3.01991633321208</v>
      </c>
    </row>
    <row r="60" customFormat="false" ht="15" hidden="false" customHeight="false" outlineLevel="0" collapsed="false">
      <c r="A60" s="9" t="s">
        <v>250</v>
      </c>
    </row>
    <row r="61" customFormat="false" ht="15" hidden="false" customHeight="false" outlineLevel="0" collapsed="false">
      <c r="A61" s="0" t="s">
        <v>68</v>
      </c>
      <c r="B61" s="11" t="n">
        <v>0.05</v>
      </c>
      <c r="C61" s="11" t="n">
        <v>0.06</v>
      </c>
      <c r="D61" s="11" t="n">
        <v>0.07</v>
      </c>
      <c r="E61" s="11" t="n">
        <v>0.08</v>
      </c>
      <c r="F61" s="11" t="n">
        <v>0.09</v>
      </c>
      <c r="G61" s="11" t="n">
        <v>0.1</v>
      </c>
      <c r="H61" s="11" t="n">
        <v>0.11</v>
      </c>
      <c r="I61" s="11" t="n">
        <v>0.12</v>
      </c>
      <c r="J61" s="11" t="n">
        <v>0.13</v>
      </c>
      <c r="K61" s="11" t="n">
        <v>0.14</v>
      </c>
    </row>
    <row r="62" customFormat="false" ht="15" hidden="false" customHeight="false" outlineLevel="0" collapsed="false">
      <c r="A62" s="0" t="s">
        <v>155</v>
      </c>
      <c r="B62" s="7" t="n">
        <f aca="false">IF(B$61&gt;$B$35,$B$6+SUMPRODUCT(($B$28:$K$28-B$61)*$B$29:$K$29/(1+B$61)^$B$12:$K$12)+($L$28-B$61)*$L$29/(B$61-$B$35)/(1+B$61)^$K$12,"n/a")</f>
        <v>1700.60509743636</v>
      </c>
      <c r="C62" s="7" t="n">
        <f aca="false">IF(C$61&gt;$B$35,$B$6+SUMPRODUCT(($B$28:$K$28-C$61)*$B$29:$K$29/(1+C$61)^$B$12:$K$12)+($L$28-C$61)*$L$29/(C$61-$B$35)/(1+C$61)^$K$12,"n/a")</f>
        <v>832.379983534291</v>
      </c>
      <c r="D62" s="7" t="n">
        <f aca="false">IF(D$61&gt;$B$35,$B$6+SUMPRODUCT(($B$28:$K$28-D$61)*$B$29:$K$29/(1+D$61)^$B$12:$K$12)+($L$28-D$61)*$L$29/(D$61-$B$35)/(1+D$61)^$K$12,"n/a")</f>
        <v>544.121712446773</v>
      </c>
      <c r="E62" s="7" t="n">
        <f aca="false">IF(E$61&gt;$B$35,$B$6+SUMPRODUCT(($B$28:$K$28-E$61)*$B$29:$K$29/(1+E$61)^$B$12:$K$12)+($L$28-E$61)*$L$29/(E$61-$B$35)/(1+E$61)^$K$12,"n/a")</f>
        <v>400.765198658309</v>
      </c>
      <c r="F62" s="7" t="n">
        <f aca="false">IF(F$61&gt;$B$35,$B$6+SUMPRODUCT(($B$28:$K$28-F$61)*$B$29:$K$29/(1+F$61)^$B$12:$K$12)+($L$28-F$61)*$L$29/(F$61-$B$35)/(1+F$61)^$K$12,"n/a")</f>
        <v>315.30552837339</v>
      </c>
      <c r="G62" s="7" t="n">
        <f aca="false">IF(G$61&gt;$B$35,$B$6+SUMPRODUCT(($B$28:$K$28-G$61)*$B$29:$K$29/(1+G$61)^$B$12:$K$12)+($L$28-G$61)*$L$29/(G$61-$B$35)/(1+G$61)^$K$12,"n/a")</f>
        <v>258.747001228319</v>
      </c>
      <c r="H62" s="7" t="n">
        <f aca="false">IF(H$61&gt;$B$35,$B$6+SUMPRODUCT(($B$28:$K$28-H$61)*$B$29:$K$29/(1+H$61)^$B$12:$K$12)+($L$28-H$61)*$L$29/(H$61-$B$35)/(1+H$61)^$K$12,"n/a")</f>
        <v>218.667368963143</v>
      </c>
      <c r="I62" s="7" t="n">
        <f aca="false">IF(I$61&gt;$B$35,$B$6+SUMPRODUCT(($B$28:$K$28-I$61)*$B$29:$K$29/(1+I$61)^$B$12:$K$12)+($L$28-I$61)*$L$29/(I$61-$B$35)/(1+I$61)^$K$12,"n/a")</f>
        <v>188.85896299968</v>
      </c>
      <c r="J62" s="7" t="n">
        <f aca="false">IF(J$61&gt;$B$35,$B$6+SUMPRODUCT(($B$28:$K$28-J$61)*$B$29:$K$29/(1+J$61)^$B$12:$K$12)+($L$28-J$61)*$L$29/(J$61-$B$35)/(1+J$61)^$K$12,"n/a")</f>
        <v>165.875789177569</v>
      </c>
      <c r="K62" s="7" t="n">
        <f aca="false">IF(K$61&gt;$B$35,$B$6+SUMPRODUCT(($B$28:$K$28-K$61)*$B$29:$K$29/(1+K$61)^$B$12:$K$12)+($L$28-K$61)*$L$29/(K$61-$B$35)/(1+K$61)^$K$12,"n/a")</f>
        <v>147.652406344718</v>
      </c>
    </row>
    <row r="63" customFormat="false" ht="15" hidden="false" customHeight="false" outlineLevel="0" collapsed="false">
      <c r="A63" s="0" t="s">
        <v>160</v>
      </c>
      <c r="B63" s="6" t="n">
        <f aca="false">IFERROR(B62/$B$4-1,"n/a")</f>
        <v>4.12122473405112</v>
      </c>
      <c r="C63" s="6" t="n">
        <f aca="false">IFERROR(C62/$B$4-1,"n/a")</f>
        <v>1.50664011664496</v>
      </c>
      <c r="D63" s="6" t="n">
        <f aca="false">IFERROR(D62/$B$4-1,"n/a")</f>
        <v>0.638575337870848</v>
      </c>
      <c r="E63" s="6" t="n">
        <f aca="false">IFERROR(E62/$B$4-1,"n/a")</f>
        <v>0.20686963187975</v>
      </c>
      <c r="F63" s="6" t="n">
        <f aca="false">IFERROR(F62/$B$4-1,"n/a")</f>
        <v>-0.0504847520902534</v>
      </c>
      <c r="G63" s="6" t="n">
        <f aca="false">IFERROR(G62/$B$4-1,"n/a")</f>
        <v>-0.220805850488394</v>
      </c>
      <c r="H63" s="6" t="n">
        <f aca="false">IFERROR(H62/$B$4-1,"n/a")</f>
        <v>-0.341502186397015</v>
      </c>
      <c r="I63" s="6" t="n">
        <f aca="false">IFERROR(I62/$B$4-1,"n/a")</f>
        <v>-0.431267615262806</v>
      </c>
      <c r="J63" s="6" t="n">
        <f aca="false">IFERROR(J62/$B$4-1,"n/a")</f>
        <v>-0.500479449581206</v>
      </c>
      <c r="K63" s="6" t="n">
        <f aca="false">IFERROR(K62/$B$4-1,"n/a")</f>
        <v>-0.555357586217611</v>
      </c>
    </row>
    <row r="65" customFormat="false" ht="15" hidden="false" customHeight="false" outlineLevel="0" collapsed="false">
      <c r="A65" s="9" t="s">
        <v>161</v>
      </c>
      <c r="B65" s="18" t="n">
        <f aca="false">IFERROR(IF(MATCH($B$4,$B$62:$K$62,-1)=10,"above 14%",INDEX($B$61:$K$61,MATCH($B$4,$B$62:$K$62,-1))+(INDEX($B$62:$K$62,MATCH($B$4,$B$62:$K$62,-1))-$B$4)/(INDEX($B$62:$K$62,MATCH($B$4,$B$62:$K$62,-1))-INDEX($B$62:$K$62,MATCH($B$4,$B$62:$K$62,-1)+1))*(INDEX($B$61:$K$61,MATCH($B$4,$B$62:$K$62,-1)+1)-INDEX($B$61:$K$61,MATCH($B$4,$B$62:$K$62,-1)))),"below 5%")</f>
        <v>0.0880383177736682</v>
      </c>
      <c r="C65" s="2" t="s">
        <v>251</v>
      </c>
    </row>
    <row r="66" customFormat="false" ht="15" hidden="false" customHeight="false" outlineLevel="0" collapsed="false">
      <c r="A66" s="2"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12" min="2" style="0" width="11"/>
  </cols>
  <sheetData>
    <row r="1" customFormat="false" ht="16.15" hidden="false" customHeight="false" outlineLevel="0" collapsed="false">
      <c r="A1" s="1" t="s">
        <v>253</v>
      </c>
    </row>
    <row r="2" customFormat="false" ht="15" hidden="false" customHeight="false" outlineLevel="0" collapsed="false">
      <c r="A2" s="2" t="s">
        <v>230</v>
      </c>
    </row>
    <row r="4" customFormat="false" ht="15" hidden="false" customHeight="false" outlineLevel="0" collapsed="false">
      <c r="A4" s="0" t="s">
        <v>101</v>
      </c>
      <c r="B4" s="19" t="n">
        <v>50.795</v>
      </c>
      <c r="C4" s="2" t="s">
        <v>102</v>
      </c>
    </row>
    <row r="5" customFormat="false" ht="15" hidden="false" customHeight="false" outlineLevel="0" collapsed="false">
      <c r="A5" s="0" t="s">
        <v>103</v>
      </c>
      <c r="B5" s="20" t="s">
        <v>104</v>
      </c>
      <c r="C5" s="2" t="s">
        <v>105</v>
      </c>
    </row>
    <row r="6" customFormat="false" ht="15" hidden="false" customHeight="false" outlineLevel="0" collapsed="false">
      <c r="A6" s="0" t="s">
        <v>231</v>
      </c>
      <c r="B6" s="19" t="n">
        <v>29.14</v>
      </c>
      <c r="C6" s="2" t="s">
        <v>254</v>
      </c>
    </row>
    <row r="7" customFormat="false" ht="15" hidden="false" customHeight="false" outlineLevel="0" collapsed="false">
      <c r="A7" s="0" t="s">
        <v>233</v>
      </c>
      <c r="B7" s="11" t="n">
        <v>0.65</v>
      </c>
      <c r="C7" s="2" t="s">
        <v>45</v>
      </c>
    </row>
    <row r="8" customFormat="false" ht="15" hidden="false" customHeight="false" outlineLevel="0" collapsed="false">
      <c r="A8" s="0" t="s">
        <v>234</v>
      </c>
      <c r="B8" s="5" t="n">
        <f aca="false">WACC!C40</f>
        <v>0.105</v>
      </c>
      <c r="C8" s="2" t="s">
        <v>113</v>
      </c>
    </row>
    <row r="9" customFormat="false" ht="15" hidden="false" customHeight="false" outlineLevel="0" collapsed="false">
      <c r="A9" s="0" t="s">
        <v>117</v>
      </c>
      <c r="B9" s="10" t="n">
        <v>2</v>
      </c>
      <c r="C9" s="2" t="s">
        <v>118</v>
      </c>
    </row>
    <row r="11" customFormat="false" ht="15" hidden="false" customHeight="false" outlineLevel="0" collapsed="false">
      <c r="A11" s="9" t="s">
        <v>119</v>
      </c>
      <c r="B11" s="9" t="s">
        <v>120</v>
      </c>
      <c r="C11" s="9" t="s">
        <v>121</v>
      </c>
      <c r="D11" s="9" t="s">
        <v>122</v>
      </c>
      <c r="E11" s="9" t="s">
        <v>123</v>
      </c>
      <c r="F11" s="9" t="s">
        <v>124</v>
      </c>
      <c r="G11" s="9" t="s">
        <v>125</v>
      </c>
      <c r="H11" s="9" t="s">
        <v>126</v>
      </c>
      <c r="I11" s="9" t="s">
        <v>127</v>
      </c>
      <c r="J11" s="9" t="s">
        <v>128</v>
      </c>
      <c r="K11" s="9" t="s">
        <v>129</v>
      </c>
      <c r="L11" s="9" t="s">
        <v>130</v>
      </c>
    </row>
    <row r="12" customFormat="false" ht="15" hidden="false" customHeight="false" outlineLevel="0" collapsed="false">
      <c r="A12" s="0" t="s">
        <v>235</v>
      </c>
      <c r="B12" s="0" t="n">
        <v>1</v>
      </c>
      <c r="C12" s="0" t="n">
        <v>2</v>
      </c>
      <c r="D12" s="0" t="n">
        <v>3</v>
      </c>
      <c r="E12" s="0" t="n">
        <v>4</v>
      </c>
      <c r="F12" s="0" t="n">
        <v>5</v>
      </c>
      <c r="G12" s="0" t="n">
        <v>6</v>
      </c>
      <c r="H12" s="0" t="n">
        <v>7</v>
      </c>
      <c r="I12" s="0" t="n">
        <v>8</v>
      </c>
      <c r="J12" s="0" t="n">
        <v>9</v>
      </c>
      <c r="K12" s="0" t="n">
        <v>10</v>
      </c>
    </row>
    <row r="13" customFormat="false" ht="15" hidden="false" customHeight="false" outlineLevel="0" collapsed="false">
      <c r="A13" s="0" t="s">
        <v>132</v>
      </c>
      <c r="B13" s="0" t="n">
        <v>0</v>
      </c>
      <c r="C13" s="0" t="n">
        <v>0</v>
      </c>
      <c r="D13" s="0" t="n">
        <v>0</v>
      </c>
      <c r="E13" s="0" t="n">
        <v>0</v>
      </c>
      <c r="F13" s="0" t="n">
        <v>0</v>
      </c>
      <c r="G13" s="0" t="n">
        <v>1</v>
      </c>
      <c r="H13" s="0" t="n">
        <v>2</v>
      </c>
      <c r="I13" s="0" t="n">
        <v>3</v>
      </c>
      <c r="J13" s="0" t="n">
        <v>4</v>
      </c>
      <c r="K13" s="0" t="n">
        <v>5</v>
      </c>
    </row>
    <row r="15" customFormat="false" ht="15" hidden="false" customHeight="false" outlineLevel="0" collapsed="false">
      <c r="A15" s="12" t="s">
        <v>255</v>
      </c>
      <c r="B15" s="26"/>
      <c r="C15" s="26"/>
      <c r="D15" s="26"/>
      <c r="E15" s="26"/>
      <c r="F15" s="26"/>
      <c r="G15" s="26"/>
      <c r="H15" s="26"/>
      <c r="I15" s="26"/>
      <c r="J15" s="26"/>
      <c r="K15" s="26"/>
      <c r="L15" s="26"/>
    </row>
    <row r="16" customFormat="false" ht="15" hidden="false" customHeight="false" outlineLevel="0" collapsed="false">
      <c r="A16" s="0" t="s">
        <v>237</v>
      </c>
      <c r="B16" s="11" t="n">
        <v>0.13</v>
      </c>
      <c r="C16" s="11" t="n">
        <v>0.1</v>
      </c>
      <c r="D16" s="11" t="n">
        <v>0.1</v>
      </c>
      <c r="E16" s="11" t="n">
        <v>0.12</v>
      </c>
      <c r="F16" s="11" t="n">
        <v>0.13</v>
      </c>
      <c r="G16" s="8" t="n">
        <f aca="false">$F16+($L16-$F16)*G$13/5</f>
        <v>0.128</v>
      </c>
      <c r="H16" s="8" t="n">
        <f aca="false">$F16+($L16-$F16)*H$13/5</f>
        <v>0.126</v>
      </c>
      <c r="I16" s="8" t="n">
        <f aca="false">$F16+($L16-$F16)*I$13/5</f>
        <v>0.124</v>
      </c>
      <c r="J16" s="8" t="n">
        <f aca="false">$F16+($L16-$F16)*J$13/5</f>
        <v>0.122</v>
      </c>
      <c r="K16" s="8" t="n">
        <f aca="false">$F16+($L16-$F16)*K$13/5</f>
        <v>0.12</v>
      </c>
      <c r="L16" s="17" t="n">
        <v>0.12</v>
      </c>
    </row>
    <row r="17" customFormat="false" ht="15" hidden="false" customHeight="false" outlineLevel="0" collapsed="false">
      <c r="A17" s="0" t="s">
        <v>238</v>
      </c>
      <c r="B17" s="32" t="n">
        <f aca="false">$B$6</f>
        <v>29.14</v>
      </c>
      <c r="C17" s="32" t="n">
        <f aca="false">B17+B19</f>
        <v>30.46587</v>
      </c>
      <c r="D17" s="32" t="n">
        <f aca="false">C17+C19</f>
        <v>31.53217545</v>
      </c>
      <c r="E17" s="32" t="n">
        <f aca="false">D17+D19</f>
        <v>32.63580159075</v>
      </c>
      <c r="F17" s="32" t="n">
        <f aca="false">E17+E19</f>
        <v>34.0065052575615</v>
      </c>
      <c r="G17" s="32" t="n">
        <f aca="false">F17+F19</f>
        <v>35.5538012467806</v>
      </c>
      <c r="H17" s="32" t="n">
        <f aca="false">G17+G19</f>
        <v>37.1466115426363</v>
      </c>
      <c r="I17" s="32" t="n">
        <f aca="false">H17+H19</f>
        <v>38.7847771116666</v>
      </c>
      <c r="J17" s="32" t="n">
        <f aca="false">I17+I19</f>
        <v>40.4680364383129</v>
      </c>
      <c r="K17" s="32" t="n">
        <f aca="false">J17+J19</f>
        <v>42.1960215942289</v>
      </c>
      <c r="L17" s="32" t="n">
        <f aca="false">K17+K19</f>
        <v>43.9682545011865</v>
      </c>
    </row>
    <row r="18" customFormat="false" ht="15" hidden="false" customHeight="false" outlineLevel="0" collapsed="false">
      <c r="A18" s="0" t="s">
        <v>239</v>
      </c>
      <c r="B18" s="32" t="n">
        <f aca="false">B16*B17</f>
        <v>3.7882</v>
      </c>
      <c r="C18" s="32" t="n">
        <f aca="false">C16*C17</f>
        <v>3.046587</v>
      </c>
      <c r="D18" s="32" t="n">
        <f aca="false">D16*D17</f>
        <v>3.153217545</v>
      </c>
      <c r="E18" s="32" t="n">
        <f aca="false">E16*E17</f>
        <v>3.91629619089</v>
      </c>
      <c r="F18" s="32" t="n">
        <f aca="false">F16*F17</f>
        <v>4.420845683483</v>
      </c>
      <c r="G18" s="32" t="n">
        <f aca="false">G16*G17</f>
        <v>4.55088655958791</v>
      </c>
      <c r="H18" s="32" t="n">
        <f aca="false">H16*H17</f>
        <v>4.68047305437218</v>
      </c>
      <c r="I18" s="32" t="n">
        <f aca="false">I16*I17</f>
        <v>4.80931236184666</v>
      </c>
      <c r="J18" s="32" t="n">
        <f aca="false">J16*J17</f>
        <v>4.93710044547418</v>
      </c>
      <c r="K18" s="32" t="n">
        <f aca="false">K16*K17</f>
        <v>5.06352259130747</v>
      </c>
      <c r="L18" s="32"/>
    </row>
    <row r="19" customFormat="false" ht="15" hidden="false" customHeight="false" outlineLevel="0" collapsed="false">
      <c r="A19" s="0" t="s">
        <v>240</v>
      </c>
      <c r="B19" s="32" t="n">
        <f aca="false">B18*(1-$B$7)</f>
        <v>1.32587</v>
      </c>
      <c r="C19" s="32" t="n">
        <f aca="false">C18*(1-$B$7)</f>
        <v>1.06630545</v>
      </c>
      <c r="D19" s="32" t="n">
        <f aca="false">D18*(1-$B$7)</f>
        <v>1.10362614075</v>
      </c>
      <c r="E19" s="32" t="n">
        <f aca="false">E18*(1-$B$7)</f>
        <v>1.3707036668115</v>
      </c>
      <c r="F19" s="32" t="n">
        <f aca="false">F18*(1-$B$7)</f>
        <v>1.54729598921905</v>
      </c>
      <c r="G19" s="32" t="n">
        <f aca="false">G18*(1-$B$7)</f>
        <v>1.59281029585577</v>
      </c>
      <c r="H19" s="32" t="n">
        <f aca="false">H18*(1-$B$7)</f>
        <v>1.63816556903026</v>
      </c>
      <c r="I19" s="32" t="n">
        <f aca="false">I18*(1-$B$7)</f>
        <v>1.68325932664633</v>
      </c>
      <c r="J19" s="32" t="n">
        <f aca="false">J18*(1-$B$7)</f>
        <v>1.72798515591596</v>
      </c>
      <c r="K19" s="32" t="n">
        <f aca="false">K18*(1-$B$7)</f>
        <v>1.77223290695761</v>
      </c>
      <c r="L19" s="32"/>
    </row>
    <row r="20" customFormat="false" ht="15" hidden="false" customHeight="false" outlineLevel="0" collapsed="false">
      <c r="A20" s="0" t="s">
        <v>241</v>
      </c>
      <c r="B20" s="32" t="n">
        <f aca="false">(B16-$B$8)*B17</f>
        <v>0.7285</v>
      </c>
      <c r="C20" s="32" t="n">
        <f aca="false">(C16-$B$8)*C17</f>
        <v>-0.15232935</v>
      </c>
      <c r="D20" s="32" t="n">
        <f aca="false">(D16-$B$8)*D17</f>
        <v>-0.15766087725</v>
      </c>
      <c r="E20" s="32" t="n">
        <f aca="false">(E16-$B$8)*E17</f>
        <v>0.48953702386125</v>
      </c>
      <c r="F20" s="32" t="n">
        <f aca="false">(F16-$B$8)*F17</f>
        <v>0.850162631439038</v>
      </c>
      <c r="G20" s="32" t="n">
        <f aca="false">(G16-$B$8)*G17</f>
        <v>0.817737428675953</v>
      </c>
      <c r="H20" s="32" t="n">
        <f aca="false">(H16-$B$8)*H17</f>
        <v>0.780078842395363</v>
      </c>
      <c r="I20" s="32" t="n">
        <f aca="false">(I16-$B$8)*I17</f>
        <v>0.736910765121665</v>
      </c>
      <c r="J20" s="32" t="n">
        <f aca="false">(J16-$B$8)*J17</f>
        <v>0.68795661945132</v>
      </c>
      <c r="K20" s="32" t="n">
        <f aca="false">(K16-$B$8)*K17</f>
        <v>0.632940323913433</v>
      </c>
      <c r="L20" s="32" t="n">
        <f aca="false">(L16-$B$8)*L17</f>
        <v>0.659523817517797</v>
      </c>
    </row>
    <row r="21" customFormat="false" ht="15" hidden="false" customHeight="false" outlineLevel="0" collapsed="false">
      <c r="A21" s="0" t="s">
        <v>143</v>
      </c>
      <c r="B21" s="30" t="n">
        <f aca="false">1/(1+$B$8)^B$12</f>
        <v>0.904977375565611</v>
      </c>
      <c r="C21" s="30" t="n">
        <f aca="false">1/(1+$B$8)^C$12</f>
        <v>0.818984050285621</v>
      </c>
      <c r="D21" s="30" t="n">
        <f aca="false">1/(1+$B$8)^D$12</f>
        <v>0.741162036457575</v>
      </c>
      <c r="E21" s="30" t="n">
        <f aca="false">1/(1+$B$8)^E$12</f>
        <v>0.67073487462224</v>
      </c>
      <c r="F21" s="30" t="n">
        <f aca="false">1/(1+$B$8)^F$12</f>
        <v>0.606999886535964</v>
      </c>
      <c r="G21" s="30" t="n">
        <f aca="false">1/(1+$B$8)^G$12</f>
        <v>0.54932116428594</v>
      </c>
      <c r="H21" s="30" t="n">
        <f aca="false">1/(1+$B$8)^H$12</f>
        <v>0.497123225598136</v>
      </c>
      <c r="I21" s="30" t="n">
        <f aca="false">1/(1+$B$8)^I$12</f>
        <v>0.449885272034512</v>
      </c>
      <c r="J21" s="30" t="n">
        <f aca="false">1/(1+$B$8)^J$12</f>
        <v>0.407135992791414</v>
      </c>
      <c r="K21" s="30" t="n">
        <f aca="false">1/(1+$B$8)^K$12</f>
        <v>0.368448862254673</v>
      </c>
      <c r="L21" s="30"/>
    </row>
    <row r="22" customFormat="false" ht="15" hidden="false" customHeight="false" outlineLevel="0" collapsed="false">
      <c r="A22" s="0" t="s">
        <v>242</v>
      </c>
      <c r="B22" s="32" t="n">
        <f aca="false">B20*B21</f>
        <v>0.659276018099548</v>
      </c>
      <c r="C22" s="32" t="n">
        <f aca="false">C20*C21</f>
        <v>-0.124755308040376</v>
      </c>
      <c r="D22" s="32" t="n">
        <f aca="false">D20*D21</f>
        <v>-0.116852256852298</v>
      </c>
      <c r="E22" s="32" t="n">
        <f aca="false">E20*E21</f>
        <v>0.32834955432252</v>
      </c>
      <c r="F22" s="32" t="n">
        <f aca="false">F20*F21</f>
        <v>0.516048620820613</v>
      </c>
      <c r="G22" s="32" t="n">
        <f aca="false">G20*G21</f>
        <v>0.449200476400466</v>
      </c>
      <c r="H22" s="32" t="n">
        <f aca="false">H20*H21</f>
        <v>0.387795310352443</v>
      </c>
      <c r="I22" s="32" t="n">
        <f aca="false">I20*I21</f>
        <v>0.331525300031921</v>
      </c>
      <c r="J22" s="32" t="n">
        <f aca="false">J20*J21</f>
        <v>0.280091901257738</v>
      </c>
      <c r="K22" s="32" t="n">
        <f aca="false">K20*K21</f>
        <v>0.233206142221009</v>
      </c>
      <c r="L22" s="32"/>
    </row>
    <row r="23" customFormat="false" ht="15" hidden="false" customHeight="false" outlineLevel="0" collapsed="false">
      <c r="A23" s="0" t="s">
        <v>243</v>
      </c>
      <c r="B23" s="11" t="n">
        <v>0.035</v>
      </c>
    </row>
    <row r="24" customFormat="false" ht="15" hidden="false" customHeight="false" outlineLevel="0" collapsed="false">
      <c r="A24" s="0" t="s">
        <v>244</v>
      </c>
      <c r="B24" s="7" t="n">
        <f aca="false">L20/($B$8-B23)/(1+$B$8)^$K$12</f>
        <v>3.47144000277559</v>
      </c>
    </row>
    <row r="25" customFormat="false" ht="15" hidden="false" customHeight="false" outlineLevel="0" collapsed="false">
      <c r="A25" s="0" t="s">
        <v>245</v>
      </c>
      <c r="B25" s="31" t="n">
        <f aca="false">$B$6+SUM(B22:K22)+B24</f>
        <v>35.5553257613892</v>
      </c>
    </row>
    <row r="26" customFormat="false" ht="15" hidden="false" customHeight="false" outlineLevel="0" collapsed="false">
      <c r="A26" s="0" t="s">
        <v>149</v>
      </c>
      <c r="B26" s="6" t="n">
        <f aca="false">B25/$B$4-1</f>
        <v>-0.3000231172086</v>
      </c>
    </row>
    <row r="27" customFormat="false" ht="15" hidden="false" customHeight="false" outlineLevel="0" collapsed="false">
      <c r="A27" s="12" t="s">
        <v>256</v>
      </c>
      <c r="B27" s="26"/>
      <c r="C27" s="26"/>
      <c r="D27" s="26"/>
      <c r="E27" s="26"/>
      <c r="F27" s="26"/>
      <c r="G27" s="26"/>
      <c r="H27" s="26"/>
      <c r="I27" s="26"/>
      <c r="J27" s="26"/>
      <c r="K27" s="26"/>
      <c r="L27" s="26"/>
    </row>
    <row r="28" customFormat="false" ht="15" hidden="false" customHeight="false" outlineLevel="0" collapsed="false">
      <c r="A28" s="0" t="s">
        <v>237</v>
      </c>
      <c r="B28" s="11" t="n">
        <v>0.15</v>
      </c>
      <c r="C28" s="11" t="n">
        <v>0.155</v>
      </c>
      <c r="D28" s="11" t="n">
        <v>0.16</v>
      </c>
      <c r="E28" s="11" t="n">
        <v>0.16</v>
      </c>
      <c r="F28" s="11" t="n">
        <v>0.16</v>
      </c>
      <c r="G28" s="8" t="n">
        <f aca="false">$F28+($L28-$F28)*G$13/5</f>
        <v>0.159</v>
      </c>
      <c r="H28" s="8" t="n">
        <f aca="false">$F28+($L28-$F28)*H$13/5</f>
        <v>0.158</v>
      </c>
      <c r="I28" s="8" t="n">
        <f aca="false">$F28+($L28-$F28)*I$13/5</f>
        <v>0.157</v>
      </c>
      <c r="J28" s="8" t="n">
        <f aca="false">$F28+($L28-$F28)*J$13/5</f>
        <v>0.156</v>
      </c>
      <c r="K28" s="8" t="n">
        <f aca="false">$F28+($L28-$F28)*K$13/5</f>
        <v>0.155</v>
      </c>
      <c r="L28" s="17" t="n">
        <v>0.155</v>
      </c>
    </row>
    <row r="29" customFormat="false" ht="15" hidden="false" customHeight="false" outlineLevel="0" collapsed="false">
      <c r="A29" s="0" t="s">
        <v>238</v>
      </c>
      <c r="B29" s="32" t="n">
        <f aca="false">$B$6</f>
        <v>29.14</v>
      </c>
      <c r="C29" s="32" t="n">
        <f aca="false">B29+B31</f>
        <v>30.66985</v>
      </c>
      <c r="D29" s="32" t="n">
        <f aca="false">C29+C31</f>
        <v>32.3336893625</v>
      </c>
      <c r="E29" s="32" t="n">
        <f aca="false">D29+D31</f>
        <v>34.1443759668</v>
      </c>
      <c r="F29" s="32" t="n">
        <f aca="false">E29+E31</f>
        <v>36.0564610209408</v>
      </c>
      <c r="G29" s="32" t="n">
        <f aca="false">F29+F31</f>
        <v>38.0756228381135</v>
      </c>
      <c r="H29" s="32" t="n">
        <f aca="false">G29+G31</f>
        <v>40.1945312490545</v>
      </c>
      <c r="I29" s="32" t="n">
        <f aca="false">H29+H31</f>
        <v>42.4172888271272</v>
      </c>
      <c r="J29" s="32" t="n">
        <f aca="false">I29+I31</f>
        <v>44.7481188481779</v>
      </c>
      <c r="K29" s="32" t="n">
        <f aca="false">J29+J31</f>
        <v>47.1913661372884</v>
      </c>
      <c r="L29" s="32" t="n">
        <f aca="false">K29+K31</f>
        <v>49.7514977502363</v>
      </c>
    </row>
    <row r="30" customFormat="false" ht="15" hidden="false" customHeight="false" outlineLevel="0" collapsed="false">
      <c r="A30" s="0" t="s">
        <v>239</v>
      </c>
      <c r="B30" s="32" t="n">
        <f aca="false">B28*B29</f>
        <v>4.371</v>
      </c>
      <c r="C30" s="32" t="n">
        <f aca="false">C28*C29</f>
        <v>4.75382675</v>
      </c>
      <c r="D30" s="32" t="n">
        <f aca="false">D28*D29</f>
        <v>5.173390298</v>
      </c>
      <c r="E30" s="32" t="n">
        <f aca="false">E28*E29</f>
        <v>5.463100154688</v>
      </c>
      <c r="F30" s="32" t="n">
        <f aca="false">F28*F29</f>
        <v>5.76903376335053</v>
      </c>
      <c r="G30" s="32" t="n">
        <f aca="false">G28*G29</f>
        <v>6.05402403126005</v>
      </c>
      <c r="H30" s="32" t="n">
        <f aca="false">H28*H29</f>
        <v>6.35073593735061</v>
      </c>
      <c r="I30" s="32" t="n">
        <f aca="false">I28*I29</f>
        <v>6.65951434585898</v>
      </c>
      <c r="J30" s="32" t="n">
        <f aca="false">J28*J29</f>
        <v>6.98070654031575</v>
      </c>
      <c r="K30" s="32" t="n">
        <f aca="false">K28*K29</f>
        <v>7.3146617512797</v>
      </c>
      <c r="L30" s="32"/>
    </row>
    <row r="31" customFormat="false" ht="15" hidden="false" customHeight="false" outlineLevel="0" collapsed="false">
      <c r="A31" s="0" t="s">
        <v>240</v>
      </c>
      <c r="B31" s="32" t="n">
        <f aca="false">B30*(1-$B$7)</f>
        <v>1.52985</v>
      </c>
      <c r="C31" s="32" t="n">
        <f aca="false">C30*(1-$B$7)</f>
        <v>1.6638393625</v>
      </c>
      <c r="D31" s="32" t="n">
        <f aca="false">D30*(1-$B$7)</f>
        <v>1.8106866043</v>
      </c>
      <c r="E31" s="32" t="n">
        <f aca="false">E30*(1-$B$7)</f>
        <v>1.9120850541408</v>
      </c>
      <c r="F31" s="32" t="n">
        <f aca="false">F30*(1-$B$7)</f>
        <v>2.01916181717269</v>
      </c>
      <c r="G31" s="32" t="n">
        <f aca="false">G30*(1-$B$7)</f>
        <v>2.11890841094102</v>
      </c>
      <c r="H31" s="32" t="n">
        <f aca="false">H30*(1-$B$7)</f>
        <v>2.22275757807271</v>
      </c>
      <c r="I31" s="32" t="n">
        <f aca="false">I30*(1-$B$7)</f>
        <v>2.33083002105064</v>
      </c>
      <c r="J31" s="32" t="n">
        <f aca="false">J30*(1-$B$7)</f>
        <v>2.44324728911051</v>
      </c>
      <c r="K31" s="32" t="n">
        <f aca="false">K30*(1-$B$7)</f>
        <v>2.56013161294789</v>
      </c>
      <c r="L31" s="32"/>
    </row>
    <row r="32" customFormat="false" ht="15" hidden="false" customHeight="false" outlineLevel="0" collapsed="false">
      <c r="A32" s="0" t="s">
        <v>241</v>
      </c>
      <c r="B32" s="32" t="n">
        <f aca="false">(B28-$B$8)*B29</f>
        <v>1.3113</v>
      </c>
      <c r="C32" s="32" t="n">
        <f aca="false">(C28-$B$8)*C29</f>
        <v>1.5334925</v>
      </c>
      <c r="D32" s="32" t="n">
        <f aca="false">(D28-$B$8)*D29</f>
        <v>1.7783529149375</v>
      </c>
      <c r="E32" s="32" t="n">
        <f aca="false">(E28-$B$8)*E29</f>
        <v>1.877940678174</v>
      </c>
      <c r="F32" s="32" t="n">
        <f aca="false">(F28-$B$8)*F29</f>
        <v>1.98310535615174</v>
      </c>
      <c r="G32" s="32" t="n">
        <f aca="false">(G28-$B$8)*G29</f>
        <v>2.05608363325813</v>
      </c>
      <c r="H32" s="32" t="n">
        <f aca="false">(H28-$B$8)*H29</f>
        <v>2.13031015619989</v>
      </c>
      <c r="I32" s="32" t="n">
        <f aca="false">(I28-$B$8)*I29</f>
        <v>2.20569901901062</v>
      </c>
      <c r="J32" s="32" t="n">
        <f aca="false">(J28-$B$8)*J29</f>
        <v>2.28215406125707</v>
      </c>
      <c r="K32" s="32" t="n">
        <f aca="false">(K28-$B$8)*K29</f>
        <v>2.35956830686442</v>
      </c>
      <c r="L32" s="32" t="n">
        <f aca="false">(L28-$B$8)*L29</f>
        <v>2.48757488751181</v>
      </c>
    </row>
    <row r="33" customFormat="false" ht="15" hidden="false" customHeight="false" outlineLevel="0" collapsed="false">
      <c r="A33" s="0" t="s">
        <v>143</v>
      </c>
      <c r="B33" s="30" t="n">
        <f aca="false">1/(1+$B$8)^B$12</f>
        <v>0.904977375565611</v>
      </c>
      <c r="C33" s="30" t="n">
        <f aca="false">1/(1+$B$8)^C$12</f>
        <v>0.818984050285621</v>
      </c>
      <c r="D33" s="30" t="n">
        <f aca="false">1/(1+$B$8)^D$12</f>
        <v>0.741162036457575</v>
      </c>
      <c r="E33" s="30" t="n">
        <f aca="false">1/(1+$B$8)^E$12</f>
        <v>0.67073487462224</v>
      </c>
      <c r="F33" s="30" t="n">
        <f aca="false">1/(1+$B$8)^F$12</f>
        <v>0.606999886535964</v>
      </c>
      <c r="G33" s="30" t="n">
        <f aca="false">1/(1+$B$8)^G$12</f>
        <v>0.54932116428594</v>
      </c>
      <c r="H33" s="30" t="n">
        <f aca="false">1/(1+$B$8)^H$12</f>
        <v>0.497123225598136</v>
      </c>
      <c r="I33" s="30" t="n">
        <f aca="false">1/(1+$B$8)^I$12</f>
        <v>0.449885272034512</v>
      </c>
      <c r="J33" s="30" t="n">
        <f aca="false">1/(1+$B$8)^J$12</f>
        <v>0.407135992791414</v>
      </c>
      <c r="K33" s="30" t="n">
        <f aca="false">1/(1+$B$8)^K$12</f>
        <v>0.368448862254673</v>
      </c>
      <c r="L33" s="30"/>
    </row>
    <row r="34" customFormat="false" ht="15" hidden="false" customHeight="false" outlineLevel="0" collapsed="false">
      <c r="A34" s="0" t="s">
        <v>242</v>
      </c>
      <c r="B34" s="32" t="n">
        <f aca="false">B32*B33</f>
        <v>1.18669683257919</v>
      </c>
      <c r="C34" s="32" t="n">
        <f aca="false">C32*C33</f>
        <v>1.25590589873262</v>
      </c>
      <c r="D34" s="32" t="n">
        <f aca="false">D32*D33</f>
        <v>1.31804766797534</v>
      </c>
      <c r="E34" s="32" t="n">
        <f aca="false">E32*E33</f>
        <v>1.25960030532304</v>
      </c>
      <c r="F34" s="32" t="n">
        <f aca="false">F32*F33</f>
        <v>1.20374472617297</v>
      </c>
      <c r="G34" s="32" t="n">
        <f aca="false">G32*G33</f>
        <v>1.12945025529062</v>
      </c>
      <c r="H34" s="32" t="n">
        <f aca="false">H32*H33</f>
        <v>1.05902665637456</v>
      </c>
      <c r="I34" s="32" t="n">
        <f aca="false">I32*I33</f>
        <v>0.992311503193848</v>
      </c>
      <c r="J34" s="32" t="n">
        <f aca="false">J32*J33</f>
        <v>0.929147059432855</v>
      </c>
      <c r="K34" s="32" t="n">
        <f aca="false">K32*K33</f>
        <v>0.86938025807638</v>
      </c>
      <c r="L34" s="32"/>
    </row>
    <row r="35" customFormat="false" ht="15" hidden="false" customHeight="false" outlineLevel="0" collapsed="false">
      <c r="A35" s="0" t="s">
        <v>243</v>
      </c>
      <c r="B35" s="11" t="n">
        <v>0.04</v>
      </c>
    </row>
    <row r="36" customFormat="false" ht="15" hidden="false" customHeight="false" outlineLevel="0" collapsed="false">
      <c r="A36" s="0" t="s">
        <v>244</v>
      </c>
      <c r="B36" s="7" t="n">
        <f aca="false">L32/($B$8-B35)/(1+$B$8)^$K$12</f>
        <v>14.1006790319542</v>
      </c>
    </row>
    <row r="37" customFormat="false" ht="15" hidden="false" customHeight="false" outlineLevel="0" collapsed="false">
      <c r="A37" s="0" t="s">
        <v>245</v>
      </c>
      <c r="B37" s="31" t="n">
        <f aca="false">$B$6+SUM(B34:K34)+B36</f>
        <v>54.4439901951056</v>
      </c>
    </row>
    <row r="38" customFormat="false" ht="15" hidden="false" customHeight="false" outlineLevel="0" collapsed="false">
      <c r="A38" s="0" t="s">
        <v>149</v>
      </c>
      <c r="B38" s="6" t="n">
        <f aca="false">B37/$B$4-1</f>
        <v>0.0718375862802567</v>
      </c>
    </row>
    <row r="39" customFormat="false" ht="15" hidden="false" customHeight="false" outlineLevel="0" collapsed="false">
      <c r="A39" s="12" t="s">
        <v>257</v>
      </c>
      <c r="B39" s="26"/>
      <c r="C39" s="26"/>
      <c r="D39" s="26"/>
      <c r="E39" s="26"/>
      <c r="F39" s="26"/>
      <c r="G39" s="26"/>
      <c r="H39" s="26"/>
      <c r="I39" s="26"/>
      <c r="J39" s="26"/>
      <c r="K39" s="26"/>
      <c r="L39" s="26"/>
    </row>
    <row r="40" customFormat="false" ht="15" hidden="false" customHeight="false" outlineLevel="0" collapsed="false">
      <c r="A40" s="0" t="s">
        <v>237</v>
      </c>
      <c r="B40" s="11" t="n">
        <v>0.155</v>
      </c>
      <c r="C40" s="11" t="n">
        <v>0.165</v>
      </c>
      <c r="D40" s="11" t="n">
        <v>0.175</v>
      </c>
      <c r="E40" s="11" t="n">
        <v>0.18</v>
      </c>
      <c r="F40" s="11" t="n">
        <v>0.18</v>
      </c>
      <c r="G40" s="8" t="n">
        <f aca="false">$F40+($L40-$F40)*G$13/5</f>
        <v>0.178</v>
      </c>
      <c r="H40" s="8" t="n">
        <f aca="false">$F40+($L40-$F40)*H$13/5</f>
        <v>0.176</v>
      </c>
      <c r="I40" s="8" t="n">
        <f aca="false">$F40+($L40-$F40)*I$13/5</f>
        <v>0.174</v>
      </c>
      <c r="J40" s="8" t="n">
        <f aca="false">$F40+($L40-$F40)*J$13/5</f>
        <v>0.172</v>
      </c>
      <c r="K40" s="8" t="n">
        <f aca="false">$F40+($L40-$F40)*K$13/5</f>
        <v>0.17</v>
      </c>
      <c r="L40" s="17" t="n">
        <v>0.17</v>
      </c>
    </row>
    <row r="41" customFormat="false" ht="15" hidden="false" customHeight="false" outlineLevel="0" collapsed="false">
      <c r="A41" s="0" t="s">
        <v>238</v>
      </c>
      <c r="B41" s="32" t="n">
        <f aca="false">$B$6</f>
        <v>29.14</v>
      </c>
      <c r="C41" s="32" t="n">
        <f aca="false">B41+B43</f>
        <v>30.720845</v>
      </c>
      <c r="D41" s="32" t="n">
        <f aca="false">C41+C43</f>
        <v>32.49497379875</v>
      </c>
      <c r="E41" s="32" t="n">
        <f aca="false">D41+D43</f>
        <v>34.4852909439234</v>
      </c>
      <c r="F41" s="32" t="n">
        <f aca="false">E41+E43</f>
        <v>36.6578642733906</v>
      </c>
      <c r="G41" s="32" t="n">
        <f aca="false">F41+F43</f>
        <v>38.9673097226142</v>
      </c>
      <c r="H41" s="32" t="n">
        <f aca="false">G41+G43</f>
        <v>41.3949731183331</v>
      </c>
      <c r="I41" s="32" t="n">
        <f aca="false">H41+H43</f>
        <v>43.9449034624224</v>
      </c>
      <c r="J41" s="32" t="n">
        <f aca="false">I41+I43</f>
        <v>46.6211480832839</v>
      </c>
      <c r="K41" s="32" t="n">
        <f aca="false">J41+J43</f>
        <v>49.4277411978976</v>
      </c>
      <c r="L41" s="32" t="n">
        <f aca="false">K41+K43</f>
        <v>52.3686917991725</v>
      </c>
    </row>
    <row r="42" customFormat="false" ht="15" hidden="false" customHeight="false" outlineLevel="0" collapsed="false">
      <c r="A42" s="0" t="s">
        <v>239</v>
      </c>
      <c r="B42" s="32" t="n">
        <f aca="false">B40*B41</f>
        <v>4.5167</v>
      </c>
      <c r="C42" s="32" t="n">
        <f aca="false">C40*C41</f>
        <v>5.068939425</v>
      </c>
      <c r="D42" s="32" t="n">
        <f aca="false">D40*D41</f>
        <v>5.68662041478125</v>
      </c>
      <c r="E42" s="32" t="n">
        <f aca="false">E40*E41</f>
        <v>6.20735236990622</v>
      </c>
      <c r="F42" s="32" t="n">
        <f aca="false">F40*F41</f>
        <v>6.59841556921031</v>
      </c>
      <c r="G42" s="32" t="n">
        <f aca="false">G40*G41</f>
        <v>6.93618113062533</v>
      </c>
      <c r="H42" s="32" t="n">
        <f aca="false">H40*H41</f>
        <v>7.28551526882662</v>
      </c>
      <c r="I42" s="32" t="n">
        <f aca="false">I40*I41</f>
        <v>7.6464132024615</v>
      </c>
      <c r="J42" s="32" t="n">
        <f aca="false">J40*J41</f>
        <v>8.01883747032484</v>
      </c>
      <c r="K42" s="32" t="n">
        <f aca="false">K40*K41</f>
        <v>8.4027160036426</v>
      </c>
      <c r="L42" s="32"/>
    </row>
    <row r="43" customFormat="false" ht="15" hidden="false" customHeight="false" outlineLevel="0" collapsed="false">
      <c r="A43" s="0" t="s">
        <v>240</v>
      </c>
      <c r="B43" s="32" t="n">
        <f aca="false">B42*(1-$B$7)</f>
        <v>1.580845</v>
      </c>
      <c r="C43" s="32" t="n">
        <f aca="false">C42*(1-$B$7)</f>
        <v>1.77412879875</v>
      </c>
      <c r="D43" s="32" t="n">
        <f aca="false">D42*(1-$B$7)</f>
        <v>1.99031714517344</v>
      </c>
      <c r="E43" s="32" t="n">
        <f aca="false">E42*(1-$B$7)</f>
        <v>2.17257332946718</v>
      </c>
      <c r="F43" s="32" t="n">
        <f aca="false">F42*(1-$B$7)</f>
        <v>2.30944544922361</v>
      </c>
      <c r="G43" s="32" t="n">
        <f aca="false">G42*(1-$B$7)</f>
        <v>2.42766339571887</v>
      </c>
      <c r="H43" s="32" t="n">
        <f aca="false">H42*(1-$B$7)</f>
        <v>2.54993034408932</v>
      </c>
      <c r="I43" s="32" t="n">
        <f aca="false">I42*(1-$B$7)</f>
        <v>2.67624462086153</v>
      </c>
      <c r="J43" s="32" t="n">
        <f aca="false">J42*(1-$B$7)</f>
        <v>2.80659311461369</v>
      </c>
      <c r="K43" s="32" t="n">
        <f aca="false">K42*(1-$B$7)</f>
        <v>2.94095060127491</v>
      </c>
      <c r="L43" s="32"/>
    </row>
    <row r="44" customFormat="false" ht="15" hidden="false" customHeight="false" outlineLevel="0" collapsed="false">
      <c r="A44" s="0" t="s">
        <v>241</v>
      </c>
      <c r="B44" s="32" t="n">
        <f aca="false">(B40-$B$8)*B41</f>
        <v>1.457</v>
      </c>
      <c r="C44" s="32" t="n">
        <f aca="false">(C40-$B$8)*C41</f>
        <v>1.8432507</v>
      </c>
      <c r="D44" s="32" t="n">
        <f aca="false">(D40-$B$8)*D41</f>
        <v>2.2746481659125</v>
      </c>
      <c r="E44" s="32" t="n">
        <f aca="false">(E40-$B$8)*E41</f>
        <v>2.58639682079426</v>
      </c>
      <c r="F44" s="32" t="n">
        <f aca="false">(F40-$B$8)*F41</f>
        <v>2.7493398205043</v>
      </c>
      <c r="G44" s="32" t="n">
        <f aca="false">(G40-$B$8)*G41</f>
        <v>2.84461360975084</v>
      </c>
      <c r="H44" s="32" t="n">
        <f aca="false">(H40-$B$8)*H41</f>
        <v>2.93904309140165</v>
      </c>
      <c r="I44" s="32" t="n">
        <f aca="false">(I40-$B$8)*I41</f>
        <v>3.03219833890715</v>
      </c>
      <c r="J44" s="32" t="n">
        <f aca="false">(J40-$B$8)*J41</f>
        <v>3.12361692158002</v>
      </c>
      <c r="K44" s="32" t="n">
        <f aca="false">(K40-$B$8)*K41</f>
        <v>3.21280317786335</v>
      </c>
      <c r="L44" s="32" t="n">
        <f aca="false">(L40-$B$8)*L41</f>
        <v>3.40396496694622</v>
      </c>
    </row>
    <row r="45" customFormat="false" ht="15" hidden="false" customHeight="false" outlineLevel="0" collapsed="false">
      <c r="A45" s="0" t="s">
        <v>143</v>
      </c>
      <c r="B45" s="30" t="n">
        <f aca="false">1/(1+$B$8)^B$12</f>
        <v>0.904977375565611</v>
      </c>
      <c r="C45" s="30" t="n">
        <f aca="false">1/(1+$B$8)^C$12</f>
        <v>0.818984050285621</v>
      </c>
      <c r="D45" s="30" t="n">
        <f aca="false">1/(1+$B$8)^D$12</f>
        <v>0.741162036457575</v>
      </c>
      <c r="E45" s="30" t="n">
        <f aca="false">1/(1+$B$8)^E$12</f>
        <v>0.67073487462224</v>
      </c>
      <c r="F45" s="30" t="n">
        <f aca="false">1/(1+$B$8)^F$12</f>
        <v>0.606999886535964</v>
      </c>
      <c r="G45" s="30" t="n">
        <f aca="false">1/(1+$B$8)^G$12</f>
        <v>0.54932116428594</v>
      </c>
      <c r="H45" s="30" t="n">
        <f aca="false">1/(1+$B$8)^H$12</f>
        <v>0.497123225598136</v>
      </c>
      <c r="I45" s="30" t="n">
        <f aca="false">1/(1+$B$8)^I$12</f>
        <v>0.449885272034512</v>
      </c>
      <c r="J45" s="30" t="n">
        <f aca="false">1/(1+$B$8)^J$12</f>
        <v>0.407135992791414</v>
      </c>
      <c r="K45" s="30" t="n">
        <f aca="false">1/(1+$B$8)^K$12</f>
        <v>0.368448862254673</v>
      </c>
      <c r="L45" s="30"/>
    </row>
    <row r="46" customFormat="false" ht="15" hidden="false" customHeight="false" outlineLevel="0" collapsed="false">
      <c r="A46" s="0" t="s">
        <v>242</v>
      </c>
      <c r="B46" s="32" t="n">
        <f aca="false">B44*B45</f>
        <v>1.3185520361991</v>
      </c>
      <c r="C46" s="32" t="n">
        <f aca="false">C44*C45</f>
        <v>1.50959292397781</v>
      </c>
      <c r="D46" s="32" t="n">
        <f aca="false">D44*D45</f>
        <v>1.6858828668722</v>
      </c>
      <c r="E46" s="32" t="n">
        <f aca="false">E44*E45</f>
        <v>1.7347865473188</v>
      </c>
      <c r="F46" s="32" t="n">
        <f aca="false">F44*F45</f>
        <v>1.66884895909492</v>
      </c>
      <c r="G46" s="32" t="n">
        <f aca="false">G44*G45</f>
        <v>1.56260646005196</v>
      </c>
      <c r="H46" s="32" t="n">
        <f aca="false">H44*H45</f>
        <v>1.46106658176951</v>
      </c>
      <c r="I46" s="32" t="n">
        <f aca="false">I44*I45</f>
        <v>1.36414137456184</v>
      </c>
      <c r="J46" s="32" t="n">
        <f aca="false">J44*J45</f>
        <v>1.27173687646754</v>
      </c>
      <c r="K46" s="32" t="n">
        <f aca="false">K44*K45</f>
        <v>1.18375367553195</v>
      </c>
      <c r="L46" s="32"/>
    </row>
    <row r="47" customFormat="false" ht="15" hidden="false" customHeight="false" outlineLevel="0" collapsed="false">
      <c r="A47" s="0" t="s">
        <v>243</v>
      </c>
      <c r="B47" s="11" t="n">
        <v>0.04</v>
      </c>
    </row>
    <row r="48" customFormat="false" ht="15" hidden="false" customHeight="false" outlineLevel="0" collapsed="false">
      <c r="A48" s="0" t="s">
        <v>244</v>
      </c>
      <c r="B48" s="7" t="n">
        <f aca="false">L44/($B$8-B47)/(1+$B$8)^$K$12</f>
        <v>19.2951849111708</v>
      </c>
    </row>
    <row r="49" customFormat="false" ht="15" hidden="false" customHeight="false" outlineLevel="0" collapsed="false">
      <c r="A49" s="0" t="s">
        <v>245</v>
      </c>
      <c r="B49" s="31" t="n">
        <f aca="false">$B$6+SUM(B46:K46)+B48</f>
        <v>63.1961532130164</v>
      </c>
    </row>
    <row r="50" customFormat="false" ht="15" hidden="false" customHeight="false" outlineLevel="0" collapsed="false">
      <c r="A50" s="0" t="s">
        <v>149</v>
      </c>
      <c r="B50" s="6" t="n">
        <f aca="false">B49/$B$4-1</f>
        <v>0.244141218880133</v>
      </c>
    </row>
    <row r="52" customFormat="false" ht="15" hidden="false" customHeight="false" outlineLevel="0" collapsed="false">
      <c r="A52" s="12" t="s">
        <v>152</v>
      </c>
      <c r="B52" s="26"/>
      <c r="C52" s="12" t="s">
        <v>153</v>
      </c>
      <c r="D52" s="26"/>
      <c r="E52" s="26"/>
      <c r="F52" s="26"/>
      <c r="G52" s="26"/>
      <c r="H52" s="26"/>
      <c r="I52" s="26"/>
      <c r="J52" s="26"/>
      <c r="K52" s="26"/>
      <c r="L52" s="26"/>
    </row>
    <row r="53" customFormat="false" ht="15" hidden="false" customHeight="false" outlineLevel="0" collapsed="false">
      <c r="A53" s="0" t="s">
        <v>154</v>
      </c>
      <c r="B53" s="7" t="n">
        <f aca="false">B25</f>
        <v>35.5553257613892</v>
      </c>
      <c r="C53" s="6" t="n">
        <f aca="false">B53/$B$4-1</f>
        <v>-0.3000231172086</v>
      </c>
    </row>
    <row r="54" customFormat="false" ht="15" hidden="false" customHeight="false" outlineLevel="0" collapsed="false">
      <c r="A54" s="0" t="s">
        <v>155</v>
      </c>
      <c r="B54" s="7" t="n">
        <f aca="false">B37</f>
        <v>54.4439901951056</v>
      </c>
      <c r="C54" s="6" t="n">
        <f aca="false">B54/$B$4-1</f>
        <v>0.0718375862802567</v>
      </c>
    </row>
    <row r="55" customFormat="false" ht="15" hidden="false" customHeight="false" outlineLevel="0" collapsed="false">
      <c r="A55" s="0" t="s">
        <v>156</v>
      </c>
      <c r="B55" s="7" t="n">
        <f aca="false">B49</f>
        <v>63.1961532130164</v>
      </c>
      <c r="C55" s="6" t="n">
        <f aca="false">B55/$B$4-1</f>
        <v>0.244141218880133</v>
      </c>
    </row>
    <row r="56" customFormat="false" ht="15" hidden="false" customHeight="false" outlineLevel="0" collapsed="false">
      <c r="A56" s="0" t="s">
        <v>157</v>
      </c>
      <c r="B56" s="7" t="n">
        <f aca="false">INDEX(B25:B49,1+($B$9-1)*12)</f>
        <v>54.4439901951056</v>
      </c>
      <c r="C56" s="6" t="n">
        <f aca="false">B56/$B$4-1</f>
        <v>0.0718375862802567</v>
      </c>
    </row>
    <row r="57" customFormat="false" ht="15" hidden="false" customHeight="false" outlineLevel="0" collapsed="false">
      <c r="A57" s="0" t="s">
        <v>248</v>
      </c>
      <c r="B57" s="33" t="n">
        <f aca="false">B54/$B$6</f>
        <v>1.86835930662682</v>
      </c>
    </row>
    <row r="58" customFormat="false" ht="15" hidden="false" customHeight="false" outlineLevel="0" collapsed="false">
      <c r="A58" s="0" t="s">
        <v>249</v>
      </c>
      <c r="B58" s="33" t="n">
        <f aca="false">B4/B6</f>
        <v>1.74313658201784</v>
      </c>
    </row>
    <row r="60" customFormat="false" ht="15" hidden="false" customHeight="false" outlineLevel="0" collapsed="false">
      <c r="A60" s="9" t="s">
        <v>250</v>
      </c>
    </row>
    <row r="61" customFormat="false" ht="15" hidden="false" customHeight="false" outlineLevel="0" collapsed="false">
      <c r="A61" s="0" t="s">
        <v>68</v>
      </c>
      <c r="B61" s="11" t="n">
        <v>0.05</v>
      </c>
      <c r="C61" s="11" t="n">
        <v>0.06</v>
      </c>
      <c r="D61" s="11" t="n">
        <v>0.07</v>
      </c>
      <c r="E61" s="11" t="n">
        <v>0.08</v>
      </c>
      <c r="F61" s="11" t="n">
        <v>0.09</v>
      </c>
      <c r="G61" s="11" t="n">
        <v>0.1</v>
      </c>
      <c r="H61" s="11" t="n">
        <v>0.11</v>
      </c>
      <c r="I61" s="11" t="n">
        <v>0.12</v>
      </c>
      <c r="J61" s="11" t="n">
        <v>0.13</v>
      </c>
      <c r="K61" s="11" t="n">
        <v>0.14</v>
      </c>
    </row>
    <row r="62" customFormat="false" ht="15" hidden="false" customHeight="false" outlineLevel="0" collapsed="false">
      <c r="A62" s="0" t="s">
        <v>155</v>
      </c>
      <c r="B62" s="7" t="n">
        <f aca="false">IF(B$61&gt;$B$35,$B$6+SUMPRODUCT(($B$28:$K$28-B$61)*$B$29:$K$29/(1+B$61)^$B$12:$K$12)+($L$28-B$61)*$L$29/(B$61-$B$35)/(1+B$61)^$K$12,"n/a")</f>
        <v>380.162343386952</v>
      </c>
      <c r="C62" s="7" t="n">
        <f aca="false">IF(C$61&gt;$B$35,$B$6+SUMPRODUCT(($B$28:$K$28-C$61)*$B$29:$K$29/(1+C$61)^$B$12:$K$12)+($L$28-C$61)*$L$29/(C$61-$B$35)/(1+C$61)^$K$12,"n/a")</f>
        <v>187.18520530772</v>
      </c>
      <c r="D62" s="7" t="n">
        <f aca="false">IF(D$61&gt;$B$35,$B$6+SUMPRODUCT(($B$28:$K$28-D$61)*$B$29:$K$29/(1+D$61)^$B$12:$K$12)+($L$28-D$61)*$L$29/(D$61-$B$35)/(1+D$61)^$K$12,"n/a")</f>
        <v>123.02839114445</v>
      </c>
      <c r="E62" s="7" t="n">
        <f aca="false">IF(E$61&gt;$B$35,$B$6+SUMPRODUCT(($B$28:$K$28-E$61)*$B$29:$K$29/(1+E$61)^$B$12:$K$12)+($L$28-E$61)*$L$29/(E$61-$B$35)/(1+E$61)^$K$12,"n/a")</f>
        <v>91.0638294788459</v>
      </c>
      <c r="F62" s="7" t="n">
        <f aca="false">IF(F$61&gt;$B$35,$B$6+SUMPRODUCT(($B$28:$K$28-F$61)*$B$29:$K$29/(1+F$61)^$B$12:$K$12)+($L$28-F$61)*$L$29/(F$61-$B$35)/(1+F$61)^$K$12,"n/a")</f>
        <v>71.9670485364214</v>
      </c>
      <c r="G62" s="7" t="n">
        <f aca="false">IF(G$61&gt;$B$35,$B$6+SUMPRODUCT(($B$28:$K$28-G$61)*$B$29:$K$29/(1+G$61)^$B$12:$K$12)+($L$28-G$61)*$L$29/(G$61-$B$35)/(1+G$61)^$K$12,"n/a")</f>
        <v>59.2973954947593</v>
      </c>
      <c r="H62" s="7" t="n">
        <f aca="false">IF(H$61&gt;$B$35,$B$6+SUMPRODUCT(($B$28:$K$28-H$61)*$B$29:$K$29/(1+H$61)^$B$12:$K$12)+($L$28-H$61)*$L$29/(H$61-$B$35)/(1+H$61)^$K$12,"n/a")</f>
        <v>50.295223235083</v>
      </c>
      <c r="I62" s="7" t="n">
        <f aca="false">IF(I$61&gt;$B$35,$B$6+SUMPRODUCT(($B$28:$K$28-I$61)*$B$29:$K$29/(1+I$61)^$B$12:$K$12)+($L$28-I$61)*$L$29/(I$61-$B$35)/(1+I$61)^$K$12,"n/a")</f>
        <v>43.5811965287824</v>
      </c>
      <c r="J62" s="7" t="n">
        <f aca="false">IF(J$61&gt;$B$35,$B$6+SUMPRODUCT(($B$28:$K$28-J$61)*$B$29:$K$29/(1+J$61)^$B$12:$K$12)+($L$28-J$61)*$L$29/(J$61-$B$35)/(1+J$61)^$K$12,"n/a")</f>
        <v>38.3894014043861</v>
      </c>
      <c r="K62" s="7" t="n">
        <f aca="false">IF(K$61&gt;$B$35,$B$6+SUMPRODUCT(($B$28:$K$28-K$61)*$B$29:$K$29/(1+K$61)^$B$12:$K$12)+($L$28-K$61)*$L$29/(K$61-$B$35)/(1+K$61)^$K$12,"n/a")</f>
        <v>34.2605945899219</v>
      </c>
    </row>
    <row r="63" customFormat="false" ht="15" hidden="false" customHeight="false" outlineLevel="0" collapsed="false">
      <c r="A63" s="0" t="s">
        <v>160</v>
      </c>
      <c r="B63" s="6" t="n">
        <f aca="false">IFERROR(B62/$B$4-1,"n/a")</f>
        <v>6.48424733511077</v>
      </c>
      <c r="C63" s="6" t="n">
        <f aca="false">IFERROR(C62/$B$4-1,"n/a")</f>
        <v>2.68511084373896</v>
      </c>
      <c r="D63" s="6" t="n">
        <f aca="false">IFERROR(D62/$B$4-1,"n/a")</f>
        <v>1.42205711476424</v>
      </c>
      <c r="E63" s="6" t="n">
        <f aca="false">IFERROR(E62/$B$4-1,"n/a")</f>
        <v>0.792771522371216</v>
      </c>
      <c r="F63" s="6" t="n">
        <f aca="false">IFERROR(F62/$B$4-1,"n/a")</f>
        <v>0.416813633948644</v>
      </c>
      <c r="G63" s="6" t="n">
        <f aca="false">IFERROR(G62/$B$4-1,"n/a")</f>
        <v>0.167386465100094</v>
      </c>
      <c r="H63" s="6" t="n">
        <f aca="false">IFERROR(H62/$B$4-1,"n/a")</f>
        <v>-0.0098390937083771</v>
      </c>
      <c r="I63" s="6" t="n">
        <f aca="false">IFERROR(I62/$B$4-1,"n/a")</f>
        <v>-0.14201798348691</v>
      </c>
      <c r="J63" s="6" t="n">
        <f aca="false">IFERROR(J62/$B$4-1,"n/a")</f>
        <v>-0.244228735025375</v>
      </c>
      <c r="K63" s="6" t="n">
        <f aca="false">IFERROR(K62/$B$4-1,"n/a")</f>
        <v>-0.325512460086192</v>
      </c>
    </row>
    <row r="65" customFormat="false" ht="15" hidden="false" customHeight="false" outlineLevel="0" collapsed="false">
      <c r="A65" s="9" t="s">
        <v>161</v>
      </c>
      <c r="B65" s="18" t="n">
        <f aca="false">IFERROR(IF(MATCH($B$4,$B$62:$K$62,-1)=10,"above 14%",INDEX($B$61:$K$61,MATCH($B$4,$B$62:$K$62,-1))+(INDEX($B$62:$K$62,MATCH($B$4,$B$62:$K$62,-1))-$B$4)/(INDEX($B$62:$K$62,MATCH($B$4,$B$62:$K$62,-1))-INDEX($B$62:$K$62,MATCH($B$4,$B$62:$K$62,-1)+1))*(INDEX($B$61:$K$61,MATCH($B$4,$B$62:$K$62,-1)+1)-INDEX($B$61:$K$61,MATCH($B$4,$B$62:$K$62,-1)))),"below 5%")</f>
        <v>0.10944482648132</v>
      </c>
      <c r="C65" s="2" t="s">
        <v>251</v>
      </c>
    </row>
    <row r="66" customFormat="false" ht="15" hidden="false" customHeight="false" outlineLevel="0" collapsed="false">
      <c r="A66" s="2"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8" min="2" style="0" width="14"/>
  </cols>
  <sheetData>
    <row r="1" customFormat="false" ht="16.15" hidden="false" customHeight="false" outlineLevel="0" collapsed="false">
      <c r="A1" s="1" t="s">
        <v>258</v>
      </c>
    </row>
    <row r="2" customFormat="false" ht="15" hidden="false" customHeight="false" outlineLevel="0" collapsed="false">
      <c r="A2" s="2" t="s">
        <v>259</v>
      </c>
    </row>
    <row r="4" customFormat="false" ht="15" hidden="false" customHeight="false" outlineLevel="0" collapsed="false">
      <c r="A4" s="0" t="s">
        <v>101</v>
      </c>
      <c r="B4" s="19" t="n">
        <v>2.43</v>
      </c>
      <c r="C4" s="2" t="s">
        <v>102</v>
      </c>
    </row>
    <row r="5" customFormat="false" ht="15" hidden="false" customHeight="false" outlineLevel="0" collapsed="false">
      <c r="A5" s="0" t="s">
        <v>260</v>
      </c>
      <c r="B5" s="21" t="n">
        <v>0.44114</v>
      </c>
      <c r="C5" s="2" t="s">
        <v>61</v>
      </c>
    </row>
    <row r="6" customFormat="false" ht="15" hidden="false" customHeight="false" outlineLevel="0" collapsed="false">
      <c r="A6" s="0" t="s">
        <v>261</v>
      </c>
      <c r="B6" s="21" t="n">
        <v>0.09866</v>
      </c>
      <c r="C6" s="2" t="s">
        <v>61</v>
      </c>
    </row>
    <row r="7" customFormat="false" ht="15" hidden="false" customHeight="false" outlineLevel="0" collapsed="false">
      <c r="A7" s="0" t="s">
        <v>262</v>
      </c>
      <c r="B7" s="22" t="n">
        <v>5.508</v>
      </c>
      <c r="C7" s="2" t="s">
        <v>263</v>
      </c>
    </row>
    <row r="8" customFormat="false" ht="15" hidden="false" customHeight="false" outlineLevel="0" collapsed="false">
      <c r="A8" s="0" t="s">
        <v>264</v>
      </c>
      <c r="B8" s="22" t="n">
        <v>18.1</v>
      </c>
      <c r="C8" s="2" t="s">
        <v>265</v>
      </c>
    </row>
    <row r="9" customFormat="false" ht="15" hidden="false" customHeight="false" outlineLevel="0" collapsed="false">
      <c r="A9" s="0" t="s">
        <v>266</v>
      </c>
      <c r="B9" s="17" t="n">
        <v>0.15</v>
      </c>
      <c r="C9" s="2" t="s">
        <v>267</v>
      </c>
    </row>
    <row r="11" customFormat="false" ht="42" hidden="false" customHeight="true" outlineLevel="0" collapsed="false">
      <c r="A11" s="34" t="s">
        <v>268</v>
      </c>
      <c r="B11" s="34" t="s">
        <v>269</v>
      </c>
      <c r="C11" s="34" t="s">
        <v>270</v>
      </c>
      <c r="D11" s="34" t="s">
        <v>271</v>
      </c>
      <c r="E11" s="34" t="s">
        <v>272</v>
      </c>
      <c r="F11" s="34" t="s">
        <v>273</v>
      </c>
      <c r="G11" s="34" t="s">
        <v>274</v>
      </c>
      <c r="H11" s="34" t="s">
        <v>275</v>
      </c>
    </row>
    <row r="12" customFormat="false" ht="15" hidden="false" customHeight="false" outlineLevel="0" collapsed="false">
      <c r="A12" s="0" t="s">
        <v>276</v>
      </c>
      <c r="B12" s="17" t="n">
        <v>0.4</v>
      </c>
      <c r="C12" s="11" t="n">
        <v>0</v>
      </c>
      <c r="D12" s="11" t="n">
        <v>0</v>
      </c>
      <c r="E12" s="21" t="n">
        <v>0.44114</v>
      </c>
      <c r="F12" s="35" t="n">
        <v>1</v>
      </c>
      <c r="G12" s="7" t="n">
        <f aca="false">($B$7*C12+$B$8*D12+$B$6)/E12/(1+$B$9)^F12</f>
        <v>0.194476366568042</v>
      </c>
      <c r="H12" s="7" t="n">
        <f aca="false">B12*G12</f>
        <v>0.0777905466272169</v>
      </c>
    </row>
    <row r="13" customFormat="false" ht="15" hidden="false" customHeight="false" outlineLevel="0" collapsed="false">
      <c r="A13" s="0" t="s">
        <v>277</v>
      </c>
      <c r="B13" s="17" t="n">
        <v>0.45</v>
      </c>
      <c r="C13" s="11" t="n">
        <v>0.4</v>
      </c>
      <c r="D13" s="11" t="n">
        <v>0.05</v>
      </c>
      <c r="E13" s="21" t="n">
        <v>1</v>
      </c>
      <c r="F13" s="35" t="n">
        <v>3</v>
      </c>
      <c r="G13" s="7" t="n">
        <f aca="false">($B$7*C13+$B$8*D13+$B$6)/E13/(1+$B$9)^F13</f>
        <v>2.10856250513685</v>
      </c>
      <c r="H13" s="7" t="n">
        <f aca="false">B13*G13</f>
        <v>0.948853127311581</v>
      </c>
    </row>
    <row r="14" customFormat="false" ht="15" hidden="false" customHeight="false" outlineLevel="0" collapsed="false">
      <c r="A14" s="0" t="s">
        <v>278</v>
      </c>
      <c r="B14" s="17" t="n">
        <v>0.15</v>
      </c>
      <c r="C14" s="11" t="n">
        <v>0.75</v>
      </c>
      <c r="D14" s="11" t="n">
        <v>0.2</v>
      </c>
      <c r="E14" s="21" t="n">
        <v>0.75</v>
      </c>
      <c r="F14" s="35" t="n">
        <v>2</v>
      </c>
      <c r="G14" s="7" t="n">
        <f aca="false">($B$7*C14+$B$8*D14+$B$6)/E14/(1+$B$9)^F14</f>
        <v>7.91396093257719</v>
      </c>
      <c r="H14" s="7" t="n">
        <f aca="false">B14*G14</f>
        <v>1.18709413988658</v>
      </c>
    </row>
    <row r="15" customFormat="false" ht="15" hidden="false" customHeight="false" outlineLevel="0" collapsed="false">
      <c r="A15" s="9" t="s">
        <v>279</v>
      </c>
      <c r="B15" s="8" t="n">
        <f aca="false">SUM(B12:B14)</f>
        <v>1</v>
      </c>
      <c r="H15" s="31" t="n">
        <f aca="false">SUM(H12:H14)</f>
        <v>2.21373781382538</v>
      </c>
    </row>
    <row r="16" customFormat="false" ht="15" hidden="false" customHeight="false" outlineLevel="0" collapsed="false">
      <c r="A16" s="0" t="s">
        <v>280</v>
      </c>
      <c r="B16" s="0" t="str">
        <f aca="false">IF(ABS(B15-1)&lt;0.0001,"OK","Probabilities must sum to 100%")</f>
        <v>OK</v>
      </c>
    </row>
    <row r="18" customFormat="false" ht="15" hidden="false" customHeight="false" outlineLevel="0" collapsed="false">
      <c r="A18" s="12" t="s">
        <v>152</v>
      </c>
      <c r="B18" s="26"/>
      <c r="C18" s="12" t="s">
        <v>153</v>
      </c>
      <c r="D18" s="26"/>
      <c r="E18" s="26"/>
      <c r="F18" s="26"/>
      <c r="G18" s="26"/>
      <c r="H18" s="26"/>
    </row>
    <row r="19" customFormat="false" ht="15" hidden="false" customHeight="false" outlineLevel="0" collapsed="false">
      <c r="A19" s="0" t="s">
        <v>154</v>
      </c>
      <c r="B19" s="7" t="n">
        <f aca="false">G12</f>
        <v>0.194476366568042</v>
      </c>
      <c r="C19" s="6" t="n">
        <f aca="false">B19/$B$4-1</f>
        <v>-0.919968573428789</v>
      </c>
    </row>
    <row r="20" customFormat="false" ht="15" hidden="false" customHeight="false" outlineLevel="0" collapsed="false">
      <c r="A20" s="0" t="s">
        <v>281</v>
      </c>
      <c r="B20" s="7" t="n">
        <f aca="false">H15</f>
        <v>2.21373781382538</v>
      </c>
      <c r="C20" s="6" t="n">
        <f aca="false">B20/$B$4-1</f>
        <v>-0.0889967844340017</v>
      </c>
    </row>
    <row r="21" customFormat="false" ht="15" hidden="false" customHeight="false" outlineLevel="0" collapsed="false">
      <c r="A21" s="0" t="s">
        <v>156</v>
      </c>
      <c r="B21" s="7" t="n">
        <f aca="false">G14</f>
        <v>7.91396093257719</v>
      </c>
      <c r="C21" s="6" t="n">
        <f aca="false">B21/$B$4-1</f>
        <v>2.25677404632806</v>
      </c>
    </row>
    <row r="23" customFormat="false" ht="15" hidden="false" customHeight="false" outlineLevel="0" collapsed="false">
      <c r="A23" s="9" t="s">
        <v>282</v>
      </c>
      <c r="B23" s="8" t="n">
        <f aca="false">(B4-G12)/((B13*G13+B14*G14)/(B13+B14)-G12)</f>
        <v>0.664259787597598</v>
      </c>
      <c r="C23" s="2" t="s">
        <v>283</v>
      </c>
    </row>
    <row r="25" customFormat="false" ht="15" hidden="false" customHeight="false" outlineLevel="0" collapsed="false">
      <c r="A25" s="2" t="s">
        <v>284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2026-10-27T12:19:23Z</dcterms:created>
  <dc:creator>openpyxl</dc:creator>
  <dc:description/>
  <dc:language>en-US</dc:language>
  <cp:lastModifiedBy/>
  <dcterms:modified xsi:type="dcterms:W3CDTF">2026-10-27T12:19:23Z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