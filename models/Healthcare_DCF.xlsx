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WACC" sheetId="2" state="visible" r:id="rId4"/>
    <sheet name="ABT" sheetId="3" state="visible" r:id="rId5"/>
    <sheet name="MDT" sheetId="4" state="visible" r:id="rId6"/>
    <sheet name="MRK" sheetId="5" state="visible" r:id="rId7"/>
    <sheet name="BDX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<sst xmlns="http://schemas.openxmlformats.org/spreadsheetml/2006/main" count="472" uniqueCount="159">
  <si>
    <t xml:space="preserve">Healthcare: scenario values for four candidates</t>
  </si>
  <si>
    <t xml:space="preserve">Values link to each company sheet (green). Switch the discount rate on the WACC tab. Same framework and discount-rate inputs as the current holdings workbook.</t>
  </si>
  <si>
    <t xml:space="preserve">Company</t>
  </si>
  <si>
    <t xml:space="preserve">Sector</t>
  </si>
  <si>
    <t xml:space="preserve">Share price</t>
  </si>
  <si>
    <t xml:space="preserve">Discount rate</t>
  </si>
  <si>
    <t xml:space="preserve">Bear value</t>
  </si>
  <si>
    <t xml:space="preserve">Base value</t>
  </si>
  <si>
    <t xml:space="preserve">Bull value</t>
  </si>
  <si>
    <t xml:space="preserve">Base vs price</t>
  </si>
  <si>
    <t xml:space="preserve">Implied return at price (base case)</t>
  </si>
  <si>
    <t xml:space="preserve">Buy below (base value, rounded)</t>
  </si>
  <si>
    <t xml:space="preserve">Abbott Laboratories (ABT)</t>
  </si>
  <si>
    <t xml:space="preserve">Healthcare</t>
  </si>
  <si>
    <t xml:space="preserve">Medtronic (MDT)</t>
  </si>
  <si>
    <t xml:space="preserve">Merck (MRK)</t>
  </si>
  <si>
    <t xml:space="preserve">Becton Dickinson (BDX)</t>
  </si>
  <si>
    <t xml:space="preserve">Discount rates: calculated (CAPM) versus assumed</t>
  </si>
  <si>
    <t xml:space="preserve">Blue = input, black = formula, green = link. The yellow switches apply to every company. Same risk-free rate and premium as the holdings workbook.</t>
  </si>
  <si>
    <t xml:space="preserve">Rate used in valuations (1 = Calculated, 2 = Assumed)</t>
  </si>
  <si>
    <t xml:space="preserve">Switch. 2 reproduces the published figures</t>
  </si>
  <si>
    <t xml:space="preserve">Beta used (1 = Raw 5-year, 2 = Blume adjusted)</t>
  </si>
  <si>
    <t xml:space="preserve">Blume adjusted = 0.67 x raw + 0.33</t>
  </si>
  <si>
    <t xml:space="preserve">Risk-free rate (10-year Treasury)</t>
  </si>
  <si>
    <t xml:space="preserve">FRED via MacroRadar, Oct 6, 2026 (same as the holdings workbook)</t>
  </si>
  <si>
    <t xml:space="preserve">Equity risk premium</t>
  </si>
  <si>
    <t xml:space="preserve">Analyst assumption</t>
  </si>
  <si>
    <t xml:space="preserve">Credit spread over risk-free (pre-tax cost of debt)</t>
  </si>
  <si>
    <t xml:space="preserve">Analyst assumption: investment-grade spread</t>
  </si>
  <si>
    <t xml:space="preserve">Item</t>
  </si>
  <si>
    <t xml:space="preserve">ABT</t>
  </si>
  <si>
    <t xml:space="preserve">MDT</t>
  </si>
  <si>
    <t xml:space="preserve">MRK</t>
  </si>
  <si>
    <t xml:space="preserve">BDX</t>
  </si>
  <si>
    <t xml:space="preserve">Source / note</t>
  </si>
  <si>
    <t xml:space="preserve">Raw beta (5-year)</t>
  </si>
  <si>
    <t xml:space="preserve">Stock Analysis statistics, Oct 23 to 26, 2026</t>
  </si>
  <si>
    <t xml:space="preserve">Beta override (blank = none)</t>
  </si>
  <si>
    <t xml:space="preserve">None used</t>
  </si>
  <si>
    <t xml:space="preserve">Adjusted beta</t>
  </si>
  <si>
    <t xml:space="preserve">Blume: 0.67 x raw (or override) + 0.33</t>
  </si>
  <si>
    <t xml:space="preserve">Beta used</t>
  </si>
  <si>
    <t xml:space="preserve">Per switch in B6</t>
  </si>
  <si>
    <t xml:space="preserve">Cost of equity</t>
  </si>
  <si>
    <t xml:space="preserve">Risk-free + beta x ERP</t>
  </si>
  <si>
    <t xml:space="preserve">Pre-tax cost of debt</t>
  </si>
  <si>
    <t xml:space="preserve">Risk-free + spread</t>
  </si>
  <si>
    <t xml:space="preserve">Tax rate</t>
  </si>
  <si>
    <t xml:space="preserve">Linked from each company sheet</t>
  </si>
  <si>
    <t xml:space="preserve">After-tax cost of debt</t>
  </si>
  <si>
    <t xml:space="preserve">Market value of equity ($B)</t>
  </si>
  <si>
    <t xml:space="preserve">Price x shares</t>
  </si>
  <si>
    <t xml:space="preserve">Debt ($B)</t>
  </si>
  <si>
    <t xml:space="preserve">Stock Analysis, total debt</t>
  </si>
  <si>
    <t xml:space="preserve">Equity weight</t>
  </si>
  <si>
    <t xml:space="preserve">Debt weight</t>
  </si>
  <si>
    <t xml:space="preserve">Calculated WACC (CAPM)</t>
  </si>
  <si>
    <t xml:space="preserve">Weighted cost of capital</t>
  </si>
  <si>
    <t xml:space="preserve">Assumed WACC</t>
  </si>
  <si>
    <t xml:space="preserve">WACC used</t>
  </si>
  <si>
    <t xml:space="preserve">Per switch in B5</t>
  </si>
  <si>
    <t xml:space="preserve">Check: WACC above every terminal growth rate</t>
  </si>
  <si>
    <t xml:space="preserve">Link row read by company sheets</t>
  </si>
  <si>
    <t xml:space="preserve">Same as WACC used</t>
  </si>
  <si>
    <t xml:space="preserve">Abbott Laboratories (ABT): 10-year scenario DCF</t>
  </si>
  <si>
    <t xml:space="preserve">Units: $ billions unless noted. Blue = input, black = formula, green = link, yellow = key lever. Years 6 to 10 fade growth, margin and reinvestment toward each scenario's terminal levels.</t>
  </si>
  <si>
    <t xml:space="preserve">Share price ($)</t>
  </si>
  <si>
    <t xml:space="preserve">Stock Analysis, Oct 23, 2026 close</t>
  </si>
  <si>
    <t xml:space="preserve">Price date</t>
  </si>
  <si>
    <t xml:space="preserve">Oct 23, 2026 close</t>
  </si>
  <si>
    <t xml:space="preserve">Text</t>
  </si>
  <si>
    <t xml:space="preserve">Shares outstanding (billions)</t>
  </si>
  <si>
    <t xml:space="preserve">Stock Analysis statistics, Oct 23 to 26, 2026 (market cap / price)</t>
  </si>
  <si>
    <t xml:space="preserve">Net cash, negative = net debt</t>
  </si>
  <si>
    <t xml:space="preserve">Stock Analysis statistics, Oct 23 to 26, 2026: cash less total debt</t>
  </si>
  <si>
    <t xml:space="preserve">Other non-operating assets, less outside claims</t>
  </si>
  <si>
    <t xml:space="preserve">None</t>
  </si>
  <si>
    <t xml:space="preserve">Analyst assumption, near the adjusted effective rate</t>
  </si>
  <si>
    <t xml:space="preserve">Discount rate (WACC), from WACC tab</t>
  </si>
  <si>
    <t xml:space="preserve">Calculated or assumed, per the switch in WACC!B5</t>
  </si>
  <si>
    <t xml:space="preserve">Working capital, % of revenue change</t>
  </si>
  <si>
    <t xml:space="preserve">Base-year revenue (2026E)</t>
  </si>
  <si>
    <t xml:space="preserve">2026E consensus $50.20B incl. Exact Sciences (Stock Analysis forecast). Margins are adjusted operating margins, after stock pay</t>
  </si>
  <si>
    <t xml:space="preserve">Selected scenario (1 Bear, 2 Base, 3 Bull)</t>
  </si>
  <si>
    <t xml:space="preserve">Lever</t>
  </si>
  <si>
    <t xml:space="preserve">Year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</si>
  <si>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</si>
  <si>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</si>
  <si>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</si>
  <si>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</si>
  <si>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</si>
  <si>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</si>
  <si>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</si>
  <si>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</si>
  <si>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</si>
  <si>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</si>
  <si>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Terminal</t>
  </si>
  <si>
    <t xml:space="preserve">Discount period (years, mid-year)</t>
  </si>
  <si>
    <t xml:space="preserve">Fade step (years 6 to 10)</t>
  </si>
  <si>
    <t xml:space="preserve">Bear: CGM pricing pressure, Libre recall costs share</t>
  </si>
  <si>
    <t xml:space="preserve">Revenue</t>
  </si>
  <si>
    <t xml:space="preserve">Revenue growth (terminal column = terminal growth, input)</t>
  </si>
  <si>
    <t xml:space="preserve">Operating margin</t>
  </si>
  <si>
    <t xml:space="preserve">Operating income</t>
  </si>
  <si>
    <t xml:space="preserve">NOPAT</t>
  </si>
  <si>
    <t xml:space="preserve">Net reinvestment, % of revenue</t>
  </si>
  <si>
    <t xml:space="preserve">Net reinvestment</t>
  </si>
  <si>
    <t xml:space="preserve">Change in working capital</t>
  </si>
  <si>
    <t xml:space="preserve">Free cash flow</t>
  </si>
  <si>
    <t xml:space="preserve">Discount factor</t>
  </si>
  <si>
    <t xml:space="preserve">PV of free cash flow</t>
  </si>
  <si>
    <t xml:space="preserve">Terminal value</t>
  </si>
  <si>
    <t xml:space="preserve">PV of terminal value</t>
  </si>
  <si>
    <t xml:space="preserve">Equity value (PV FCF + PV TV + net cash + other)</t>
  </si>
  <si>
    <t xml:space="preserve">Value per share ($)</t>
  </si>
  <si>
    <t xml:space="preserve">Value vs share price</t>
  </si>
  <si>
    <t xml:space="preserve">Base: about 6.5% growth, slow margin expansion</t>
  </si>
  <si>
    <t xml:space="preserve">Bull: CGM and Exact Sciences compound</t>
  </si>
  <si>
    <t xml:space="preserve">Outputs</t>
  </si>
  <si>
    <t xml:space="preserve">vs price</t>
  </si>
  <si>
    <t xml:space="preserve">Bear value per share</t>
  </si>
  <si>
    <t xml:space="preserve">Base value per share</t>
  </si>
  <si>
    <t xml:space="preserve">Bull value per share</t>
  </si>
  <si>
    <t xml:space="preserve">Selected scenario value per share</t>
  </si>
  <si>
    <t xml:space="preserve">Share of base value from terminal value</t>
  </si>
  <si>
    <t xml:space="preserve">Base value per share at other discount rates</t>
  </si>
  <si>
    <t xml:space="preserve">vs share price</t>
  </si>
  <si>
    <t xml:space="preserve">Implied annual return at today's price, base case</t>
  </si>
  <si>
    <t xml:space="preserve">Discount rate at which base value equals the price (interpolated from the row above)</t>
  </si>
  <si>
    <t xml:space="preserve">Medtronic (MDT): 10-year scenario DCF</t>
  </si>
  <si>
    <t xml:space="preserve">Base-year revenue (FY27, ends Apr 2027)</t>
  </si>
  <si>
    <t xml:space="preserve">FY27 consensus $38.97B (Stock Analysis); FY27 guide: 7.25% to 7.75% organic growth incl. a 53rd week. Diabetes kept in (separation is value-neutral here)</t>
  </si>
  <si>
    <t xml:space="preserve">FY28</t>
  </si>
  <si>
    <t xml:space="preserve">FY29</t>
  </si>
  <si>
    <t xml:space="preserve">FY30</t>
  </si>
  <si>
    <t xml:space="preserve">FY31</t>
  </si>
  <si>
    <t xml:space="preserve">FY32</t>
  </si>
  <si>
    <t xml:space="preserve">FY33</t>
  </si>
  <si>
    <t xml:space="preserve">FY34</t>
  </si>
  <si>
    <t xml:space="preserve">FY35</t>
  </si>
  <si>
    <t xml:space="preserve">FY36</t>
  </si>
  <si>
    <t xml:space="preserve">FY37</t>
  </si>
  <si>
    <t xml:space="preserve">Bear: procedure growth slows to about 2.5%</t>
  </si>
  <si>
    <t xml:space="preserve">Base: consensus FY28, then about 4.5%</t>
  </si>
  <si>
    <t xml:space="preserve">Bull: pulsed field ablation and renal denervation ramp</t>
  </si>
  <si>
    <t xml:space="preserve">Merck (MRK): 10-year scenario DCF</t>
  </si>
  <si>
    <t xml:space="preserve">Stock Analysis, Oct 26, 2026 intraday</t>
  </si>
  <si>
    <t xml:space="preserve">Oct 26, 2026 intraday</t>
  </si>
  <si>
    <t xml:space="preserve">2026E consensus $67.05B; 2027E $69.94B (Stock Analysis). Keytruda loses US exclusivity in 2028. Reinvestment includes about $3.5B a year of licensing and acquisitions</t>
  </si>
  <si>
    <t xml:space="preserve">Bear: Keytruda erodes fast, launches disappoint</t>
  </si>
  <si>
    <t xml:space="preserve">Base: revenue dips about 11% by 2030, then recovers</t>
  </si>
  <si>
    <t xml:space="preserve">Bull: Qlex, Winrevair and new launches fill the gap</t>
  </si>
  <si>
    <t xml:space="preserve">Becton Dickinson (BDX): 10-year scenario DCF</t>
  </si>
  <si>
    <t xml:space="preserve">Base-year revenue (FY26, ends Sep 2026)</t>
  </si>
  <si>
    <t xml:space="preserve">FY26 consensus $19.28B after the Waters separation; FY27 $19.74B (Stock Analysis)</t>
  </si>
  <si>
    <t xml:space="preserve">FY27</t>
  </si>
  <si>
    <t xml:space="preserve">Bear: about 2.3% growth, flat margins</t>
  </si>
  <si>
    <t xml:space="preserve">Base: about 4% growth, margins toward 26%</t>
  </si>
  <si>
    <t xml:space="preserve">Bull: 5% growth, margins toward 27.5%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</si>
</sst>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.00;&quot;($&quot;#,##0.00\);\-"/>
    <numFmt numFmtId="166" formatCode="0.0%;\(0.0%\);\-"/>
    <numFmt numFmtId="167" formatCode="0.0%;\-0.0%;0.0%"/>
    <numFmt numFmtId="168" formatCode="0"/>
    <numFmt numFmtId="169" formatCode="0.00"/>
    <numFmt numFmtId="170" formatCode="#,##0.0"/>
    <numFmt numFmtId="171" formatCode="0.000"/>
    <numFmt numFmtId="172" formatCode="#,##0.0;\(#,##0.0\);\-"/>
    <numFmt numFmtId="173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10" min="3" style="0" width="13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55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0" t="s">
        <v>12</v>
      </c>
      <c r="B5" s="0" t="s">
        <v>13</v>
      </c>
      <c r="C5" s="4" t="n">
        <f aca="false">ABT!B4</f>
        <v>103.7</v>
      </c>
      <c r="D5" s="5" t="n">
        <f aca="false">ABT!B10</f>
        <v>0.08</v>
      </c>
      <c r="E5" s="4" t="n">
        <f aca="false">ABT!B75</f>
        <v>91.3787971132783</v>
      </c>
      <c r="F5" s="4" t="n">
        <f aca="false">ABT!B76</f>
        <v>131.637333887537</v>
      </c>
      <c r="G5" s="4" t="n">
        <f aca="false">ABT!B77</f>
        <v>183.335352279121</v>
      </c>
      <c r="H5" s="6" t="n">
        <f aca="false">F5/C5-1</f>
        <v>0.26940534124915</v>
      </c>
      <c r="I5" s="5" t="n">
        <f aca="false">ABT!B86</f>
        <v>0.0906000047170441</v>
      </c>
      <c r="J5" s="7" t="n">
        <f aca="false">IF(F5&lt;100,ROUND(F5,0),ROUND(F5/5,0)*5)</f>
        <v>130</v>
      </c>
    </row>
    <row r="6" customFormat="false" ht="15" hidden="false" customHeight="false" outlineLevel="0" collapsed="false">
      <c r="A6" s="0" t="s">
        <v>14</v>
      </c>
      <c r="B6" s="0" t="s">
        <v>13</v>
      </c>
      <c r="C6" s="4" t="n">
        <f aca="false">MDT!B4</f>
        <v>95.41</v>
      </c>
      <c r="D6" s="5" t="n">
        <f aca="false">MDT!B10</f>
        <v>0.08</v>
      </c>
      <c r="E6" s="4" t="n">
        <f aca="false">MDT!B75</f>
        <v>86.8309456371992</v>
      </c>
      <c r="F6" s="4" t="n">
        <f aca="false">MDT!B76</f>
        <v>118.401313975981</v>
      </c>
      <c r="G6" s="4" t="n">
        <f aca="false">MDT!B77</f>
        <v>155.456308155076</v>
      </c>
      <c r="H6" s="6" t="n">
        <f aca="false">F6/C6-1</f>
        <v>0.240973838968466</v>
      </c>
      <c r="I6" s="5" t="n">
        <f aca="false">MDT!B86</f>
        <v>0.0905453901742043</v>
      </c>
      <c r="J6" s="7" t="n">
        <f aca="false">IF(F6&lt;100,ROUND(F6,0),ROUND(F6/5,0)*5)</f>
        <v>120</v>
      </c>
    </row>
    <row r="7" customFormat="false" ht="15" hidden="false" customHeight="false" outlineLevel="0" collapsed="false">
      <c r="A7" s="0" t="s">
        <v>15</v>
      </c>
      <c r="B7" s="0" t="s">
        <v>13</v>
      </c>
      <c r="C7" s="4" t="n">
        <f aca="false">MRK!B4</f>
        <v>144.45</v>
      </c>
      <c r="D7" s="5" t="n">
        <f aca="false">MRK!B10</f>
        <v>0.08</v>
      </c>
      <c r="E7" s="4" t="n">
        <f aca="false">MRK!B75</f>
        <v>61.6604114183103</v>
      </c>
      <c r="F7" s="4" t="n">
        <f aca="false">MRK!B76</f>
        <v>97.5064687419765</v>
      </c>
      <c r="G7" s="4" t="n">
        <f aca="false">MRK!B77</f>
        <v>137.752057025771</v>
      </c>
      <c r="H7" s="6" t="n">
        <f aca="false">F7/C7-1</f>
        <v>-0.32498117866406</v>
      </c>
      <c r="I7" s="5" t="n">
        <f aca="false">MRK!B86</f>
        <v>0.0641022157300582</v>
      </c>
      <c r="J7" s="7" t="n">
        <f aca="false">IF(F7&lt;100,ROUND(F7,0),ROUND(F7/5,0)*5)</f>
        <v>98</v>
      </c>
    </row>
    <row r="8" customFormat="false" ht="15" hidden="false" customHeight="false" outlineLevel="0" collapsed="false">
      <c r="A8" s="0" t="s">
        <v>16</v>
      </c>
      <c r="B8" s="0" t="s">
        <v>13</v>
      </c>
      <c r="C8" s="4" t="n">
        <f aca="false">BDX!B4</f>
        <v>198.91</v>
      </c>
      <c r="D8" s="5" t="n">
        <f aca="false">BDX!B10</f>
        <v>0.08</v>
      </c>
      <c r="E8" s="4" t="n">
        <f aca="false">BDX!B75</f>
        <v>169.032061606295</v>
      </c>
      <c r="F8" s="4" t="n">
        <f aca="false">BDX!B76</f>
        <v>233.04878882504</v>
      </c>
      <c r="G8" s="4" t="n">
        <f aca="false">BDX!B77</f>
        <v>302.475632076587</v>
      </c>
      <c r="H8" s="6" t="n">
        <f aca="false">F8/C8-1</f>
        <v>0.171629323940676</v>
      </c>
      <c r="I8" s="5" t="n">
        <f aca="false">BDX!B86</f>
        <v>0.0870763902516803</v>
      </c>
      <c r="J8" s="7" t="n">
        <f aca="false">IF(F8&lt;100,ROUND(F8,0),ROUND(F8/5,0)*5)</f>
        <v>235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5" min="2" style="0" width="10"/>
    <col collapsed="false" customWidth="true" hidden="false" outlineLevel="0" max="6" min="6" style="0" width="50"/>
  </cols>
  <sheetData>
    <row r="1" customFormat="false" ht="16.15" hidden="false" customHeight="false" outlineLevel="0" collapsed="false">
      <c r="A1" s="1" t="s">
        <v>17</v>
      </c>
    </row>
    <row r="2" customFormat="false" ht="15" hidden="false" customHeight="false" outlineLevel="0" collapsed="false">
      <c r="A2" s="2" t="s">
        <v>18</v>
      </c>
    </row>
    <row r="5" customFormat="false" ht="15" hidden="false" customHeight="false" outlineLevel="0" collapsed="false">
      <c r="A5" s="0" t="s">
        <v>19</v>
      </c>
      <c r="B5" s="8" t="n">
        <v>2</v>
      </c>
      <c r="C5" s="2" t="s">
        <v>20</v>
      </c>
    </row>
    <row r="6" customFormat="false" ht="15" hidden="false" customHeight="false" outlineLevel="0" collapsed="false">
      <c r="A6" s="0" t="s">
        <v>21</v>
      </c>
      <c r="B6" s="8" t="n">
        <v>2</v>
      </c>
      <c r="C6" s="2" t="s">
        <v>22</v>
      </c>
    </row>
    <row r="7" customFormat="false" ht="15" hidden="false" customHeight="false" outlineLevel="0" collapsed="false">
      <c r="A7" s="0" t="s">
        <v>23</v>
      </c>
      <c r="B7" s="9" t="n">
        <v>0.0531</v>
      </c>
      <c r="C7" s="2" t="s">
        <v>24</v>
      </c>
    </row>
    <row r="8" customFormat="false" ht="15" hidden="false" customHeight="false" outlineLevel="0" collapsed="false">
      <c r="A8" s="0" t="s">
        <v>25</v>
      </c>
      <c r="B8" s="9" t="n">
        <v>0.05</v>
      </c>
      <c r="C8" s="2" t="s">
        <v>26</v>
      </c>
    </row>
    <row r="9" customFormat="false" ht="15" hidden="false" customHeight="false" outlineLevel="0" collapsed="false">
      <c r="A9" s="0" t="s">
        <v>27</v>
      </c>
      <c r="B9" s="9" t="n">
        <v>0.012</v>
      </c>
      <c r="C9" s="2" t="s">
        <v>28</v>
      </c>
    </row>
    <row r="12" customFormat="false" ht="15" hidden="false" customHeight="false" outlineLevel="0" collapsed="false">
      <c r="A12" s="10" t="s">
        <v>29</v>
      </c>
      <c r="B12" s="10" t="s">
        <v>30</v>
      </c>
      <c r="C12" s="10" t="s">
        <v>31</v>
      </c>
      <c r="D12" s="10" t="s">
        <v>32</v>
      </c>
      <c r="E12" s="10" t="s">
        <v>33</v>
      </c>
      <c r="F12" s="10" t="s">
        <v>34</v>
      </c>
    </row>
    <row r="13" customFormat="false" ht="15" hidden="false" customHeight="false" outlineLevel="0" collapsed="false">
      <c r="A13" s="0" t="s">
        <v>35</v>
      </c>
      <c r="B13" s="11" t="n">
        <v>0.58</v>
      </c>
      <c r="C13" s="11" t="n">
        <v>0.57</v>
      </c>
      <c r="D13" s="11" t="n">
        <v>0.22</v>
      </c>
      <c r="E13" s="11" t="n">
        <v>0.28</v>
      </c>
      <c r="F13" s="2" t="s">
        <v>36</v>
      </c>
    </row>
    <row r="14" customFormat="false" ht="15" hidden="false" customHeight="false" outlineLevel="0" collapsed="false">
      <c r="A14" s="0" t="s">
        <v>37</v>
      </c>
      <c r="B14" s="12"/>
      <c r="C14" s="12"/>
      <c r="D14" s="12"/>
      <c r="E14" s="12"/>
      <c r="F14" s="2" t="s">
        <v>38</v>
      </c>
    </row>
    <row r="15" customFormat="false" ht="15" hidden="false" customHeight="false" outlineLevel="0" collapsed="false">
      <c r="A15" s="0" t="s">
        <v>39</v>
      </c>
      <c r="B15" s="12" t="n">
        <f aca="false">0.67*IF(ISNUMBER(B14),B14,B13)+0.33</f>
        <v>0.7186</v>
      </c>
      <c r="C15" s="12" t="n">
        <f aca="false">0.67*IF(ISNUMBER(C14),C14,C13)+0.33</f>
        <v>0.7119</v>
      </c>
      <c r="D15" s="12" t="n">
        <f aca="false">0.67*IF(ISNUMBER(D14),D14,D13)+0.33</f>
        <v>0.4774</v>
      </c>
      <c r="E15" s="12" t="n">
        <f aca="false">0.67*IF(ISNUMBER(E14),E14,E13)+0.33</f>
        <v>0.5176</v>
      </c>
      <c r="F15" s="2" t="s">
        <v>40</v>
      </c>
    </row>
    <row r="16" customFormat="false" ht="15" hidden="false" customHeight="false" outlineLevel="0" collapsed="false">
      <c r="A16" s="0" t="s">
        <v>41</v>
      </c>
      <c r="B16" s="12" t="n">
        <f aca="false">IF($B$6=1,IF(ISNUMBER(B14),B14,B13),B15)</f>
        <v>0.7186</v>
      </c>
      <c r="C16" s="12" t="n">
        <f aca="false">IF($B$6=1,IF(ISNUMBER(C14),C14,C13),C15)</f>
        <v>0.7119</v>
      </c>
      <c r="D16" s="12" t="n">
        <f aca="false">IF($B$6=1,IF(ISNUMBER(D14),D14,D13),D15)</f>
        <v>0.4774</v>
      </c>
      <c r="E16" s="12" t="n">
        <f aca="false">IF($B$6=1,IF(ISNUMBER(E14),E14,E13),E15)</f>
        <v>0.5176</v>
      </c>
      <c r="F16" s="2" t="s">
        <v>42</v>
      </c>
    </row>
    <row r="17" customFormat="false" ht="15" hidden="false" customHeight="false" outlineLevel="0" collapsed="false">
      <c r="A17" s="0" t="s">
        <v>43</v>
      </c>
      <c r="B17" s="13" t="n">
        <f aca="false">$B$7+B16*$B$8</f>
        <v>0.08903</v>
      </c>
      <c r="C17" s="13" t="n">
        <f aca="false">$B$7+C16*$B$8</f>
        <v>0.088695</v>
      </c>
      <c r="D17" s="13" t="n">
        <f aca="false">$B$7+D16*$B$8</f>
        <v>0.07697</v>
      </c>
      <c r="E17" s="13" t="n">
        <f aca="false">$B$7+E16*$B$8</f>
        <v>0.07898</v>
      </c>
      <c r="F17" s="2" t="s">
        <v>44</v>
      </c>
    </row>
    <row r="18" customFormat="false" ht="15" hidden="false" customHeight="false" outlineLevel="0" collapsed="false">
      <c r="A18" s="0" t="s">
        <v>45</v>
      </c>
      <c r="B18" s="13" t="n">
        <f aca="false">$B$7+$B$9</f>
        <v>0.0651</v>
      </c>
      <c r="C18" s="13" t="n">
        <f aca="false">$B$7+$B$9</f>
        <v>0.0651</v>
      </c>
      <c r="D18" s="13" t="n">
        <f aca="false">$B$7+$B$9</f>
        <v>0.0651</v>
      </c>
      <c r="E18" s="13" t="n">
        <f aca="false">$B$7+$B$9</f>
        <v>0.0651</v>
      </c>
      <c r="F18" s="2" t="s">
        <v>46</v>
      </c>
    </row>
    <row r="19" customFormat="false" ht="15" hidden="false" customHeight="false" outlineLevel="0" collapsed="false">
      <c r="A19" s="0" t="s">
        <v>47</v>
      </c>
      <c r="B19" s="5" t="n">
        <f aca="false">ABT!B9</f>
        <v>0.15</v>
      </c>
      <c r="C19" s="5" t="n">
        <f aca="false">MDT!B9</f>
        <v>0.165</v>
      </c>
      <c r="D19" s="5" t="n">
        <f aca="false">MRK!B9</f>
        <v>0.15</v>
      </c>
      <c r="E19" s="5" t="n">
        <f aca="false">BDX!B9</f>
        <v>0.14</v>
      </c>
      <c r="F19" s="2" t="s">
        <v>48</v>
      </c>
    </row>
    <row r="20" customFormat="false" ht="15" hidden="false" customHeight="false" outlineLevel="0" collapsed="false">
      <c r="A20" s="0" t="s">
        <v>49</v>
      </c>
      <c r="B20" s="13" t="n">
        <f aca="false">B18*(1-B19)</f>
        <v>0.055335</v>
      </c>
      <c r="C20" s="13" t="n">
        <f aca="false">C18*(1-C19)</f>
        <v>0.0543585</v>
      </c>
      <c r="D20" s="13" t="n">
        <f aca="false">D18*(1-D19)</f>
        <v>0.055335</v>
      </c>
      <c r="E20" s="13" t="n">
        <f aca="false">E18*(1-E19)</f>
        <v>0.055986</v>
      </c>
      <c r="F20" s="2"/>
    </row>
    <row r="21" customFormat="false" ht="15" hidden="false" customHeight="false" outlineLevel="0" collapsed="false">
      <c r="A21" s="0" t="s">
        <v>50</v>
      </c>
      <c r="B21" s="14" t="n">
        <f aca="false">ABT!B4*ABT!B6</f>
        <v>179.44248</v>
      </c>
      <c r="C21" s="14" t="n">
        <f aca="false">MDT!B4*MDT!B6</f>
        <v>116.791381</v>
      </c>
      <c r="D21" s="14" t="n">
        <f aca="false">MRK!B4*MRK!B6</f>
        <v>356.38704</v>
      </c>
      <c r="E21" s="14" t="n">
        <f aca="false">BDX!B4*BDX!B6</f>
        <v>54.1810949</v>
      </c>
      <c r="F21" s="2" t="s">
        <v>51</v>
      </c>
    </row>
    <row r="22" customFormat="false" ht="15" hidden="false" customHeight="false" outlineLevel="0" collapsed="false">
      <c r="A22" s="0" t="s">
        <v>52</v>
      </c>
      <c r="B22" s="15" t="n">
        <v>32.72</v>
      </c>
      <c r="C22" s="15" t="n">
        <v>28.15</v>
      </c>
      <c r="D22" s="15" t="n">
        <v>53.91</v>
      </c>
      <c r="E22" s="15" t="n">
        <v>16.81</v>
      </c>
      <c r="F22" s="2" t="s">
        <v>53</v>
      </c>
    </row>
    <row r="23" customFormat="false" ht="15" hidden="false" customHeight="false" outlineLevel="0" collapsed="false">
      <c r="A23" s="0" t="s">
        <v>54</v>
      </c>
      <c r="B23" s="13" t="n">
        <f aca="false">B21/(B21+B22)</f>
        <v>0.845778574986491</v>
      </c>
      <c r="C23" s="13" t="n">
        <f aca="false">C21/(C21+C22)</f>
        <v>0.805783553283517</v>
      </c>
      <c r="D23" s="13" t="n">
        <f aca="false">D21/(D21+D22)</f>
        <v>0.868607387467382</v>
      </c>
      <c r="E23" s="13" t="n">
        <f aca="false">E21/(E21+E22)</f>
        <v>0.763209737451169</v>
      </c>
      <c r="F23" s="2"/>
    </row>
    <row r="24" customFormat="false" ht="15" hidden="false" customHeight="false" outlineLevel="0" collapsed="false">
      <c r="A24" s="0" t="s">
        <v>55</v>
      </c>
      <c r="B24" s="13" t="n">
        <f aca="false">B22/(B21+B22)</f>
        <v>0.154221425013509</v>
      </c>
      <c r="C24" s="13" t="n">
        <f aca="false">C22/(C21+C22)</f>
        <v>0.194216446716483</v>
      </c>
      <c r="D24" s="13" t="n">
        <f aca="false">D22/(D21+D22)</f>
        <v>0.131392612532618</v>
      </c>
      <c r="E24" s="13" t="n">
        <f aca="false">E22/(E21+E22)</f>
        <v>0.236790262548831</v>
      </c>
      <c r="F24" s="2"/>
    </row>
    <row r="25" customFormat="false" ht="15" hidden="false" customHeight="false" outlineLevel="0" collapsed="false">
      <c r="A25" s="0" t="s">
        <v>56</v>
      </c>
      <c r="B25" s="13" t="n">
        <f aca="false">B23*B17+B24*B20</f>
        <v>0.0838335090841698</v>
      </c>
      <c r="C25" s="13" t="n">
        <f aca="false">C23*C17+C24*C20</f>
        <v>0.0820262869773195</v>
      </c>
      <c r="D25" s="13" t="n">
        <f aca="false">D23*D17+D24*D20</f>
        <v>0.0741273208278568</v>
      </c>
      <c r="E25" s="13" t="n">
        <f aca="false">E23*E17+E24*E20</f>
        <v>0.0735352447029522</v>
      </c>
      <c r="F25" s="2" t="s">
        <v>57</v>
      </c>
    </row>
    <row r="26" customFormat="false" ht="15" hidden="false" customHeight="false" outlineLevel="0" collapsed="false">
      <c r="A26" s="0" t="s">
        <v>58</v>
      </c>
      <c r="B26" s="16" t="n">
        <v>0.08</v>
      </c>
      <c r="C26" s="16" t="n">
        <v>0.08</v>
      </c>
      <c r="D26" s="16" t="n">
        <v>0.08</v>
      </c>
      <c r="E26" s="16" t="n">
        <v>0.08</v>
      </c>
      <c r="F26" s="2" t="s">
        <v>26</v>
      </c>
    </row>
    <row r="27" customFormat="false" ht="15" hidden="false" customHeight="false" outlineLevel="0" collapsed="false">
      <c r="A27" s="0" t="s">
        <v>59</v>
      </c>
      <c r="B27" s="17" t="n">
        <f aca="false">IF($B$5=1,B25,B26)</f>
        <v>0.08</v>
      </c>
      <c r="C27" s="17" t="n">
        <f aca="false">IF($B$5=1,C25,C26)</f>
        <v>0.08</v>
      </c>
      <c r="D27" s="17" t="n">
        <f aca="false">IF($B$5=1,D25,D26)</f>
        <v>0.08</v>
      </c>
      <c r="E27" s="17" t="n">
        <f aca="false">IF($B$5=1,E25,E26)</f>
        <v>0.08</v>
      </c>
      <c r="F27" s="2" t="s">
        <v>60</v>
      </c>
    </row>
    <row r="28" customFormat="false" ht="15" hidden="false" customHeight="false" outlineLevel="0" collapsed="false">
      <c r="A28" s="0" t="s">
        <v>61</v>
      </c>
      <c r="B28" s="0" t="str">
        <f aca="false">IF(B27&gt;MAX(ABT!L21,ABT!L39,ABT!L57),"OK","WACC must exceed growth")</f>
        <v>OK</v>
      </c>
      <c r="C28" s="0" t="str">
        <f aca="false">IF(C27&gt;MAX(MDT!L21,MDT!L39,MDT!L57),"OK","WACC must exceed growth")</f>
        <v>OK</v>
      </c>
      <c r="D28" s="0" t="str">
        <f aca="false">IF(D27&gt;MAX(MRK!L21,MRK!L39,MRK!L57),"OK","WACC must exceed growth")</f>
        <v>OK</v>
      </c>
      <c r="E28" s="0" t="str">
        <f aca="false">IF(E27&gt;MAX(BDX!L21,BDX!L39,BDX!L57),"OK","WACC must exceed growth")</f>
        <v>OK</v>
      </c>
      <c r="F28" s="2"/>
    </row>
    <row r="29" customFormat="false" ht="15" hidden="false" customHeight="false" outlineLevel="0" collapsed="false">
      <c r="A29" s="0" t="s">
        <v>62</v>
      </c>
      <c r="B29" s="13" t="n">
        <f aca="false">B27</f>
        <v>0.08</v>
      </c>
      <c r="C29" s="13" t="n">
        <f aca="false">C27</f>
        <v>0.08</v>
      </c>
      <c r="D29" s="13" t="n">
        <f aca="false">D27</f>
        <v>0.08</v>
      </c>
      <c r="E29" s="13" t="n">
        <f aca="false">E27</f>
        <v>0.08</v>
      </c>
      <c r="F29" s="2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12" min="2" style="0" width="11"/>
  </cols>
  <sheetData>
    <row r="1" customFormat="false" ht="16.15" hidden="false" customHeight="false" outlineLevel="0" collapsed="false">
      <c r="A1" s="1" t="s">
        <v>64</v>
      </c>
    </row>
    <row r="2" customFormat="false" ht="15" hidden="false" customHeight="false" outlineLevel="0" collapsed="false">
      <c r="A2" s="2" t="s">
        <v>65</v>
      </c>
    </row>
    <row r="4" customFormat="false" ht="15" hidden="false" customHeight="false" outlineLevel="0" collapsed="false">
      <c r="A4" s="0" t="s">
        <v>66</v>
      </c>
      <c r="B4" s="18" t="n">
        <v>103.7</v>
      </c>
      <c r="C4" s="2" t="s">
        <v>67</v>
      </c>
    </row>
    <row r="5" customFormat="false" ht="15" hidden="false" customHeight="false" outlineLevel="0" collapsed="false">
      <c r="A5" s="0" t="s">
        <v>68</v>
      </c>
      <c r="B5" s="19" t="s">
        <v>69</v>
      </c>
      <c r="C5" s="2" t="s">
        <v>70</v>
      </c>
    </row>
    <row r="6" customFormat="false" ht="15" hidden="false" customHeight="false" outlineLevel="0" collapsed="false">
      <c r="A6" s="0" t="s">
        <v>71</v>
      </c>
      <c r="B6" s="20" t="n">
        <v>1.7304</v>
      </c>
      <c r="C6" s="2" t="s">
        <v>72</v>
      </c>
    </row>
    <row r="7" customFormat="false" ht="15" hidden="false" customHeight="false" outlineLevel="0" collapsed="false">
      <c r="A7" s="0" t="s">
        <v>73</v>
      </c>
      <c r="B7" s="21" t="n">
        <v>-27.12</v>
      </c>
      <c r="C7" s="2" t="s">
        <v>74</v>
      </c>
    </row>
    <row r="8" customFormat="false" ht="15" hidden="false" customHeight="false" outlineLevel="0" collapsed="false">
      <c r="A8" s="0" t="s">
        <v>75</v>
      </c>
      <c r="B8" s="21" t="n">
        <v>0</v>
      </c>
      <c r="C8" s="2" t="s">
        <v>76</v>
      </c>
    </row>
    <row r="9" customFormat="false" ht="15" hidden="false" customHeight="false" outlineLevel="0" collapsed="false">
      <c r="A9" s="0" t="s">
        <v>47</v>
      </c>
      <c r="B9" s="9" t="n">
        <v>0.15</v>
      </c>
      <c r="C9" s="2" t="s">
        <v>77</v>
      </c>
    </row>
    <row r="10" customFormat="false" ht="15" hidden="false" customHeight="false" outlineLevel="0" collapsed="false">
      <c r="A10" s="0" t="s">
        <v>78</v>
      </c>
      <c r="B10" s="22" t="n">
        <f aca="false">WACC!B29</f>
        <v>0.08</v>
      </c>
      <c r="C10" s="2" t="s">
        <v>79</v>
      </c>
    </row>
    <row r="11" customFormat="false" ht="15" hidden="false" customHeight="false" outlineLevel="0" collapsed="false">
      <c r="A11" s="0" t="s">
        <v>80</v>
      </c>
      <c r="B11" s="9" t="n">
        <v>0.15</v>
      </c>
      <c r="C11" s="2" t="s">
        <v>26</v>
      </c>
    </row>
    <row r="12" customFormat="false" ht="15" hidden="false" customHeight="false" outlineLevel="0" collapsed="false">
      <c r="A12" s="0" t="s">
        <v>81</v>
      </c>
      <c r="B12" s="21" t="n">
        <v>50.2</v>
      </c>
      <c r="C12" s="2" t="s">
        <v>82</v>
      </c>
    </row>
    <row r="13" customFormat="false" ht="15" hidden="false" customHeight="false" outlineLevel="0" collapsed="false">
      <c r="A13" s="0" t="s">
        <v>83</v>
      </c>
      <c r="B13" s="8" t="n">
        <v>2</v>
      </c>
      <c r="C13" s="2" t="s">
        <v>84</v>
      </c>
    </row>
    <row r="15" customFormat="false" ht="15" hidden="false" customHeight="false" outlineLevel="0" collapsed="false">
      <c r="A15" s="23" t="s">
        <v>85</v>
      </c>
      <c r="B15" s="24" t="s">
        <v>86</v>
      </c>
      <c r="C15" s="24" t="s">
        <v>87</v>
      </c>
      <c r="D15" s="24" t="s">
        <v>88</v>
      </c>
      <c r="E15" s="24" t="s">
        <v>89</v>
      </c>
      <c r="F15" s="24" t="s">
        <v>90</v>
      </c>
      <c r="G15" s="24" t="s">
        <v>91</v>
      </c>
      <c r="H15" s="24" t="s">
        <v>92</v>
      </c>
      <c r="I15" s="24" t="s">
        <v>93</v>
      </c>
      <c r="J15" s="24" t="s">
        <v>94</v>
      </c>
      <c r="K15" s="24" t="s">
        <v>95</v>
      </c>
      <c r="L15" s="23" t="s">
        <v>96</v>
      </c>
    </row>
    <row r="16" customFormat="false" ht="15" hidden="false" customHeight="false" outlineLevel="0" collapsed="false">
      <c r="A16" s="0" t="s">
        <v>97</v>
      </c>
      <c r="B16" s="19" t="n">
        <v>0.5</v>
      </c>
      <c r="C16" s="25" t="n">
        <f aca="false">B16+1</f>
        <v>1.5</v>
      </c>
      <c r="D16" s="25" t="n">
        <f aca="false">C16+1</f>
        <v>2.5</v>
      </c>
      <c r="E16" s="25" t="n">
        <f aca="false">D16+1</f>
        <v>3.5</v>
      </c>
      <c r="F16" s="25" t="n">
        <f aca="false">E16+1</f>
        <v>4.5</v>
      </c>
      <c r="G16" s="25" t="n">
        <f aca="false">F16+1</f>
        <v>5.5</v>
      </c>
      <c r="H16" s="25" t="n">
        <f aca="false">G16+1</f>
        <v>6.5</v>
      </c>
      <c r="I16" s="25" t="n">
        <f aca="false">H16+1</f>
        <v>7.5</v>
      </c>
      <c r="J16" s="25" t="n">
        <f aca="false">I16+1</f>
        <v>8.5</v>
      </c>
      <c r="K16" s="25" t="n">
        <f aca="false">J16+1</f>
        <v>9.5</v>
      </c>
    </row>
    <row r="17" customFormat="false" ht="15" hidden="false" customHeight="false" outlineLevel="0" collapsed="false">
      <c r="A17" s="0" t="s">
        <v>98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2</v>
      </c>
      <c r="I17" s="0" t="n">
        <v>3</v>
      </c>
      <c r="J17" s="0" t="n">
        <v>4</v>
      </c>
      <c r="K17" s="0" t="n">
        <v>5</v>
      </c>
    </row>
    <row r="19" customFormat="false" ht="15" hidden="false" customHeight="false" outlineLevel="0" collapsed="false">
      <c r="A19" s="10" t="s">
        <v>99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</row>
    <row r="20" customFormat="false" ht="15" hidden="false" customHeight="false" outlineLevel="0" collapsed="false">
      <c r="A20" s="0" t="s">
        <v>100</v>
      </c>
      <c r="B20" s="21" t="n">
        <v>52</v>
      </c>
      <c r="C20" s="21" t="n">
        <v>54</v>
      </c>
      <c r="D20" s="21" t="n">
        <v>56</v>
      </c>
      <c r="E20" s="21" t="n">
        <v>58</v>
      </c>
      <c r="F20" s="21" t="n">
        <v>60</v>
      </c>
      <c r="G20" s="27" t="n">
        <f aca="false">F20*(1+$F21+($L21-$F21)*G$17/5)</f>
        <v>62.0151724137931</v>
      </c>
      <c r="H20" s="27" t="n">
        <f aca="false">G20*(1+$F21+($L21-$F21)*H$17/5)</f>
        <v>64.0424270154578</v>
      </c>
      <c r="I20" s="27" t="n">
        <f aca="false">H20*(1+$F21+($L21-$F21)*I$17/5)</f>
        <v>66.0785345226389</v>
      </c>
      <c r="J20" s="27" t="n">
        <f aca="false">I20*(1+$F21+($L21-$F21)*J$17/5)</f>
        <v>68.1201333823729</v>
      </c>
      <c r="K20" s="27" t="n">
        <f aca="false">J20*(1+$F21+($L21-$F21)*K$17/5)</f>
        <v>70.1637373838441</v>
      </c>
      <c r="L20" s="27" t="n">
        <f aca="false">K20*(1+L21)</f>
        <v>72.2686495053594</v>
      </c>
    </row>
    <row r="21" customFormat="false" ht="15" hidden="false" customHeight="false" outlineLevel="0" collapsed="false">
      <c r="A21" s="0" t="s">
        <v>101</v>
      </c>
      <c r="B21" s="6" t="n">
        <f aca="false">B20/$B$12-1</f>
        <v>0.0358565737051793</v>
      </c>
      <c r="C21" s="6" t="n">
        <f aca="false">C20/B20-1</f>
        <v>0.0384615384615386</v>
      </c>
      <c r="D21" s="6" t="n">
        <f aca="false">D20/C20-1</f>
        <v>0.037037037037037</v>
      </c>
      <c r="E21" s="6" t="n">
        <f aca="false">E20/D20-1</f>
        <v>0.0357142857142858</v>
      </c>
      <c r="F21" s="6" t="n">
        <f aca="false">F20/E20-1</f>
        <v>0.0344827586206897</v>
      </c>
      <c r="G21" s="6" t="n">
        <f aca="false">G20/F20-1</f>
        <v>0.0335862068965518</v>
      </c>
      <c r="H21" s="6" t="n">
        <f aca="false">H20/G20-1</f>
        <v>0.0326896551724138</v>
      </c>
      <c r="I21" s="6" t="n">
        <f aca="false">I20/H20-1</f>
        <v>0.0317931034482759</v>
      </c>
      <c r="J21" s="6" t="n">
        <f aca="false">J20/I20-1</f>
        <v>0.030896551724138</v>
      </c>
      <c r="K21" s="6" t="n">
        <f aca="false">K20/J20-1</f>
        <v>0.03</v>
      </c>
      <c r="L21" s="28" t="n">
        <v>0.03</v>
      </c>
    </row>
    <row r="22" customFormat="false" ht="15" hidden="false" customHeight="false" outlineLevel="0" collapsed="false">
      <c r="A22" s="0" t="s">
        <v>102</v>
      </c>
      <c r="B22" s="29" t="n">
        <v>0.235</v>
      </c>
      <c r="C22" s="29" t="n">
        <v>0.235</v>
      </c>
      <c r="D22" s="29" t="n">
        <v>0.24</v>
      </c>
      <c r="E22" s="29" t="n">
        <v>0.24</v>
      </c>
      <c r="F22" s="29" t="n">
        <v>0.24</v>
      </c>
      <c r="G22" s="6" t="n">
        <f aca="false">$F22+($L22-$F22)*G$17/5</f>
        <v>0.238</v>
      </c>
      <c r="H22" s="6" t="n">
        <f aca="false">$F22+($L22-$F22)*H$17/5</f>
        <v>0.236</v>
      </c>
      <c r="I22" s="6" t="n">
        <f aca="false">$F22+($L22-$F22)*I$17/5</f>
        <v>0.234</v>
      </c>
      <c r="J22" s="6" t="n">
        <f aca="false">$F22+($L22-$F22)*J$17/5</f>
        <v>0.232</v>
      </c>
      <c r="K22" s="6" t="n">
        <f aca="false">$F22+($L22-$F22)*K$17/5</f>
        <v>0.23</v>
      </c>
      <c r="L22" s="28" t="n">
        <v>0.23</v>
      </c>
    </row>
    <row r="23" customFormat="false" ht="15" hidden="false" customHeight="false" outlineLevel="0" collapsed="false">
      <c r="A23" s="0" t="s">
        <v>103</v>
      </c>
      <c r="B23" s="27" t="n">
        <f aca="false">B20*B22</f>
        <v>12.22</v>
      </c>
      <c r="C23" s="27" t="n">
        <f aca="false">C20*C22</f>
        <v>12.69</v>
      </c>
      <c r="D23" s="27" t="n">
        <f aca="false">D20*D22</f>
        <v>13.44</v>
      </c>
      <c r="E23" s="27" t="n">
        <f aca="false">E20*E22</f>
        <v>13.92</v>
      </c>
      <c r="F23" s="27" t="n">
        <f aca="false">F20*F22</f>
        <v>14.4</v>
      </c>
      <c r="G23" s="27" t="n">
        <f aca="false">G20*G22</f>
        <v>14.7596110344828</v>
      </c>
      <c r="H23" s="27" t="n">
        <f aca="false">H20*H22</f>
        <v>15.114012775648</v>
      </c>
      <c r="I23" s="27" t="n">
        <f aca="false">I20*I22</f>
        <v>15.4623770782975</v>
      </c>
      <c r="J23" s="27" t="n">
        <f aca="false">J20*J22</f>
        <v>15.8038709447105</v>
      </c>
      <c r="K23" s="27" t="n">
        <f aca="false">K20*K22</f>
        <v>16.1376595982841</v>
      </c>
      <c r="L23" s="27" t="n">
        <f aca="false">L20*L22</f>
        <v>16.6217893862327</v>
      </c>
    </row>
    <row r="24" customFormat="false" ht="15" hidden="false" customHeight="false" outlineLevel="0" collapsed="false">
      <c r="A24" s="0" t="s">
        <v>104</v>
      </c>
      <c r="B24" s="27" t="n">
        <f aca="false">B23*(1-$B$9)</f>
        <v>10.387</v>
      </c>
      <c r="C24" s="27" t="n">
        <f aca="false">C23*(1-$B$9)</f>
        <v>10.7865</v>
      </c>
      <c r="D24" s="27" t="n">
        <f aca="false">D23*(1-$B$9)</f>
        <v>11.424</v>
      </c>
      <c r="E24" s="27" t="n">
        <f aca="false">E23*(1-$B$9)</f>
        <v>11.832</v>
      </c>
      <c r="F24" s="27" t="n">
        <f aca="false">F23*(1-$B$9)</f>
        <v>12.24</v>
      </c>
      <c r="G24" s="27" t="n">
        <f aca="false">G23*(1-$B$9)</f>
        <v>12.5456693793103</v>
      </c>
      <c r="H24" s="27" t="n">
        <f aca="false">H23*(1-$B$9)</f>
        <v>12.8469108593008</v>
      </c>
      <c r="I24" s="27" t="n">
        <f aca="false">I23*(1-$B$9)</f>
        <v>13.1430205165529</v>
      </c>
      <c r="J24" s="27" t="n">
        <f aca="false">J23*(1-$B$9)</f>
        <v>13.4332903030039</v>
      </c>
      <c r="K24" s="27" t="n">
        <f aca="false">K23*(1-$B$9)</f>
        <v>13.7170106585415</v>
      </c>
      <c r="L24" s="27" t="n">
        <f aca="false">L23*(1-$B$9)</f>
        <v>14.1285209782978</v>
      </c>
    </row>
    <row r="25" customFormat="false" ht="15" hidden="false" customHeight="false" outlineLevel="0" collapsed="false">
      <c r="A25" s="0" t="s">
        <v>105</v>
      </c>
      <c r="B25" s="29" t="n">
        <v>0.03</v>
      </c>
      <c r="C25" s="29" t="n">
        <v>0.03</v>
      </c>
      <c r="D25" s="29" t="n">
        <v>0.03</v>
      </c>
      <c r="E25" s="29" t="n">
        <v>0.03</v>
      </c>
      <c r="F25" s="29" t="n">
        <v>0.03</v>
      </c>
      <c r="G25" s="6" t="n">
        <f aca="false">$F25+($L25-$F25)*G$17/5</f>
        <v>0.029</v>
      </c>
      <c r="H25" s="6" t="n">
        <f aca="false">$F25+($L25-$F25)*H$17/5</f>
        <v>0.028</v>
      </c>
      <c r="I25" s="6" t="n">
        <f aca="false">$F25+($L25-$F25)*I$17/5</f>
        <v>0.027</v>
      </c>
      <c r="J25" s="6" t="n">
        <f aca="false">$F25+($L25-$F25)*J$17/5</f>
        <v>0.026</v>
      </c>
      <c r="K25" s="6" t="n">
        <f aca="false">$F25+($L25-$F25)*K$17/5</f>
        <v>0.025</v>
      </c>
      <c r="L25" s="28" t="n">
        <v>0.025</v>
      </c>
    </row>
    <row r="26" customFormat="false" ht="15" hidden="false" customHeight="false" outlineLevel="0" collapsed="false">
      <c r="A26" s="0" t="s">
        <v>106</v>
      </c>
      <c r="B26" s="27" t="n">
        <f aca="false">B20*B25</f>
        <v>1.56</v>
      </c>
      <c r="C26" s="27" t="n">
        <f aca="false">C20*C25</f>
        <v>1.62</v>
      </c>
      <c r="D26" s="27" t="n">
        <f aca="false">D20*D25</f>
        <v>1.68</v>
      </c>
      <c r="E26" s="27" t="n">
        <f aca="false">E20*E25</f>
        <v>1.74</v>
      </c>
      <c r="F26" s="27" t="n">
        <f aca="false">F20*F25</f>
        <v>1.8</v>
      </c>
      <c r="G26" s="27" t="n">
        <f aca="false">G20*G25</f>
        <v>1.79844</v>
      </c>
      <c r="H26" s="27" t="n">
        <f aca="false">H20*H25</f>
        <v>1.79318795643282</v>
      </c>
      <c r="I26" s="27" t="n">
        <f aca="false">I20*I25</f>
        <v>1.78412043211125</v>
      </c>
      <c r="J26" s="27" t="n">
        <f aca="false">J20*J25</f>
        <v>1.77112346794169</v>
      </c>
      <c r="K26" s="27" t="n">
        <f aca="false">K20*K25</f>
        <v>1.7540934345961</v>
      </c>
      <c r="L26" s="27" t="n">
        <f aca="false">L20*L25</f>
        <v>1.80671623763399</v>
      </c>
    </row>
    <row r="27" customFormat="false" ht="15" hidden="false" customHeight="false" outlineLevel="0" collapsed="false">
      <c r="A27" s="0" t="s">
        <v>107</v>
      </c>
      <c r="B27" s="27" t="n">
        <f aca="false">$B$11*(B20-$B$12)</f>
        <v>0.27</v>
      </c>
      <c r="C27" s="27" t="n">
        <f aca="false">$B$11*(C20-B20)</f>
        <v>0.3</v>
      </c>
      <c r="D27" s="27" t="n">
        <f aca="false">$B$11*(D20-C20)</f>
        <v>0.3</v>
      </c>
      <c r="E27" s="27" t="n">
        <f aca="false">$B$11*(E20-D20)</f>
        <v>0.3</v>
      </c>
      <c r="F27" s="27" t="n">
        <f aca="false">$B$11*(F20-E20)</f>
        <v>0.3</v>
      </c>
      <c r="G27" s="27" t="n">
        <f aca="false">$B$11*(G20-F20)</f>
        <v>0.302275862068966</v>
      </c>
      <c r="H27" s="27" t="n">
        <f aca="false">$B$11*(H20-G20)</f>
        <v>0.304088190249704</v>
      </c>
      <c r="I27" s="27" t="n">
        <f aca="false">$B$11*(I20-H20)</f>
        <v>0.305416126077167</v>
      </c>
      <c r="J27" s="27" t="n">
        <f aca="false">$B$11*(J20-I20)</f>
        <v>0.306239828960093</v>
      </c>
      <c r="K27" s="27" t="n">
        <f aca="false">$B$11*(K20-J20)</f>
        <v>0.306540600220679</v>
      </c>
      <c r="L27" s="27" t="n">
        <f aca="false">$B$11*(L20-K20)</f>
        <v>0.315736818227299</v>
      </c>
    </row>
    <row r="28" customFormat="false" ht="15" hidden="false" customHeight="false" outlineLevel="0" collapsed="false">
      <c r="A28" s="0" t="s">
        <v>108</v>
      </c>
      <c r="B28" s="27" t="n">
        <f aca="false">B24-B26-B27</f>
        <v>8.557</v>
      </c>
      <c r="C28" s="27" t="n">
        <f aca="false">C24-C26-C27</f>
        <v>8.8665</v>
      </c>
      <c r="D28" s="27" t="n">
        <f aca="false">D24-D26-D27</f>
        <v>9.444</v>
      </c>
      <c r="E28" s="27" t="n">
        <f aca="false">E24-E26-E27</f>
        <v>9.792</v>
      </c>
      <c r="F28" s="27" t="n">
        <f aca="false">F24-F26-F27</f>
        <v>10.14</v>
      </c>
      <c r="G28" s="27" t="n">
        <f aca="false">G24-G26-G27</f>
        <v>10.4449535172414</v>
      </c>
      <c r="H28" s="27" t="n">
        <f aca="false">H24-H26-H27</f>
        <v>10.7496347126183</v>
      </c>
      <c r="I28" s="27" t="n">
        <f aca="false">I24-I26-I27</f>
        <v>11.0534839583645</v>
      </c>
      <c r="J28" s="27" t="n">
        <f aca="false">J24-J26-J27</f>
        <v>11.3559270061021</v>
      </c>
      <c r="K28" s="27" t="n">
        <f aca="false">K24-K26-K27</f>
        <v>11.6563766237247</v>
      </c>
      <c r="L28" s="27" t="n">
        <f aca="false">L24-L26-L27</f>
        <v>12.0060679224365</v>
      </c>
    </row>
    <row r="29" customFormat="false" ht="15" hidden="false" customHeight="false" outlineLevel="0" collapsed="false">
      <c r="A29" s="0" t="s">
        <v>109</v>
      </c>
      <c r="B29" s="30" t="n">
        <f aca="false">1/(1+$B$10)^B$16</f>
        <v>0.962250448649376</v>
      </c>
      <c r="C29" s="30" t="n">
        <f aca="false">1/(1+$B$10)^C$16</f>
        <v>0.890972637638311</v>
      </c>
      <c r="D29" s="30" t="n">
        <f aca="false">1/(1+$B$10)^D$16</f>
        <v>0.824974664479918</v>
      </c>
      <c r="E29" s="30" t="n">
        <f aca="false">1/(1+$B$10)^E$16</f>
        <v>0.763865430073998</v>
      </c>
      <c r="F29" s="30" t="n">
        <f aca="false">1/(1+$B$10)^F$16</f>
        <v>0.707282805624072</v>
      </c>
      <c r="G29" s="30" t="n">
        <f aca="false">1/(1+$B$10)^G$16</f>
        <v>0.654891486688956</v>
      </c>
      <c r="H29" s="30" t="n">
        <f aca="false">1/(1+$B$10)^H$16</f>
        <v>0.606381006193477</v>
      </c>
      <c r="I29" s="30" t="n">
        <f aca="false">1/(1+$B$10)^I$16</f>
        <v>0.56146389462359</v>
      </c>
      <c r="J29" s="30" t="n">
        <f aca="false">1/(1+$B$10)^J$16</f>
        <v>0.519873976503324</v>
      </c>
      <c r="K29" s="30" t="n">
        <f aca="false">1/(1+$B$10)^K$16</f>
        <v>0.481364793058633</v>
      </c>
    </row>
    <row r="30" customFormat="false" ht="15" hidden="false" customHeight="false" outlineLevel="0" collapsed="false">
      <c r="A30" s="0" t="s">
        <v>110</v>
      </c>
      <c r="B30" s="27" t="n">
        <f aca="false">B28*B29</f>
        <v>8.23397708909271</v>
      </c>
      <c r="C30" s="27" t="n">
        <f aca="false">C28*C29</f>
        <v>7.89980889162009</v>
      </c>
      <c r="D30" s="27" t="n">
        <f aca="false">D28*D29</f>
        <v>7.79106073134834</v>
      </c>
      <c r="E30" s="27" t="n">
        <f aca="false">E28*E29</f>
        <v>7.47977029128459</v>
      </c>
      <c r="F30" s="27" t="n">
        <f aca="false">F28*F29</f>
        <v>7.17184764902809</v>
      </c>
      <c r="G30" s="27" t="n">
        <f aca="false">G28*G29</f>
        <v>6.84031113730324</v>
      </c>
      <c r="H30" s="27" t="n">
        <f aca="false">H28*H29</f>
        <v>6.51837431324982</v>
      </c>
      <c r="I30" s="27" t="n">
        <f aca="false">I28*I29</f>
        <v>6.20613215242269</v>
      </c>
      <c r="J30" s="27" t="n">
        <f aca="false">J28*J29</f>
        <v>5.90365092954381</v>
      </c>
      <c r="K30" s="27" t="n">
        <f aca="false">K28*K29</f>
        <v>5.61096932129275</v>
      </c>
      <c r="L30" s="27"/>
    </row>
    <row r="31" customFormat="false" ht="15" hidden="false" customHeight="false" outlineLevel="0" collapsed="false">
      <c r="A31" s="0" t="s">
        <v>111</v>
      </c>
      <c r="B31" s="27" t="n">
        <f aca="false">L28/($B$10-L21)</f>
        <v>240.12135844873</v>
      </c>
      <c r="C31" s="0" t="str">
        <f aca="false">IF($B$10&gt;L21,"","Discount rate must exceed terminal growth")</f>
        <v/>
      </c>
    </row>
    <row r="32" customFormat="false" ht="15" hidden="false" customHeight="false" outlineLevel="0" collapsed="false">
      <c r="A32" s="0" t="s">
        <v>112</v>
      </c>
      <c r="B32" s="27" t="n">
        <f aca="false">B31/(1+$B$10)^$K$16</f>
        <v>115.585968018631</v>
      </c>
    </row>
    <row r="33" customFormat="false" ht="15" hidden="false" customHeight="false" outlineLevel="0" collapsed="false">
      <c r="A33" s="0" t="s">
        <v>113</v>
      </c>
      <c r="B33" s="27" t="n">
        <f aca="false">SUM(B30:K30)+B32+$B$7+$B$8</f>
        <v>158.121870524817</v>
      </c>
    </row>
    <row r="34" customFormat="false" ht="15" hidden="false" customHeight="false" outlineLevel="0" collapsed="false">
      <c r="A34" s="0" t="s">
        <v>114</v>
      </c>
      <c r="B34" s="31" t="n">
        <f aca="false">B33/$B$6</f>
        <v>91.3787971132783</v>
      </c>
    </row>
    <row r="35" customFormat="false" ht="15" hidden="false" customHeight="false" outlineLevel="0" collapsed="false">
      <c r="A35" s="0" t="s">
        <v>115</v>
      </c>
      <c r="B35" s="6" t="n">
        <f aca="false">B34/$B$4-1</f>
        <v>-0.11881584268777</v>
      </c>
    </row>
    <row r="37" customFormat="false" ht="15" hidden="false" customHeight="false" outlineLevel="0" collapsed="false">
      <c r="A37" s="10" t="s">
        <v>116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</row>
    <row r="38" customFormat="false" ht="15" hidden="false" customHeight="false" outlineLevel="0" collapsed="false">
      <c r="A38" s="0" t="s">
        <v>100</v>
      </c>
      <c r="B38" s="21" t="n">
        <v>53.5</v>
      </c>
      <c r="C38" s="21" t="n">
        <v>57</v>
      </c>
      <c r="D38" s="21" t="n">
        <v>60.7</v>
      </c>
      <c r="E38" s="21" t="n">
        <v>64.6</v>
      </c>
      <c r="F38" s="21" t="n">
        <v>68.8</v>
      </c>
      <c r="G38" s="27" t="n">
        <f aca="false">F38*(1+$F39+($L39-$F39)*G$17/5)</f>
        <v>72.8600520123839</v>
      </c>
      <c r="H38" s="27" t="n">
        <f aca="false">G38*(1+$F39+($L39-$F39)*H$17/5)</f>
        <v>76.7223114877896</v>
      </c>
      <c r="I38" s="27" t="n">
        <f aca="false">H38*(1+$F39+($L39-$F39)*I$17/5)</f>
        <v>80.328735188468</v>
      </c>
      <c r="J38" s="27" t="n">
        <f aca="false">I38*(1+$F39+($L39-$F39)*J$17/5)</f>
        <v>83.6224620269697</v>
      </c>
      <c r="K38" s="27" t="n">
        <f aca="false">J38*(1+$F39+($L39-$F39)*K$17/5)</f>
        <v>86.5492481979136</v>
      </c>
      <c r="L38" s="27" t="n">
        <f aca="false">K38*(1+L39)</f>
        <v>89.5784718848406</v>
      </c>
    </row>
    <row r="39" customFormat="false" ht="15" hidden="false" customHeight="false" outlineLevel="0" collapsed="false">
      <c r="A39" s="0" t="s">
        <v>101</v>
      </c>
      <c r="B39" s="6" t="n">
        <f aca="false">B38/$B$12-1</f>
        <v>0.0657370517928286</v>
      </c>
      <c r="C39" s="6" t="n">
        <f aca="false">C38/B38-1</f>
        <v>0.0654205607476635</v>
      </c>
      <c r="D39" s="6" t="n">
        <f aca="false">D38/C38-1</f>
        <v>0.0649122807017544</v>
      </c>
      <c r="E39" s="6" t="n">
        <f aca="false">E38/D38-1</f>
        <v>0.0642504118616143</v>
      </c>
      <c r="F39" s="6" t="n">
        <f aca="false">F38/E38-1</f>
        <v>0.0650154798761611</v>
      </c>
      <c r="G39" s="6" t="n">
        <f aca="false">G38/F38-1</f>
        <v>0.0590123839009289</v>
      </c>
      <c r="H39" s="6" t="n">
        <f aca="false">H38/G38-1</f>
        <v>0.0530092879256967</v>
      </c>
      <c r="I39" s="6" t="n">
        <f aca="false">I38/H38-1</f>
        <v>0.0470061919504645</v>
      </c>
      <c r="J39" s="6" t="n">
        <f aca="false">J38/I38-1</f>
        <v>0.0410030959752321</v>
      </c>
      <c r="K39" s="6" t="n">
        <f aca="false">K38/J38-1</f>
        <v>0.0349999999999999</v>
      </c>
      <c r="L39" s="28" t="n">
        <v>0.035</v>
      </c>
    </row>
    <row r="40" customFormat="false" ht="15" hidden="false" customHeight="false" outlineLevel="0" collapsed="false">
      <c r="A40" s="0" t="s">
        <v>102</v>
      </c>
      <c r="B40" s="29" t="n">
        <v>0.245</v>
      </c>
      <c r="C40" s="29" t="n">
        <v>0.248</v>
      </c>
      <c r="D40" s="29" t="n">
        <v>0.252</v>
      </c>
      <c r="E40" s="29" t="n">
        <v>0.256</v>
      </c>
      <c r="F40" s="29" t="n">
        <v>0.26</v>
      </c>
      <c r="G40" s="6" t="n">
        <f aca="false">$F40+($L40-$F40)*G$17/5</f>
        <v>0.257</v>
      </c>
      <c r="H40" s="6" t="n">
        <f aca="false">$F40+($L40-$F40)*H$17/5</f>
        <v>0.254</v>
      </c>
      <c r="I40" s="6" t="n">
        <f aca="false">$F40+($L40-$F40)*I$17/5</f>
        <v>0.251</v>
      </c>
      <c r="J40" s="6" t="n">
        <f aca="false">$F40+($L40-$F40)*J$17/5</f>
        <v>0.248</v>
      </c>
      <c r="K40" s="6" t="n">
        <f aca="false">$F40+($L40-$F40)*K$17/5</f>
        <v>0.245</v>
      </c>
      <c r="L40" s="28" t="n">
        <v>0.245</v>
      </c>
    </row>
    <row r="41" customFormat="false" ht="15" hidden="false" customHeight="false" outlineLevel="0" collapsed="false">
      <c r="A41" s="0" t="s">
        <v>103</v>
      </c>
      <c r="B41" s="27" t="n">
        <f aca="false">B38*B40</f>
        <v>13.1075</v>
      </c>
      <c r="C41" s="27" t="n">
        <f aca="false">C38*C40</f>
        <v>14.136</v>
      </c>
      <c r="D41" s="27" t="n">
        <f aca="false">D38*D40</f>
        <v>15.2964</v>
      </c>
      <c r="E41" s="27" t="n">
        <f aca="false">E38*E40</f>
        <v>16.5376</v>
      </c>
      <c r="F41" s="27" t="n">
        <f aca="false">F38*F40</f>
        <v>17.888</v>
      </c>
      <c r="G41" s="27" t="n">
        <f aca="false">G38*G40</f>
        <v>18.7250333671827</v>
      </c>
      <c r="H41" s="27" t="n">
        <f aca="false">H38*H40</f>
        <v>19.4874671178986</v>
      </c>
      <c r="I41" s="27" t="n">
        <f aca="false">I38*I40</f>
        <v>20.1625125323055</v>
      </c>
      <c r="J41" s="27" t="n">
        <f aca="false">J38*J40</f>
        <v>20.7383705826885</v>
      </c>
      <c r="K41" s="27" t="n">
        <f aca="false">K38*K40</f>
        <v>21.2045658084888</v>
      </c>
      <c r="L41" s="27" t="n">
        <f aca="false">L38*L40</f>
        <v>21.946725611786</v>
      </c>
    </row>
    <row r="42" customFormat="false" ht="15" hidden="false" customHeight="false" outlineLevel="0" collapsed="false">
      <c r="A42" s="0" t="s">
        <v>104</v>
      </c>
      <c r="B42" s="27" t="n">
        <f aca="false">B41*(1-$B$9)</f>
        <v>11.141375</v>
      </c>
      <c r="C42" s="27" t="n">
        <f aca="false">C41*(1-$B$9)</f>
        <v>12.0156</v>
      </c>
      <c r="D42" s="27" t="n">
        <f aca="false">D41*(1-$B$9)</f>
        <v>13.00194</v>
      </c>
      <c r="E42" s="27" t="n">
        <f aca="false">E41*(1-$B$9)</f>
        <v>14.05696</v>
      </c>
      <c r="F42" s="27" t="n">
        <f aca="false">F41*(1-$B$9)</f>
        <v>15.2048</v>
      </c>
      <c r="G42" s="27" t="n">
        <f aca="false">G41*(1-$B$9)</f>
        <v>15.9162783621053</v>
      </c>
      <c r="H42" s="27" t="n">
        <f aca="false">H41*(1-$B$9)</f>
        <v>16.5643470502138</v>
      </c>
      <c r="I42" s="27" t="n">
        <f aca="false">I41*(1-$B$9)</f>
        <v>17.1381356524596</v>
      </c>
      <c r="J42" s="27" t="n">
        <f aca="false">J41*(1-$B$9)</f>
        <v>17.6276149952852</v>
      </c>
      <c r="K42" s="27" t="n">
        <f aca="false">K41*(1-$B$9)</f>
        <v>18.0238809372155</v>
      </c>
      <c r="L42" s="27" t="n">
        <f aca="false">L41*(1-$B$9)</f>
        <v>18.6547167700181</v>
      </c>
    </row>
    <row r="43" customFormat="false" ht="15" hidden="false" customHeight="false" outlineLevel="0" collapsed="false">
      <c r="A43" s="0" t="s">
        <v>105</v>
      </c>
      <c r="B43" s="29" t="n">
        <v>0.03</v>
      </c>
      <c r="C43" s="29" t="n">
        <v>0.03</v>
      </c>
      <c r="D43" s="29" t="n">
        <v>0.03</v>
      </c>
      <c r="E43" s="29" t="n">
        <v>0.03</v>
      </c>
      <c r="F43" s="29" t="n">
        <v>0.03</v>
      </c>
      <c r="G43" s="6" t="n">
        <f aca="false">$F43+($L43-$F43)*G$17/5</f>
        <v>0.029</v>
      </c>
      <c r="H43" s="6" t="n">
        <f aca="false">$F43+($L43-$F43)*H$17/5</f>
        <v>0.028</v>
      </c>
      <c r="I43" s="6" t="n">
        <f aca="false">$F43+($L43-$F43)*I$17/5</f>
        <v>0.027</v>
      </c>
      <c r="J43" s="6" t="n">
        <f aca="false">$F43+($L43-$F43)*J$17/5</f>
        <v>0.026</v>
      </c>
      <c r="K43" s="6" t="n">
        <f aca="false">$F43+($L43-$F43)*K$17/5</f>
        <v>0.025</v>
      </c>
      <c r="L43" s="28" t="n">
        <v>0.025</v>
      </c>
    </row>
    <row r="44" customFormat="false" ht="15" hidden="false" customHeight="false" outlineLevel="0" collapsed="false">
      <c r="A44" s="0" t="s">
        <v>106</v>
      </c>
      <c r="B44" s="27" t="n">
        <f aca="false">B38*B43</f>
        <v>1.605</v>
      </c>
      <c r="C44" s="27" t="n">
        <f aca="false">C38*C43</f>
        <v>1.71</v>
      </c>
      <c r="D44" s="27" t="n">
        <f aca="false">D38*D43</f>
        <v>1.821</v>
      </c>
      <c r="E44" s="27" t="n">
        <f aca="false">E38*E43</f>
        <v>1.938</v>
      </c>
      <c r="F44" s="27" t="n">
        <f aca="false">F38*F43</f>
        <v>2.064</v>
      </c>
      <c r="G44" s="27" t="n">
        <f aca="false">G38*G43</f>
        <v>2.11294150835913</v>
      </c>
      <c r="H44" s="27" t="n">
        <f aca="false">H38*H43</f>
        <v>2.14822472165811</v>
      </c>
      <c r="I44" s="27" t="n">
        <f aca="false">I38*I43</f>
        <v>2.16887585008864</v>
      </c>
      <c r="J44" s="27" t="n">
        <f aca="false">J38*J43</f>
        <v>2.17418401270121</v>
      </c>
      <c r="K44" s="27" t="n">
        <f aca="false">K38*K43</f>
        <v>2.16373120494784</v>
      </c>
      <c r="L44" s="27" t="n">
        <f aca="false">L38*L43</f>
        <v>2.23946179712102</v>
      </c>
    </row>
    <row r="45" customFormat="false" ht="15" hidden="false" customHeight="false" outlineLevel="0" collapsed="false">
      <c r="A45" s="0" t="s">
        <v>107</v>
      </c>
      <c r="B45" s="27" t="n">
        <f aca="false">$B$11*(B38-$B$12)</f>
        <v>0.495</v>
      </c>
      <c r="C45" s="27" t="n">
        <f aca="false">$B$11*(C38-B38)</f>
        <v>0.525</v>
      </c>
      <c r="D45" s="27" t="n">
        <f aca="false">$B$11*(D38-C38)</f>
        <v>0.555</v>
      </c>
      <c r="E45" s="27" t="n">
        <f aca="false">$B$11*(E38-D38)</f>
        <v>0.584999999999999</v>
      </c>
      <c r="F45" s="27" t="n">
        <f aca="false">$B$11*(F38-E38)</f>
        <v>0.63</v>
      </c>
      <c r="G45" s="27" t="n">
        <f aca="false">$B$11*(G38-F38)</f>
        <v>0.609007801857586</v>
      </c>
      <c r="H45" s="27" t="n">
        <f aca="false">$B$11*(H38-G38)</f>
        <v>0.579338921310854</v>
      </c>
      <c r="I45" s="27" t="n">
        <f aca="false">$B$11*(I38-H38)</f>
        <v>0.540963555101754</v>
      </c>
      <c r="J45" s="27" t="n">
        <f aca="false">$B$11*(J38-I38)</f>
        <v>0.494059025775263</v>
      </c>
      <c r="K45" s="27" t="n">
        <f aca="false">$B$11*(K38-J38)</f>
        <v>0.439017925641589</v>
      </c>
      <c r="L45" s="27" t="n">
        <f aca="false">$B$11*(L38-K38)</f>
        <v>0.454383553039045</v>
      </c>
    </row>
    <row r="46" customFormat="false" ht="15" hidden="false" customHeight="false" outlineLevel="0" collapsed="false">
      <c r="A46" s="0" t="s">
        <v>108</v>
      </c>
      <c r="B46" s="27" t="n">
        <f aca="false">B42-B44-B45</f>
        <v>9.041375</v>
      </c>
      <c r="C46" s="27" t="n">
        <f aca="false">C42-C44-C45</f>
        <v>9.7806</v>
      </c>
      <c r="D46" s="27" t="n">
        <f aca="false">D42-D44-D45</f>
        <v>10.62594</v>
      </c>
      <c r="E46" s="27" t="n">
        <f aca="false">E42-E44-E45</f>
        <v>11.53396</v>
      </c>
      <c r="F46" s="27" t="n">
        <f aca="false">F42-F44-F45</f>
        <v>12.5108</v>
      </c>
      <c r="G46" s="27" t="n">
        <f aca="false">G42-G44-G45</f>
        <v>13.1943290518885</v>
      </c>
      <c r="H46" s="27" t="n">
        <f aca="false">H42-H44-H45</f>
        <v>13.8367834072448</v>
      </c>
      <c r="I46" s="27" t="n">
        <f aca="false">I42-I44-I45</f>
        <v>14.4282962472692</v>
      </c>
      <c r="J46" s="27" t="n">
        <f aca="false">J42-J44-J45</f>
        <v>14.9593719568087</v>
      </c>
      <c r="K46" s="27" t="n">
        <f aca="false">K42-K44-K45</f>
        <v>15.4211318066261</v>
      </c>
      <c r="L46" s="27" t="n">
        <f aca="false">L42-L44-L45</f>
        <v>15.960871419858</v>
      </c>
    </row>
    <row r="47" customFormat="false" ht="15" hidden="false" customHeight="false" outlineLevel="0" collapsed="false">
      <c r="A47" s="0" t="s">
        <v>109</v>
      </c>
      <c r="B47" s="30" t="n">
        <f aca="false">1/(1+$B$10)^B$16</f>
        <v>0.962250448649376</v>
      </c>
      <c r="C47" s="30" t="n">
        <f aca="false">1/(1+$B$10)^C$16</f>
        <v>0.890972637638311</v>
      </c>
      <c r="D47" s="30" t="n">
        <f aca="false">1/(1+$B$10)^D$16</f>
        <v>0.824974664479918</v>
      </c>
      <c r="E47" s="30" t="n">
        <f aca="false">1/(1+$B$10)^E$16</f>
        <v>0.763865430073998</v>
      </c>
      <c r="F47" s="30" t="n">
        <f aca="false">1/(1+$B$10)^F$16</f>
        <v>0.707282805624072</v>
      </c>
      <c r="G47" s="30" t="n">
        <f aca="false">1/(1+$B$10)^G$16</f>
        <v>0.654891486688956</v>
      </c>
      <c r="H47" s="30" t="n">
        <f aca="false">1/(1+$B$10)^H$16</f>
        <v>0.606381006193477</v>
      </c>
      <c r="I47" s="30" t="n">
        <f aca="false">1/(1+$B$10)^I$16</f>
        <v>0.56146389462359</v>
      </c>
      <c r="J47" s="30" t="n">
        <f aca="false">1/(1+$B$10)^J$16</f>
        <v>0.519873976503324</v>
      </c>
      <c r="K47" s="30" t="n">
        <f aca="false">1/(1+$B$10)^K$16</f>
        <v>0.481364793058633</v>
      </c>
    </row>
    <row r="48" customFormat="false" ht="15" hidden="false" customHeight="false" outlineLevel="0" collapsed="false">
      <c r="A48" s="0" t="s">
        <v>110</v>
      </c>
      <c r="B48" s="27" t="n">
        <f aca="false">B46*B47</f>
        <v>8.70006715015725</v>
      </c>
      <c r="C48" s="27" t="n">
        <f aca="false">C46*C47</f>
        <v>8.71424697968527</v>
      </c>
      <c r="D48" s="27" t="n">
        <f aca="false">D46*D47</f>
        <v>8.76613128628374</v>
      </c>
      <c r="E48" s="27" t="n">
        <f aca="false">E46*E47</f>
        <v>8.81039331585629</v>
      </c>
      <c r="F48" s="27" t="n">
        <f aca="false">F46*F47</f>
        <v>8.84867372460164</v>
      </c>
      <c r="G48" s="27" t="n">
        <f aca="false">G46*G47</f>
        <v>8.64085376865457</v>
      </c>
      <c r="H48" s="27" t="n">
        <f aca="false">H46*H47</f>
        <v>8.39036264496632</v>
      </c>
      <c r="I48" s="27" t="n">
        <f aca="false">I46*I47</f>
        <v>8.10096740377472</v>
      </c>
      <c r="J48" s="27" t="n">
        <f aca="false">J46*J47</f>
        <v>7.77698818517847</v>
      </c>
      <c r="K48" s="27" t="n">
        <f aca="false">K46*K47</f>
        <v>7.42318992082648</v>
      </c>
      <c r="L48" s="27"/>
    </row>
    <row r="49" customFormat="false" ht="15" hidden="false" customHeight="false" outlineLevel="0" collapsed="false">
      <c r="A49" s="0" t="s">
        <v>111</v>
      </c>
      <c r="B49" s="27" t="n">
        <f aca="false">L46/($B$10-L39)</f>
        <v>354.6860315524</v>
      </c>
      <c r="C49" s="0" t="str">
        <f aca="false">IF($B$10&gt;L39,"","Discount rate must exceed terminal growth")</f>
        <v/>
      </c>
    </row>
    <row r="50" customFormat="false" ht="15" hidden="false" customHeight="false" outlineLevel="0" collapsed="false">
      <c r="A50" s="0" t="s">
        <v>112</v>
      </c>
      <c r="B50" s="27" t="n">
        <f aca="false">B49/(1+$B$10)^$K$16</f>
        <v>170.733368179009</v>
      </c>
    </row>
    <row r="51" customFormat="false" ht="15" hidden="false" customHeight="false" outlineLevel="0" collapsed="false">
      <c r="A51" s="0" t="s">
        <v>113</v>
      </c>
      <c r="B51" s="27" t="n">
        <f aca="false">SUM(B48:K48)+B50+$B$7+$B$8</f>
        <v>227.785242558994</v>
      </c>
    </row>
    <row r="52" customFormat="false" ht="15" hidden="false" customHeight="false" outlineLevel="0" collapsed="false">
      <c r="A52" s="0" t="s">
        <v>114</v>
      </c>
      <c r="B52" s="31" t="n">
        <f aca="false">B51/$B$6</f>
        <v>131.637333887537</v>
      </c>
    </row>
    <row r="53" customFormat="false" ht="15" hidden="false" customHeight="false" outlineLevel="0" collapsed="false">
      <c r="A53" s="0" t="s">
        <v>115</v>
      </c>
      <c r="B53" s="6" t="n">
        <f aca="false">B52/$B$4-1</f>
        <v>0.26940534124915</v>
      </c>
    </row>
    <row r="55" customFormat="false" ht="15" hidden="false" customHeight="false" outlineLevel="0" collapsed="false">
      <c r="A55" s="10" t="s">
        <v>117</v>
      </c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</row>
    <row r="56" customFormat="false" ht="15" hidden="false" customHeight="false" outlineLevel="0" collapsed="false">
      <c r="A56" s="0" t="s">
        <v>100</v>
      </c>
      <c r="B56" s="21" t="n">
        <v>54.2</v>
      </c>
      <c r="C56" s="21" t="n">
        <v>58.8</v>
      </c>
      <c r="D56" s="21" t="n">
        <v>63.8</v>
      </c>
      <c r="E56" s="21" t="n">
        <v>69.2</v>
      </c>
      <c r="F56" s="21" t="n">
        <v>74.9</v>
      </c>
      <c r="G56" s="27" t="n">
        <f aca="false">F56*(1+$F57+($L57-$F57)*G$17/5)</f>
        <v>80.4348069364162</v>
      </c>
      <c r="H56" s="27" t="n">
        <f aca="false">G56*(1+$F57+($L57-$F57)*H$17/5)</f>
        <v>85.6970100861639</v>
      </c>
      <c r="I56" s="27" t="n">
        <f aca="false">H56*(1+$F57+($L57-$F57)*I$17/5)</f>
        <v>90.577281435117</v>
      </c>
      <c r="J56" s="27" t="n">
        <f aca="false">I56*(1+$F57+($L57-$F57)*J$17/5)</f>
        <v>94.9679235282667</v>
      </c>
      <c r="K56" s="27" t="n">
        <f aca="false">J56*(1+$F57+($L57-$F57)*K$17/5)</f>
        <v>98.7666404693974</v>
      </c>
      <c r="L56" s="27" t="n">
        <f aca="false">K56*(1+L57)</f>
        <v>102.717306088173</v>
      </c>
    </row>
    <row r="57" customFormat="false" ht="15" hidden="false" customHeight="false" outlineLevel="0" collapsed="false">
      <c r="A57" s="0" t="s">
        <v>101</v>
      </c>
      <c r="B57" s="6" t="n">
        <f aca="false">B56/$B$12-1</f>
        <v>0.0796812749003983</v>
      </c>
      <c r="C57" s="6" t="n">
        <f aca="false">C56/B56-1</f>
        <v>0.0848708487084871</v>
      </c>
      <c r="D57" s="6" t="n">
        <f aca="false">D56/C56-1</f>
        <v>0.0850340136054422</v>
      </c>
      <c r="E57" s="6" t="n">
        <f aca="false">E56/D56-1</f>
        <v>0.084639498432602</v>
      </c>
      <c r="F57" s="6" t="n">
        <f aca="false">F56/E56-1</f>
        <v>0.0823699421965318</v>
      </c>
      <c r="G57" s="6" t="n">
        <f aca="false">G56/F56-1</f>
        <v>0.0738959537572255</v>
      </c>
      <c r="H57" s="6" t="n">
        <f aca="false">H56/G56-1</f>
        <v>0.0654219653179191</v>
      </c>
      <c r="I57" s="6" t="n">
        <f aca="false">I56/H56-1</f>
        <v>0.0569479768786128</v>
      </c>
      <c r="J57" s="6" t="n">
        <f aca="false">J56/I56-1</f>
        <v>0.0484739884393064</v>
      </c>
      <c r="K57" s="6" t="n">
        <f aca="false">K56/J56-1</f>
        <v>0.04</v>
      </c>
      <c r="L57" s="28" t="n">
        <v>0.04</v>
      </c>
    </row>
    <row r="58" customFormat="false" ht="15" hidden="false" customHeight="false" outlineLevel="0" collapsed="false">
      <c r="A58" s="0" t="s">
        <v>102</v>
      </c>
      <c r="B58" s="29" t="n">
        <v>0.25</v>
      </c>
      <c r="C58" s="29" t="n">
        <v>0.26</v>
      </c>
      <c r="D58" s="29" t="n">
        <v>0.27</v>
      </c>
      <c r="E58" s="29" t="n">
        <v>0.275</v>
      </c>
      <c r="F58" s="29" t="n">
        <v>0.28</v>
      </c>
      <c r="G58" s="6" t="n">
        <f aca="false">$F58+($L58-$F58)*G$17/5</f>
        <v>0.278</v>
      </c>
      <c r="H58" s="6" t="n">
        <f aca="false">$F58+($L58-$F58)*H$17/5</f>
        <v>0.276</v>
      </c>
      <c r="I58" s="6" t="n">
        <f aca="false">$F58+($L58-$F58)*I$17/5</f>
        <v>0.274</v>
      </c>
      <c r="J58" s="6" t="n">
        <f aca="false">$F58+($L58-$F58)*J$17/5</f>
        <v>0.272</v>
      </c>
      <c r="K58" s="6" t="n">
        <f aca="false">$F58+($L58-$F58)*K$17/5</f>
        <v>0.27</v>
      </c>
      <c r="L58" s="28" t="n">
        <v>0.27</v>
      </c>
    </row>
    <row r="59" customFormat="false" ht="15" hidden="false" customHeight="false" outlineLevel="0" collapsed="false">
      <c r="A59" s="0" t="s">
        <v>103</v>
      </c>
      <c r="B59" s="27" t="n">
        <f aca="false">B56*B58</f>
        <v>13.55</v>
      </c>
      <c r="C59" s="27" t="n">
        <f aca="false">C56*C58</f>
        <v>15.288</v>
      </c>
      <c r="D59" s="27" t="n">
        <f aca="false">D56*D58</f>
        <v>17.226</v>
      </c>
      <c r="E59" s="27" t="n">
        <f aca="false">E56*E58</f>
        <v>19.03</v>
      </c>
      <c r="F59" s="27" t="n">
        <f aca="false">F56*F58</f>
        <v>20.972</v>
      </c>
      <c r="G59" s="27" t="n">
        <f aca="false">G56*G58</f>
        <v>22.3608763283237</v>
      </c>
      <c r="H59" s="27" t="n">
        <f aca="false">H56*H58</f>
        <v>23.6523747837812</v>
      </c>
      <c r="I59" s="27" t="n">
        <f aca="false">I56*I58</f>
        <v>24.8181751132221</v>
      </c>
      <c r="J59" s="27" t="n">
        <f aca="false">J56*J58</f>
        <v>25.8312751996885</v>
      </c>
      <c r="K59" s="27" t="n">
        <f aca="false">K56*K58</f>
        <v>26.6669929267373</v>
      </c>
      <c r="L59" s="27" t="n">
        <f aca="false">L56*L58</f>
        <v>27.7336726438068</v>
      </c>
    </row>
    <row r="60" customFormat="false" ht="15" hidden="false" customHeight="false" outlineLevel="0" collapsed="false">
      <c r="A60" s="0" t="s">
        <v>104</v>
      </c>
      <c r="B60" s="27" t="n">
        <f aca="false">B59*(1-$B$9)</f>
        <v>11.5175</v>
      </c>
      <c r="C60" s="27" t="n">
        <f aca="false">C59*(1-$B$9)</f>
        <v>12.9948</v>
      </c>
      <c r="D60" s="27" t="n">
        <f aca="false">D59*(1-$B$9)</f>
        <v>14.6421</v>
      </c>
      <c r="E60" s="27" t="n">
        <f aca="false">E59*(1-$B$9)</f>
        <v>16.1755</v>
      </c>
      <c r="F60" s="27" t="n">
        <f aca="false">F59*(1-$B$9)</f>
        <v>17.8262</v>
      </c>
      <c r="G60" s="27" t="n">
        <f aca="false">G59*(1-$B$9)</f>
        <v>19.0067448790752</v>
      </c>
      <c r="H60" s="27" t="n">
        <f aca="false">H59*(1-$B$9)</f>
        <v>20.1045185662141</v>
      </c>
      <c r="I60" s="27" t="n">
        <f aca="false">I59*(1-$B$9)</f>
        <v>21.0954488462388</v>
      </c>
      <c r="J60" s="27" t="n">
        <f aca="false">J59*(1-$B$9)</f>
        <v>21.9565839197353</v>
      </c>
      <c r="K60" s="27" t="n">
        <f aca="false">K59*(1-$B$9)</f>
        <v>22.6669439877267</v>
      </c>
      <c r="L60" s="27" t="n">
        <f aca="false">L59*(1-$B$9)</f>
        <v>23.5736217472358</v>
      </c>
    </row>
    <row r="61" customFormat="false" ht="15" hidden="false" customHeight="false" outlineLevel="0" collapsed="false">
      <c r="A61" s="0" t="s">
        <v>105</v>
      </c>
      <c r="B61" s="29" t="n">
        <v>0.03</v>
      </c>
      <c r="C61" s="29" t="n">
        <v>0.03</v>
      </c>
      <c r="D61" s="29" t="n">
        <v>0.03</v>
      </c>
      <c r="E61" s="29" t="n">
        <v>0.03</v>
      </c>
      <c r="F61" s="29" t="n">
        <v>0.03</v>
      </c>
      <c r="G61" s="6" t="n">
        <f aca="false">$F61+($L61-$F61)*G$17/5</f>
        <v>0.029</v>
      </c>
      <c r="H61" s="6" t="n">
        <f aca="false">$F61+($L61-$F61)*H$17/5</f>
        <v>0.028</v>
      </c>
      <c r="I61" s="6" t="n">
        <f aca="false">$F61+($L61-$F61)*I$17/5</f>
        <v>0.027</v>
      </c>
      <c r="J61" s="6" t="n">
        <f aca="false">$F61+($L61-$F61)*J$17/5</f>
        <v>0.026</v>
      </c>
      <c r="K61" s="6" t="n">
        <f aca="false">$F61+($L61-$F61)*K$17/5</f>
        <v>0.025</v>
      </c>
      <c r="L61" s="28" t="n">
        <v>0.025</v>
      </c>
    </row>
    <row r="62" customFormat="false" ht="15" hidden="false" customHeight="false" outlineLevel="0" collapsed="false">
      <c r="A62" s="0" t="s">
        <v>106</v>
      </c>
      <c r="B62" s="27" t="n">
        <f aca="false">B56*B61</f>
        <v>1.626</v>
      </c>
      <c r="C62" s="27" t="n">
        <f aca="false">C56*C61</f>
        <v>1.764</v>
      </c>
      <c r="D62" s="27" t="n">
        <f aca="false">D56*D61</f>
        <v>1.914</v>
      </c>
      <c r="E62" s="27" t="n">
        <f aca="false">E56*E61</f>
        <v>2.076</v>
      </c>
      <c r="F62" s="27" t="n">
        <f aca="false">F56*F61</f>
        <v>2.247</v>
      </c>
      <c r="G62" s="27" t="n">
        <f aca="false">G56*G61</f>
        <v>2.33260940115607</v>
      </c>
      <c r="H62" s="27" t="n">
        <f aca="false">H56*H61</f>
        <v>2.39951628241259</v>
      </c>
      <c r="I62" s="27" t="n">
        <f aca="false">I56*I61</f>
        <v>2.44558659874816</v>
      </c>
      <c r="J62" s="27" t="n">
        <f aca="false">J56*J61</f>
        <v>2.46916601173493</v>
      </c>
      <c r="K62" s="27" t="n">
        <f aca="false">K56*K61</f>
        <v>2.46916601173493</v>
      </c>
      <c r="L62" s="27" t="n">
        <f aca="false">L56*L61</f>
        <v>2.56793265220433</v>
      </c>
    </row>
    <row r="63" customFormat="false" ht="15" hidden="false" customHeight="false" outlineLevel="0" collapsed="false">
      <c r="A63" s="0" t="s">
        <v>107</v>
      </c>
      <c r="B63" s="27" t="n">
        <f aca="false">$B$11*(B56-$B$12)</f>
        <v>0.6</v>
      </c>
      <c r="C63" s="27" t="n">
        <f aca="false">$B$11*(C56-B56)</f>
        <v>0.689999999999999</v>
      </c>
      <c r="D63" s="27" t="n">
        <f aca="false">$B$11*(D56-C56)</f>
        <v>0.75</v>
      </c>
      <c r="E63" s="27" t="n">
        <f aca="false">$B$11*(E56-D56)</f>
        <v>0.810000000000001</v>
      </c>
      <c r="F63" s="27" t="n">
        <f aca="false">$B$11*(F56-E56)</f>
        <v>0.855</v>
      </c>
      <c r="G63" s="27" t="n">
        <f aca="false">$B$11*(G56-F56)</f>
        <v>0.830221040462428</v>
      </c>
      <c r="H63" s="27" t="n">
        <f aca="false">$B$11*(H56-G56)</f>
        <v>0.78933047246216</v>
      </c>
      <c r="I63" s="27" t="n">
        <f aca="false">$B$11*(I56-H56)</f>
        <v>0.732040702342965</v>
      </c>
      <c r="J63" s="27" t="n">
        <f aca="false">$B$11*(J56-I56)</f>
        <v>0.65859631397245</v>
      </c>
      <c r="K63" s="27" t="n">
        <f aca="false">$B$11*(K56-J56)</f>
        <v>0.569807541169602</v>
      </c>
      <c r="L63" s="27" t="n">
        <f aca="false">$B$11*(L56-K56)</f>
        <v>0.592599842816385</v>
      </c>
    </row>
    <row r="64" customFormat="false" ht="15" hidden="false" customHeight="false" outlineLevel="0" collapsed="false">
      <c r="A64" s="0" t="s">
        <v>108</v>
      </c>
      <c r="B64" s="27" t="n">
        <f aca="false">B60-B62-B63</f>
        <v>9.2915</v>
      </c>
      <c r="C64" s="27" t="n">
        <f aca="false">C60-C62-C63</f>
        <v>10.5408</v>
      </c>
      <c r="D64" s="27" t="n">
        <f aca="false">D60-D62-D63</f>
        <v>11.9781</v>
      </c>
      <c r="E64" s="27" t="n">
        <f aca="false">E60-E62-E63</f>
        <v>13.2895</v>
      </c>
      <c r="F64" s="27" t="n">
        <f aca="false">F60-F62-F63</f>
        <v>14.7242</v>
      </c>
      <c r="G64" s="27" t="n">
        <f aca="false">G60-G62-G63</f>
        <v>15.8439144374567</v>
      </c>
      <c r="H64" s="27" t="n">
        <f aca="false">H60-H62-H63</f>
        <v>16.9156718113393</v>
      </c>
      <c r="I64" s="27" t="n">
        <f aca="false">I60-I62-I63</f>
        <v>17.9178215451476</v>
      </c>
      <c r="J64" s="27" t="n">
        <f aca="false">J60-J62-J63</f>
        <v>18.8288215940279</v>
      </c>
      <c r="K64" s="27" t="n">
        <f aca="false">K60-K62-K63</f>
        <v>19.6279704348222</v>
      </c>
      <c r="L64" s="27" t="n">
        <f aca="false">L60-L62-L63</f>
        <v>20.4130892522151</v>
      </c>
    </row>
    <row r="65" customFormat="false" ht="15" hidden="false" customHeight="false" outlineLevel="0" collapsed="false">
      <c r="A65" s="0" t="s">
        <v>109</v>
      </c>
      <c r="B65" s="30" t="n">
        <f aca="false">1/(1+$B$10)^B$16</f>
        <v>0.962250448649376</v>
      </c>
      <c r="C65" s="30" t="n">
        <f aca="false">1/(1+$B$10)^C$16</f>
        <v>0.890972637638311</v>
      </c>
      <c r="D65" s="30" t="n">
        <f aca="false">1/(1+$B$10)^D$16</f>
        <v>0.824974664479918</v>
      </c>
      <c r="E65" s="30" t="n">
        <f aca="false">1/(1+$B$10)^E$16</f>
        <v>0.763865430073998</v>
      </c>
      <c r="F65" s="30" t="n">
        <f aca="false">1/(1+$B$10)^F$16</f>
        <v>0.707282805624072</v>
      </c>
      <c r="G65" s="30" t="n">
        <f aca="false">1/(1+$B$10)^G$16</f>
        <v>0.654891486688956</v>
      </c>
      <c r="H65" s="30" t="n">
        <f aca="false">1/(1+$B$10)^H$16</f>
        <v>0.606381006193477</v>
      </c>
      <c r="I65" s="30" t="n">
        <f aca="false">1/(1+$B$10)^I$16</f>
        <v>0.56146389462359</v>
      </c>
      <c r="J65" s="30" t="n">
        <f aca="false">1/(1+$B$10)^J$16</f>
        <v>0.519873976503324</v>
      </c>
      <c r="K65" s="30" t="n">
        <f aca="false">1/(1+$B$10)^K$16</f>
        <v>0.481364793058633</v>
      </c>
    </row>
    <row r="66" customFormat="false" ht="15" hidden="false" customHeight="false" outlineLevel="0" collapsed="false">
      <c r="A66" s="0" t="s">
        <v>110</v>
      </c>
      <c r="B66" s="27" t="n">
        <f aca="false">B64*B65</f>
        <v>8.94075004362568</v>
      </c>
      <c r="C66" s="27" t="n">
        <f aca="false">C64*C65</f>
        <v>9.39156437881791</v>
      </c>
      <c r="D66" s="27" t="n">
        <f aca="false">D64*D65</f>
        <v>9.8816290286069</v>
      </c>
      <c r="E66" s="27" t="n">
        <f aca="false">E64*E65</f>
        <v>10.1513896329684</v>
      </c>
      <c r="F66" s="27" t="n">
        <f aca="false">F64*F65</f>
        <v>10.41417348657</v>
      </c>
      <c r="G66" s="27" t="n">
        <f aca="false">G64*G65</f>
        <v>10.3760446809186</v>
      </c>
      <c r="H66" s="27" t="n">
        <f aca="false">H64*H65</f>
        <v>10.2573420933986</v>
      </c>
      <c r="I66" s="27" t="n">
        <f aca="false">I64*I65</f>
        <v>10.0602098679091</v>
      </c>
      <c r="J66" s="27" t="n">
        <f aca="false">J64*J65</f>
        <v>9.78861435495893</v>
      </c>
      <c r="K66" s="27" t="n">
        <f aca="false">K64*K65</f>
        <v>9.44821392651915</v>
      </c>
      <c r="L66" s="27"/>
    </row>
    <row r="67" customFormat="false" ht="15" hidden="false" customHeight="false" outlineLevel="0" collapsed="false">
      <c r="A67" s="0" t="s">
        <v>111</v>
      </c>
      <c r="B67" s="27" t="n">
        <f aca="false">L64/($B$10-L57)</f>
        <v>510.327231305376</v>
      </c>
      <c r="C67" s="0" t="str">
        <f aca="false">IF($B$10&gt;L57,"","Discount rate must exceed terminal growth")</f>
        <v/>
      </c>
    </row>
    <row r="68" customFormat="false" ht="15" hidden="false" customHeight="false" outlineLevel="0" collapsed="false">
      <c r="A68" s="0" t="s">
        <v>112</v>
      </c>
      <c r="B68" s="27" t="n">
        <f aca="false">B67/(1+$B$10)^$K$16</f>
        <v>245.653562089498</v>
      </c>
    </row>
    <row r="69" customFormat="false" ht="15" hidden="false" customHeight="false" outlineLevel="0" collapsed="false">
      <c r="A69" s="0" t="s">
        <v>113</v>
      </c>
      <c r="B69" s="27" t="n">
        <f aca="false">SUM(B66:K66)+B68+$B$7+$B$8</f>
        <v>317.243493583791</v>
      </c>
    </row>
    <row r="70" customFormat="false" ht="15" hidden="false" customHeight="false" outlineLevel="0" collapsed="false">
      <c r="A70" s="0" t="s">
        <v>114</v>
      </c>
      <c r="B70" s="31" t="n">
        <f aca="false">B69/$B$6</f>
        <v>183.335352279121</v>
      </c>
    </row>
    <row r="71" customFormat="false" ht="15" hidden="false" customHeight="false" outlineLevel="0" collapsed="false">
      <c r="A71" s="0" t="s">
        <v>115</v>
      </c>
      <c r="B71" s="6" t="n">
        <f aca="false">B70/$B$4-1</f>
        <v>0.76793975196838</v>
      </c>
    </row>
    <row r="74" customFormat="false" ht="15" hidden="false" customHeight="false" outlineLevel="0" collapsed="false">
      <c r="A74" s="10" t="s">
        <v>118</v>
      </c>
      <c r="B74" s="26"/>
      <c r="C74" s="10" t="s">
        <v>119</v>
      </c>
      <c r="D74" s="26"/>
      <c r="E74" s="26"/>
      <c r="F74" s="26"/>
      <c r="G74" s="26"/>
      <c r="H74" s="26"/>
      <c r="I74" s="26"/>
      <c r="J74" s="26"/>
      <c r="K74" s="26"/>
      <c r="L74" s="26"/>
    </row>
    <row r="75" customFormat="false" ht="15" hidden="false" customHeight="false" outlineLevel="0" collapsed="false">
      <c r="A75" s="0" t="s">
        <v>120</v>
      </c>
      <c r="B75" s="7" t="n">
        <f aca="false">B34</f>
        <v>91.3787971132783</v>
      </c>
      <c r="C75" s="6" t="n">
        <f aca="false">B75/$B$4-1</f>
        <v>-0.11881584268777</v>
      </c>
    </row>
    <row r="76" customFormat="false" ht="15" hidden="false" customHeight="false" outlineLevel="0" collapsed="false">
      <c r="A76" s="0" t="s">
        <v>121</v>
      </c>
      <c r="B76" s="7" t="n">
        <f aca="false">B52</f>
        <v>131.637333887537</v>
      </c>
      <c r="C76" s="6" t="n">
        <f aca="false">B76/$B$4-1</f>
        <v>0.26940534124915</v>
      </c>
    </row>
    <row r="77" customFormat="false" ht="15" hidden="false" customHeight="false" outlineLevel="0" collapsed="false">
      <c r="A77" s="0" t="s">
        <v>122</v>
      </c>
      <c r="B77" s="7" t="n">
        <f aca="false">B70</f>
        <v>183.335352279121</v>
      </c>
      <c r="C77" s="6" t="n">
        <f aca="false">B77/$B$4-1</f>
        <v>0.76793975196838</v>
      </c>
    </row>
    <row r="78" customFormat="false" ht="15" hidden="false" customHeight="false" outlineLevel="0" collapsed="false">
      <c r="A78" s="0" t="s">
        <v>123</v>
      </c>
      <c r="B78" s="7" t="n">
        <f aca="false">INDEX(B34:B70,1+($B$13-1)*18)</f>
        <v>131.637333887537</v>
      </c>
      <c r="C78" s="6" t="n">
        <f aca="false">B78/$B$4-1</f>
        <v>0.26940534124915</v>
      </c>
    </row>
    <row r="79" customFormat="false" ht="15" hidden="false" customHeight="false" outlineLevel="0" collapsed="false">
      <c r="A79" s="0" t="s">
        <v>124</v>
      </c>
      <c r="B79" s="13" t="n">
        <f aca="false">B50/(SUM(B48:K48)+B50)</f>
        <v>0.669791513367935</v>
      </c>
    </row>
    <row r="81" customFormat="false" ht="15" hidden="false" customHeight="false" outlineLevel="0" collapsed="false">
      <c r="A81" s="23" t="s">
        <v>125</v>
      </c>
    </row>
    <row r="82" customFormat="false" ht="15" hidden="false" customHeight="false" outlineLevel="0" collapsed="false">
      <c r="A82" s="0" t="s">
        <v>5</v>
      </c>
      <c r="B82" s="9" t="n">
        <v>0.05</v>
      </c>
      <c r="C82" s="9" t="n">
        <v>0.06</v>
      </c>
      <c r="D82" s="9" t="n">
        <v>0.07</v>
      </c>
      <c r="E82" s="9" t="n">
        <v>0.08</v>
      </c>
      <c r="F82" s="9" t="n">
        <v>0.09</v>
      </c>
      <c r="G82" s="9" t="n">
        <v>0.1</v>
      </c>
      <c r="H82" s="9" t="n">
        <v>0.11</v>
      </c>
      <c r="I82" s="9" t="n">
        <v>0.12</v>
      </c>
      <c r="J82" s="9" t="n">
        <v>0.13</v>
      </c>
      <c r="K82" s="9" t="n">
        <v>0.14</v>
      </c>
    </row>
    <row r="83" customFormat="false" ht="15" hidden="false" customHeight="false" outlineLevel="0" collapsed="false">
      <c r="A83" s="0" t="s">
        <v>121</v>
      </c>
      <c r="B83" s="7" t="n">
        <f aca="false">IF(B82&gt;$L39,(SUMPRODUCT($B46:$K46/(1+B82)^$B$16:$K$16)+$L46/(B82-$L39)/(1+B82)^$K$16+$B$7+$B$8)/$B$6,"n/a")</f>
        <v>427.122624026943</v>
      </c>
      <c r="C83" s="7" t="n">
        <f aca="false">IF(C82&gt;$L39,(SUMPRODUCT($B46:$K46/(1+C82)^$B$16:$K$16)+$L46/(C82-$L39)/(1+C82)^$K$16+$B$7+$B$8)/$B$6,"n/a")</f>
        <v>249.786817982105</v>
      </c>
      <c r="D83" s="7" t="n">
        <f aca="false">IF(D82&gt;$L39,(SUMPRODUCT($B46:$K46/(1+D82)^$B$16:$K$16)+$L46/(D82-$L39)/(1+D82)^$K$16+$B$7+$B$8)/$B$6,"n/a")</f>
        <v>173.818248362206</v>
      </c>
      <c r="E83" s="7" t="n">
        <f aca="false">IF(E82&gt;$L39,(SUMPRODUCT($B46:$K46/(1+E82)^$B$16:$K$16)+$L46/(E82-$L39)/(1+E82)^$K$16+$B$7+$B$8)/$B$6,"n/a")</f>
        <v>131.637333887537</v>
      </c>
      <c r="F83" s="7" t="n">
        <f aca="false">IF(F82&gt;$L39,(SUMPRODUCT($B46:$K46/(1+F82)^$B$16:$K$16)+$L46/(F82-$L39)/(1+F82)^$K$16+$B$7+$B$8)/$B$6,"n/a")</f>
        <v>104.813352553995</v>
      </c>
      <c r="G83" s="7" t="n">
        <f aca="false">IF(G82&gt;$L39,(SUMPRODUCT($B46:$K46/(1+G82)^$B$16:$K$16)+$L46/(G82-$L39)/(1+G82)^$K$16+$B$7+$B$8)/$B$6,"n/a")</f>
        <v>86.2576225344112</v>
      </c>
      <c r="H83" s="7" t="n">
        <f aca="false">IF(H82&gt;$L39,(SUMPRODUCT($B46:$K46/(1+H82)^$B$16:$K$16)+$L46/(H82-$L39)/(1+H82)^$K$16+$B$7+$B$8)/$B$6,"n/a")</f>
        <v>72.6621386335461</v>
      </c>
      <c r="I83" s="7" t="n">
        <f aca="false">IF(I82&gt;$L39,(SUMPRODUCT($B46:$K46/(1+I82)^$B$16:$K$16)+$L46/(I82-$L39)/(1+I82)^$K$16+$B$7+$B$8)/$B$6,"n/a")</f>
        <v>62.2756420576017</v>
      </c>
      <c r="J83" s="7" t="n">
        <f aca="false">IF(J82&gt;$L39,(SUMPRODUCT($B46:$K46/(1+J82)^$B$16:$K$16)+$L46/(J82-$L39)/(1+J82)^$K$16+$B$7+$B$8)/$B$6,"n/a")</f>
        <v>54.0842778827476</v>
      </c>
      <c r="K83" s="7" t="n">
        <f aca="false">IF(K82&gt;$L39,(SUMPRODUCT($B46:$K46/(1+K82)^$B$16:$K$16)+$L46/(K82-$L39)/(1+K82)^$K$16+$B$7+$B$8)/$B$6,"n/a")</f>
        <v>47.4604484104695</v>
      </c>
    </row>
    <row r="84" customFormat="false" ht="15" hidden="false" customHeight="false" outlineLevel="0" collapsed="false">
      <c r="A84" s="0" t="s">
        <v>126</v>
      </c>
      <c r="B84" s="6" t="n">
        <f aca="false">IFERROR(B83/$B$4-1,"n/a")</f>
        <v>3.11882954702935</v>
      </c>
      <c r="C84" s="6" t="n">
        <f aca="false">IFERROR(C83/$B$4-1,"n/a")</f>
        <v>1.40874462856417</v>
      </c>
      <c r="D84" s="6" t="n">
        <f aca="false">IFERROR(D83/$B$4-1,"n/a")</f>
        <v>0.676164400792732</v>
      </c>
      <c r="E84" s="6" t="n">
        <f aca="false">IFERROR(E83/$B$4-1,"n/a")</f>
        <v>0.26940534124915</v>
      </c>
      <c r="F84" s="6" t="n">
        <f aca="false">IFERROR(F83/$B$4-1,"n/a")</f>
        <v>0.0107362830664879</v>
      </c>
      <c r="G84" s="6" t="n">
        <f aca="false">IFERROR(G83/$B$4-1,"n/a")</f>
        <v>-0.168200361288224</v>
      </c>
      <c r="H84" s="6" t="n">
        <f aca="false">IFERROR(H83/$B$4-1,"n/a")</f>
        <v>-0.299304352617685</v>
      </c>
      <c r="I84" s="6" t="n">
        <f aca="false">IFERROR(I83/$B$4-1,"n/a")</f>
        <v>-0.399463432424284</v>
      </c>
      <c r="J84" s="6" t="n">
        <f aca="false">IFERROR(J83/$B$4-1,"n/a")</f>
        <v>-0.478454408073794</v>
      </c>
      <c r="K84" s="6" t="n">
        <f aca="false">IFERROR(K83/$B$4-1,"n/a")</f>
        <v>-0.542329330660854</v>
      </c>
    </row>
    <row r="86" customFormat="false" ht="15" hidden="false" customHeight="false" outlineLevel="0" collapsed="false">
      <c r="A86" s="23" t="s">
        <v>127</v>
      </c>
      <c r="B86" s="17" t="n">
        <f aca="false">IFERROR(IF(MATCH($B$4,$B$83:$K$83,-1)=10,"above 14%",INDEX($B$82:$K$82,MATCH($B$4,$B$83:$K$83,-1))+(INDEX($B$83:$K$83,MATCH($B$4,$B$83:$K$83,-1))-$B$4)/(INDEX($B$83:$K$83,MATCH($B$4,$B$83:$K$83,-1))-INDEX($B$83:$K$83,MATCH($B$4,$B$83:$K$83,-1)+1))*(INDEX($B$82:$K$82,MATCH($B$4,$B$83:$K$83,-1)+1)-INDEX($B$82:$K$82,MATCH($B$4,$B$83:$K$83,-1)))),"below 5%")</f>
        <v>0.0906000047170441</v>
      </c>
      <c r="C86" s="2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12" min="2" style="0" width="11"/>
  </cols>
  <sheetData>
    <row r="1" customFormat="false" ht="16.15" hidden="false" customHeight="false" outlineLevel="0" collapsed="false">
      <c r="A1" s="1" t="s">
        <v>129</v>
      </c>
    </row>
    <row r="2" customFormat="false" ht="15" hidden="false" customHeight="false" outlineLevel="0" collapsed="false">
      <c r="A2" s="2" t="s">
        <v>65</v>
      </c>
    </row>
    <row r="4" customFormat="false" ht="15" hidden="false" customHeight="false" outlineLevel="0" collapsed="false">
      <c r="A4" s="0" t="s">
        <v>66</v>
      </c>
      <c r="B4" s="18" t="n">
        <v>95.41</v>
      </c>
      <c r="C4" s="2" t="s">
        <v>67</v>
      </c>
    </row>
    <row r="5" customFormat="false" ht="15" hidden="false" customHeight="false" outlineLevel="0" collapsed="false">
      <c r="A5" s="0" t="s">
        <v>68</v>
      </c>
      <c r="B5" s="19" t="s">
        <v>69</v>
      </c>
      <c r="C5" s="2" t="s">
        <v>70</v>
      </c>
    </row>
    <row r="6" customFormat="false" ht="15" hidden="false" customHeight="false" outlineLevel="0" collapsed="false">
      <c r="A6" s="0" t="s">
        <v>71</v>
      </c>
      <c r="B6" s="20" t="n">
        <v>1.2241</v>
      </c>
      <c r="C6" s="2" t="s">
        <v>72</v>
      </c>
    </row>
    <row r="7" customFormat="false" ht="15" hidden="false" customHeight="false" outlineLevel="0" collapsed="false">
      <c r="A7" s="0" t="s">
        <v>73</v>
      </c>
      <c r="B7" s="21" t="n">
        <v>-19.17</v>
      </c>
      <c r="C7" s="2" t="s">
        <v>74</v>
      </c>
    </row>
    <row r="8" customFormat="false" ht="15" hidden="false" customHeight="false" outlineLevel="0" collapsed="false">
      <c r="A8" s="0" t="s">
        <v>75</v>
      </c>
      <c r="B8" s="21" t="n">
        <v>0</v>
      </c>
      <c r="C8" s="2" t="s">
        <v>76</v>
      </c>
    </row>
    <row r="9" customFormat="false" ht="15" hidden="false" customHeight="false" outlineLevel="0" collapsed="false">
      <c r="A9" s="0" t="s">
        <v>47</v>
      </c>
      <c r="B9" s="9" t="n">
        <v>0.165</v>
      </c>
      <c r="C9" s="2" t="s">
        <v>77</v>
      </c>
    </row>
    <row r="10" customFormat="false" ht="15" hidden="false" customHeight="false" outlineLevel="0" collapsed="false">
      <c r="A10" s="0" t="s">
        <v>78</v>
      </c>
      <c r="B10" s="22" t="n">
        <f aca="false">WACC!C29</f>
        <v>0.08</v>
      </c>
      <c r="C10" s="2" t="s">
        <v>79</v>
      </c>
    </row>
    <row r="11" customFormat="false" ht="15" hidden="false" customHeight="false" outlineLevel="0" collapsed="false">
      <c r="A11" s="0" t="s">
        <v>80</v>
      </c>
      <c r="B11" s="9" t="n">
        <v>0.1</v>
      </c>
      <c r="C11" s="2" t="s">
        <v>26</v>
      </c>
    </row>
    <row r="12" customFormat="false" ht="15" hidden="false" customHeight="false" outlineLevel="0" collapsed="false">
      <c r="A12" s="0" t="s">
        <v>130</v>
      </c>
      <c r="B12" s="21" t="n">
        <v>38.97</v>
      </c>
      <c r="C12" s="2" t="s">
        <v>131</v>
      </c>
    </row>
    <row r="13" customFormat="false" ht="15" hidden="false" customHeight="false" outlineLevel="0" collapsed="false">
      <c r="A13" s="0" t="s">
        <v>83</v>
      </c>
      <c r="B13" s="8" t="n">
        <v>2</v>
      </c>
      <c r="C13" s="2" t="s">
        <v>84</v>
      </c>
    </row>
    <row r="15" customFormat="false" ht="15" hidden="false" customHeight="false" outlineLevel="0" collapsed="false">
      <c r="A15" s="23" t="s">
        <v>85</v>
      </c>
      <c r="B15" s="24" t="s">
        <v>132</v>
      </c>
      <c r="C15" s="24" t="s">
        <v>133</v>
      </c>
      <c r="D15" s="24" t="s">
        <v>134</v>
      </c>
      <c r="E15" s="24" t="s">
        <v>135</v>
      </c>
      <c r="F15" s="24" t="s">
        <v>136</v>
      </c>
      <c r="G15" s="24" t="s">
        <v>137</v>
      </c>
      <c r="H15" s="24" t="s">
        <v>138</v>
      </c>
      <c r="I15" s="24" t="s">
        <v>139</v>
      </c>
      <c r="J15" s="24" t="s">
        <v>140</v>
      </c>
      <c r="K15" s="24" t="s">
        <v>141</v>
      </c>
      <c r="L15" s="23" t="s">
        <v>96</v>
      </c>
    </row>
    <row r="16" customFormat="false" ht="15" hidden="false" customHeight="false" outlineLevel="0" collapsed="false">
      <c r="A16" s="0" t="s">
        <v>97</v>
      </c>
      <c r="B16" s="19" t="n">
        <v>0.5</v>
      </c>
      <c r="C16" s="25" t="n">
        <f aca="false">B16+1</f>
        <v>1.5</v>
      </c>
      <c r="D16" s="25" t="n">
        <f aca="false">C16+1</f>
        <v>2.5</v>
      </c>
      <c r="E16" s="25" t="n">
        <f aca="false">D16+1</f>
        <v>3.5</v>
      </c>
      <c r="F16" s="25" t="n">
        <f aca="false">E16+1</f>
        <v>4.5</v>
      </c>
      <c r="G16" s="25" t="n">
        <f aca="false">F16+1</f>
        <v>5.5</v>
      </c>
      <c r="H16" s="25" t="n">
        <f aca="false">G16+1</f>
        <v>6.5</v>
      </c>
      <c r="I16" s="25" t="n">
        <f aca="false">H16+1</f>
        <v>7.5</v>
      </c>
      <c r="J16" s="25" t="n">
        <f aca="false">I16+1</f>
        <v>8.5</v>
      </c>
      <c r="K16" s="25" t="n">
        <f aca="false">J16+1</f>
        <v>9.5</v>
      </c>
    </row>
    <row r="17" customFormat="false" ht="15" hidden="false" customHeight="false" outlineLevel="0" collapsed="false">
      <c r="A17" s="0" t="s">
        <v>98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2</v>
      </c>
      <c r="I17" s="0" t="n">
        <v>3</v>
      </c>
      <c r="J17" s="0" t="n">
        <v>4</v>
      </c>
      <c r="K17" s="0" t="n">
        <v>5</v>
      </c>
    </row>
    <row r="19" customFormat="false" ht="15" hidden="false" customHeight="false" outlineLevel="0" collapsed="false">
      <c r="A19" s="10" t="s">
        <v>142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</row>
    <row r="20" customFormat="false" ht="15" hidden="false" customHeight="false" outlineLevel="0" collapsed="false">
      <c r="A20" s="0" t="s">
        <v>100</v>
      </c>
      <c r="B20" s="21" t="n">
        <v>39.8</v>
      </c>
      <c r="C20" s="21" t="n">
        <v>40.8</v>
      </c>
      <c r="D20" s="21" t="n">
        <v>41.8</v>
      </c>
      <c r="E20" s="21" t="n">
        <v>42.9</v>
      </c>
      <c r="F20" s="21" t="n">
        <v>44</v>
      </c>
      <c r="G20" s="27" t="n">
        <f aca="false">F20*(1+$F21+($L21-$F21)*G$17/5)</f>
        <v>45.1225641025641</v>
      </c>
      <c r="H20" s="27" t="n">
        <f aca="false">G20*(1+$F21+($L21-$F21)*H$17/5)</f>
        <v>46.2679830374754</v>
      </c>
      <c r="I20" s="27" t="n">
        <f aca="false">H20*(1+$F21+($L21-$F21)*I$17/5)</f>
        <v>47.4365461988065</v>
      </c>
      <c r="J20" s="27" t="n">
        <f aca="false">I20*(1+$F21+($L21-$F21)*J$17/5)</f>
        <v>48.6285414622637</v>
      </c>
      <c r="K20" s="27" t="n">
        <f aca="false">J20*(1+$F21+($L21-$F21)*K$17/5)</f>
        <v>49.8442549988202</v>
      </c>
      <c r="L20" s="27" t="n">
        <f aca="false">K20*(1+L21)</f>
        <v>51.0903613737907</v>
      </c>
    </row>
    <row r="21" customFormat="false" ht="15" hidden="false" customHeight="false" outlineLevel="0" collapsed="false">
      <c r="A21" s="0" t="s">
        <v>101</v>
      </c>
      <c r="B21" s="6" t="n">
        <f aca="false">B20/$B$12-1</f>
        <v>0.0212984346933538</v>
      </c>
      <c r="C21" s="6" t="n">
        <f aca="false">C20/B20-1</f>
        <v>0.0251256281407035</v>
      </c>
      <c r="D21" s="6" t="n">
        <f aca="false">D20/C20-1</f>
        <v>0.0245098039215685</v>
      </c>
      <c r="E21" s="6" t="n">
        <f aca="false">E20/D20-1</f>
        <v>0.0263157894736843</v>
      </c>
      <c r="F21" s="6" t="n">
        <f aca="false">F20/E20-1</f>
        <v>0.0256410256410258</v>
      </c>
      <c r="G21" s="6" t="n">
        <f aca="false">G20/F20-1</f>
        <v>0.0255128205128206</v>
      </c>
      <c r="H21" s="6" t="n">
        <f aca="false">H20/G20-1</f>
        <v>0.0253846153846156</v>
      </c>
      <c r="I21" s="6" t="n">
        <f aca="false">I20/H20-1</f>
        <v>0.0252564102564103</v>
      </c>
      <c r="J21" s="6" t="n">
        <f aca="false">J20/I20-1</f>
        <v>0.0251282051282051</v>
      </c>
      <c r="K21" s="6" t="n">
        <f aca="false">K20/J20-1</f>
        <v>0.0249999999999999</v>
      </c>
      <c r="L21" s="28" t="n">
        <v>0.025</v>
      </c>
    </row>
    <row r="22" customFormat="false" ht="15" hidden="false" customHeight="false" outlineLevel="0" collapsed="false">
      <c r="A22" s="0" t="s">
        <v>102</v>
      </c>
      <c r="B22" s="29" t="n">
        <v>0.235</v>
      </c>
      <c r="C22" s="29" t="n">
        <v>0.235</v>
      </c>
      <c r="D22" s="29" t="n">
        <v>0.235</v>
      </c>
      <c r="E22" s="29" t="n">
        <v>0.235</v>
      </c>
      <c r="F22" s="29" t="n">
        <v>0.235</v>
      </c>
      <c r="G22" s="6" t="n">
        <f aca="false">$F22+($L22-$F22)*G$17/5</f>
        <v>0.233</v>
      </c>
      <c r="H22" s="6" t="n">
        <f aca="false">$F22+($L22-$F22)*H$17/5</f>
        <v>0.231</v>
      </c>
      <c r="I22" s="6" t="n">
        <f aca="false">$F22+($L22-$F22)*I$17/5</f>
        <v>0.229</v>
      </c>
      <c r="J22" s="6" t="n">
        <f aca="false">$F22+($L22-$F22)*J$17/5</f>
        <v>0.227</v>
      </c>
      <c r="K22" s="6" t="n">
        <f aca="false">$F22+($L22-$F22)*K$17/5</f>
        <v>0.225</v>
      </c>
      <c r="L22" s="28" t="n">
        <v>0.225</v>
      </c>
    </row>
    <row r="23" customFormat="false" ht="15" hidden="false" customHeight="false" outlineLevel="0" collapsed="false">
      <c r="A23" s="0" t="s">
        <v>103</v>
      </c>
      <c r="B23" s="27" t="n">
        <f aca="false">B20*B22</f>
        <v>9.353</v>
      </c>
      <c r="C23" s="27" t="n">
        <f aca="false">C20*C22</f>
        <v>9.588</v>
      </c>
      <c r="D23" s="27" t="n">
        <f aca="false">D20*D22</f>
        <v>9.823</v>
      </c>
      <c r="E23" s="27" t="n">
        <f aca="false">E20*E22</f>
        <v>10.0815</v>
      </c>
      <c r="F23" s="27" t="n">
        <f aca="false">F20*F22</f>
        <v>10.34</v>
      </c>
      <c r="G23" s="27" t="n">
        <f aca="false">G20*G22</f>
        <v>10.5135574358974</v>
      </c>
      <c r="H23" s="27" t="n">
        <f aca="false">H20*H22</f>
        <v>10.6879040816568</v>
      </c>
      <c r="I23" s="27" t="n">
        <f aca="false">I20*I22</f>
        <v>10.8629690795267</v>
      </c>
      <c r="J23" s="27" t="n">
        <f aca="false">J20*J22</f>
        <v>11.0386789119339</v>
      </c>
      <c r="K23" s="27" t="n">
        <f aca="false">K20*K22</f>
        <v>11.2149573747346</v>
      </c>
      <c r="L23" s="27" t="n">
        <f aca="false">L20*L22</f>
        <v>11.4953313091029</v>
      </c>
    </row>
    <row r="24" customFormat="false" ht="15" hidden="false" customHeight="false" outlineLevel="0" collapsed="false">
      <c r="A24" s="0" t="s">
        <v>104</v>
      </c>
      <c r="B24" s="27" t="n">
        <f aca="false">B23*(1-$B$9)</f>
        <v>7.809755</v>
      </c>
      <c r="C24" s="27" t="n">
        <f aca="false">C23*(1-$B$9)</f>
        <v>8.00598</v>
      </c>
      <c r="D24" s="27" t="n">
        <f aca="false">D23*(1-$B$9)</f>
        <v>8.202205</v>
      </c>
      <c r="E24" s="27" t="n">
        <f aca="false">E23*(1-$B$9)</f>
        <v>8.4180525</v>
      </c>
      <c r="F24" s="27" t="n">
        <f aca="false">F23*(1-$B$9)</f>
        <v>8.6339</v>
      </c>
      <c r="G24" s="27" t="n">
        <f aca="false">G23*(1-$B$9)</f>
        <v>8.77882045897436</v>
      </c>
      <c r="H24" s="27" t="n">
        <f aca="false">H23*(1-$B$9)</f>
        <v>8.92439990818343</v>
      </c>
      <c r="I24" s="27" t="n">
        <f aca="false">I23*(1-$B$9)</f>
        <v>9.07057918140478</v>
      </c>
      <c r="J24" s="27" t="n">
        <f aca="false">J23*(1-$B$9)</f>
        <v>9.21729689146476</v>
      </c>
      <c r="K24" s="27" t="n">
        <f aca="false">K23*(1-$B$9)</f>
        <v>9.36448940790335</v>
      </c>
      <c r="L24" s="27" t="n">
        <f aca="false">L23*(1-$B$9)</f>
        <v>9.59860164310094</v>
      </c>
    </row>
    <row r="25" customFormat="false" ht="15" hidden="false" customHeight="false" outlineLevel="0" collapsed="false">
      <c r="A25" s="0" t="s">
        <v>105</v>
      </c>
      <c r="B25" s="29" t="n">
        <v>0.025</v>
      </c>
      <c r="C25" s="29" t="n">
        <v>0.025</v>
      </c>
      <c r="D25" s="29" t="n">
        <v>0.025</v>
      </c>
      <c r="E25" s="29" t="n">
        <v>0.025</v>
      </c>
      <c r="F25" s="29" t="n">
        <v>0.025</v>
      </c>
      <c r="G25" s="6" t="n">
        <f aca="false">$F25+($L25-$F25)*G$17/5</f>
        <v>0.024</v>
      </c>
      <c r="H25" s="6" t="n">
        <f aca="false">$F25+($L25-$F25)*H$17/5</f>
        <v>0.023</v>
      </c>
      <c r="I25" s="6" t="n">
        <f aca="false">$F25+($L25-$F25)*I$17/5</f>
        <v>0.022</v>
      </c>
      <c r="J25" s="6" t="n">
        <f aca="false">$F25+($L25-$F25)*J$17/5</f>
        <v>0.021</v>
      </c>
      <c r="K25" s="6" t="n">
        <f aca="false">$F25+($L25-$F25)*K$17/5</f>
        <v>0.02</v>
      </c>
      <c r="L25" s="28" t="n">
        <v>0.02</v>
      </c>
    </row>
    <row r="26" customFormat="false" ht="15" hidden="false" customHeight="false" outlineLevel="0" collapsed="false">
      <c r="A26" s="0" t="s">
        <v>106</v>
      </c>
      <c r="B26" s="27" t="n">
        <f aca="false">B20*B25</f>
        <v>0.995</v>
      </c>
      <c r="C26" s="27" t="n">
        <f aca="false">C20*C25</f>
        <v>1.02</v>
      </c>
      <c r="D26" s="27" t="n">
        <f aca="false">D20*D25</f>
        <v>1.045</v>
      </c>
      <c r="E26" s="27" t="n">
        <f aca="false">E20*E25</f>
        <v>1.0725</v>
      </c>
      <c r="F26" s="27" t="n">
        <f aca="false">F20*F25</f>
        <v>1.1</v>
      </c>
      <c r="G26" s="27" t="n">
        <f aca="false">G20*G25</f>
        <v>1.08294153846154</v>
      </c>
      <c r="H26" s="27" t="n">
        <f aca="false">H20*H25</f>
        <v>1.06416360986193</v>
      </c>
      <c r="I26" s="27" t="n">
        <f aca="false">I20*I25</f>
        <v>1.04360401637374</v>
      </c>
      <c r="J26" s="27" t="n">
        <f aca="false">J20*J25</f>
        <v>1.02119937070754</v>
      </c>
      <c r="K26" s="27" t="n">
        <f aca="false">K20*K25</f>
        <v>0.996885099976405</v>
      </c>
      <c r="L26" s="27" t="n">
        <f aca="false">L20*L25</f>
        <v>1.02180722747581</v>
      </c>
    </row>
    <row r="27" customFormat="false" ht="15" hidden="false" customHeight="false" outlineLevel="0" collapsed="false">
      <c r="A27" s="0" t="s">
        <v>107</v>
      </c>
      <c r="B27" s="27" t="n">
        <f aca="false">$B$11*(B20-$B$12)</f>
        <v>0.0829999999999998</v>
      </c>
      <c r="C27" s="27" t="n">
        <f aca="false">$B$11*(C20-B20)</f>
        <v>0.1</v>
      </c>
      <c r="D27" s="27" t="n">
        <f aca="false">$B$11*(D20-C20)</f>
        <v>0.1</v>
      </c>
      <c r="E27" s="27" t="n">
        <f aca="false">$B$11*(E20-D20)</f>
        <v>0.11</v>
      </c>
      <c r="F27" s="27" t="n">
        <f aca="false">$B$11*(F20-E20)</f>
        <v>0.11</v>
      </c>
      <c r="G27" s="27" t="n">
        <f aca="false">$B$11*(G20-F20)</f>
        <v>0.112256410256411</v>
      </c>
      <c r="H27" s="27" t="n">
        <f aca="false">$B$11*(H20-G20)</f>
        <v>0.114541893491125</v>
      </c>
      <c r="I27" s="27" t="n">
        <f aca="false">$B$11*(I20-H20)</f>
        <v>0.116856316133111</v>
      </c>
      <c r="J27" s="27" t="n">
        <f aca="false">$B$11*(J20-I20)</f>
        <v>0.119199526345719</v>
      </c>
      <c r="K27" s="27" t="n">
        <f aca="false">$B$11*(K20-J20)</f>
        <v>0.121571353655659</v>
      </c>
      <c r="L27" s="27" t="n">
        <f aca="false">$B$11*(L20-K20)</f>
        <v>0.12461063749705</v>
      </c>
    </row>
    <row r="28" customFormat="false" ht="15" hidden="false" customHeight="false" outlineLevel="0" collapsed="false">
      <c r="A28" s="0" t="s">
        <v>108</v>
      </c>
      <c r="B28" s="27" t="n">
        <f aca="false">B24-B26-B27</f>
        <v>6.731755</v>
      </c>
      <c r="C28" s="27" t="n">
        <f aca="false">C24-C26-C27</f>
        <v>6.88598</v>
      </c>
      <c r="D28" s="27" t="n">
        <f aca="false">D24-D26-D27</f>
        <v>7.057205</v>
      </c>
      <c r="E28" s="27" t="n">
        <f aca="false">E24-E26-E27</f>
        <v>7.2355525</v>
      </c>
      <c r="F28" s="27" t="n">
        <f aca="false">F24-F26-F27</f>
        <v>7.4239</v>
      </c>
      <c r="G28" s="27" t="n">
        <f aca="false">G24-G26-G27</f>
        <v>7.58362251025641</v>
      </c>
      <c r="H28" s="27" t="n">
        <f aca="false">H24-H26-H27</f>
        <v>7.74569440483037</v>
      </c>
      <c r="I28" s="27" t="n">
        <f aca="false">I24-I26-I27</f>
        <v>7.91011884889793</v>
      </c>
      <c r="J28" s="27" t="n">
        <f aca="false">J24-J26-J27</f>
        <v>8.07689799441151</v>
      </c>
      <c r="K28" s="27" t="n">
        <f aca="false">K24-K26-K27</f>
        <v>8.24603295427129</v>
      </c>
      <c r="L28" s="27" t="n">
        <f aca="false">L24-L26-L27</f>
        <v>8.45218377812807</v>
      </c>
    </row>
    <row r="29" customFormat="false" ht="15" hidden="false" customHeight="false" outlineLevel="0" collapsed="false">
      <c r="A29" s="0" t="s">
        <v>109</v>
      </c>
      <c r="B29" s="30" t="n">
        <f aca="false">1/(1+$B$10)^B$16</f>
        <v>0.962250448649376</v>
      </c>
      <c r="C29" s="30" t="n">
        <f aca="false">1/(1+$B$10)^C$16</f>
        <v>0.890972637638311</v>
      </c>
      <c r="D29" s="30" t="n">
        <f aca="false">1/(1+$B$10)^D$16</f>
        <v>0.824974664479918</v>
      </c>
      <c r="E29" s="30" t="n">
        <f aca="false">1/(1+$B$10)^E$16</f>
        <v>0.763865430073998</v>
      </c>
      <c r="F29" s="30" t="n">
        <f aca="false">1/(1+$B$10)^F$16</f>
        <v>0.707282805624072</v>
      </c>
      <c r="G29" s="30" t="n">
        <f aca="false">1/(1+$B$10)^G$16</f>
        <v>0.654891486688956</v>
      </c>
      <c r="H29" s="30" t="n">
        <f aca="false">1/(1+$B$10)^H$16</f>
        <v>0.606381006193477</v>
      </c>
      <c r="I29" s="30" t="n">
        <f aca="false">1/(1+$B$10)^I$16</f>
        <v>0.56146389462359</v>
      </c>
      <c r="J29" s="30" t="n">
        <f aca="false">1/(1+$B$10)^J$16</f>
        <v>0.519873976503324</v>
      </c>
      <c r="K29" s="30" t="n">
        <f aca="false">1/(1+$B$10)^K$16</f>
        <v>0.481364793058633</v>
      </c>
    </row>
    <row r="30" customFormat="false" ht="15" hidden="false" customHeight="false" outlineLevel="0" collapsed="false">
      <c r="A30" s="0" t="s">
        <v>110</v>
      </c>
      <c r="B30" s="27" t="n">
        <f aca="false">B28*B29</f>
        <v>6.47763426894768</v>
      </c>
      <c r="C30" s="27" t="n">
        <f aca="false">C28*C29</f>
        <v>6.13521976332466</v>
      </c>
      <c r="D30" s="27" t="n">
        <f aca="false">D28*D29</f>
        <v>5.822015327041</v>
      </c>
      <c r="E30" s="27" t="n">
        <f aca="false">E28*E29</f>
        <v>5.52698842223549</v>
      </c>
      <c r="F30" s="27" t="n">
        <f aca="false">F28*F29</f>
        <v>5.25079682067255</v>
      </c>
      <c r="G30" s="27" t="n">
        <f aca="false">G28*G29</f>
        <v>4.96644982022965</v>
      </c>
      <c r="H30" s="27" t="n">
        <f aca="false">H28*H29</f>
        <v>4.69684196686823</v>
      </c>
      <c r="I30" s="27" t="n">
        <f aca="false">I28*I29</f>
        <v>4.4412461358377</v>
      </c>
      <c r="J30" s="27" t="n">
        <f aca="false">J28*J29</f>
        <v>4.19896907816643</v>
      </c>
      <c r="K30" s="27" t="n">
        <f aca="false">K28*K29</f>
        <v>3.96934994658747</v>
      </c>
      <c r="L30" s="27"/>
    </row>
    <row r="31" customFormat="false" ht="15" hidden="false" customHeight="false" outlineLevel="0" collapsed="false">
      <c r="A31" s="0" t="s">
        <v>111</v>
      </c>
      <c r="B31" s="27" t="n">
        <f aca="false">L28/($B$10-L21)</f>
        <v>153.676068693238</v>
      </c>
      <c r="C31" s="0" t="str">
        <f aca="false">IF($B$10&gt;L21,"","Discount rate must exceed terminal growth")</f>
        <v/>
      </c>
    </row>
    <row r="32" customFormat="false" ht="15" hidden="false" customHeight="false" outlineLevel="0" collapsed="false">
      <c r="A32" s="0" t="s">
        <v>112</v>
      </c>
      <c r="B32" s="27" t="n">
        <f aca="false">B31/(1+$B$10)^$K$16</f>
        <v>73.9742490045847</v>
      </c>
    </row>
    <row r="33" customFormat="false" ht="15" hidden="false" customHeight="false" outlineLevel="0" collapsed="false">
      <c r="A33" s="0" t="s">
        <v>113</v>
      </c>
      <c r="B33" s="27" t="n">
        <f aca="false">SUM(B30:K30)+B32+$B$7+$B$8</f>
        <v>106.289760554496</v>
      </c>
    </row>
    <row r="34" customFormat="false" ht="15" hidden="false" customHeight="false" outlineLevel="0" collapsed="false">
      <c r="A34" s="0" t="s">
        <v>114</v>
      </c>
      <c r="B34" s="31" t="n">
        <f aca="false">B33/$B$6</f>
        <v>86.8309456371992</v>
      </c>
    </row>
    <row r="35" customFormat="false" ht="15" hidden="false" customHeight="false" outlineLevel="0" collapsed="false">
      <c r="A35" s="0" t="s">
        <v>115</v>
      </c>
      <c r="B35" s="6" t="n">
        <f aca="false">B34/$B$4-1</f>
        <v>-0.0899177692359374</v>
      </c>
    </row>
    <row r="37" customFormat="false" ht="15" hidden="false" customHeight="false" outlineLevel="0" collapsed="false">
      <c r="A37" s="10" t="s">
        <v>143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</row>
    <row r="38" customFormat="false" ht="15" hidden="false" customHeight="false" outlineLevel="0" collapsed="false">
      <c r="A38" s="0" t="s">
        <v>100</v>
      </c>
      <c r="B38" s="21" t="n">
        <v>40.4</v>
      </c>
      <c r="C38" s="21" t="n">
        <v>42.2</v>
      </c>
      <c r="D38" s="21" t="n">
        <v>44.1</v>
      </c>
      <c r="E38" s="21" t="n">
        <v>46.1</v>
      </c>
      <c r="F38" s="21" t="n">
        <v>48.2</v>
      </c>
      <c r="G38" s="27" t="n">
        <f aca="false">F38*(1+$F39+($L39-$F39)*G$17/5)</f>
        <v>50.2457292841649</v>
      </c>
      <c r="H38" s="27" t="n">
        <f aca="false">G38*(1+$F39+($L39-$F39)*H$17/5)</f>
        <v>52.2219886407386</v>
      </c>
      <c r="I38" s="27" t="n">
        <f aca="false">H38*(1+$F39+($L39-$F39)*I$17/5)</f>
        <v>54.1135347715912</v>
      </c>
      <c r="J38" s="27" t="n">
        <f aca="false">I38*(1+$F39+($L39-$F39)*J$17/5)</f>
        <v>55.9052679489308</v>
      </c>
      <c r="K38" s="27" t="n">
        <f aca="false">J38*(1+$F39+($L39-$F39)*K$17/5)</f>
        <v>57.5824259873987</v>
      </c>
      <c r="L38" s="27" t="n">
        <f aca="false">K38*(1+L39)</f>
        <v>59.3098987670207</v>
      </c>
    </row>
    <row r="39" customFormat="false" ht="15" hidden="false" customHeight="false" outlineLevel="0" collapsed="false">
      <c r="A39" s="0" t="s">
        <v>101</v>
      </c>
      <c r="B39" s="6" t="n">
        <f aca="false">B38/$B$12-1</f>
        <v>0.0366948935078266</v>
      </c>
      <c r="C39" s="6" t="n">
        <f aca="false">C38/B38-1</f>
        <v>0.0445544554455446</v>
      </c>
      <c r="D39" s="6" t="n">
        <f aca="false">D38/C38-1</f>
        <v>0.0450236966824644</v>
      </c>
      <c r="E39" s="6" t="n">
        <f aca="false">E38/D38-1</f>
        <v>0.0453514739229024</v>
      </c>
      <c r="F39" s="6" t="n">
        <f aca="false">F38/E38-1</f>
        <v>0.0455531453362257</v>
      </c>
      <c r="G39" s="6" t="n">
        <f aca="false">G38/F38-1</f>
        <v>0.0424425162689805</v>
      </c>
      <c r="H39" s="6" t="n">
        <f aca="false">H38/G38-1</f>
        <v>0.0393318872017354</v>
      </c>
      <c r="I39" s="6" t="n">
        <f aca="false">I38/H38-1</f>
        <v>0.0362212581344903</v>
      </c>
      <c r="J39" s="6" t="n">
        <f aca="false">J38/I38-1</f>
        <v>0.0331106290672452</v>
      </c>
      <c r="K39" s="6" t="n">
        <f aca="false">K38/J38-1</f>
        <v>0.03</v>
      </c>
      <c r="L39" s="28" t="n">
        <v>0.03</v>
      </c>
    </row>
    <row r="40" customFormat="false" ht="15" hidden="false" customHeight="false" outlineLevel="0" collapsed="false">
      <c r="A40" s="0" t="s">
        <v>102</v>
      </c>
      <c r="B40" s="29" t="n">
        <v>0.245</v>
      </c>
      <c r="C40" s="29" t="n">
        <v>0.248</v>
      </c>
      <c r="D40" s="29" t="n">
        <v>0.25</v>
      </c>
      <c r="E40" s="29" t="n">
        <v>0.252</v>
      </c>
      <c r="F40" s="29" t="n">
        <v>0.255</v>
      </c>
      <c r="G40" s="6" t="n">
        <f aca="false">$F40+($L40-$F40)*G$17/5</f>
        <v>0.253</v>
      </c>
      <c r="H40" s="6" t="n">
        <f aca="false">$F40+($L40-$F40)*H$17/5</f>
        <v>0.251</v>
      </c>
      <c r="I40" s="6" t="n">
        <f aca="false">$F40+($L40-$F40)*I$17/5</f>
        <v>0.249</v>
      </c>
      <c r="J40" s="6" t="n">
        <f aca="false">$F40+($L40-$F40)*J$17/5</f>
        <v>0.247</v>
      </c>
      <c r="K40" s="6" t="n">
        <f aca="false">$F40+($L40-$F40)*K$17/5</f>
        <v>0.245</v>
      </c>
      <c r="L40" s="28" t="n">
        <v>0.245</v>
      </c>
    </row>
    <row r="41" customFormat="false" ht="15" hidden="false" customHeight="false" outlineLevel="0" collapsed="false">
      <c r="A41" s="0" t="s">
        <v>103</v>
      </c>
      <c r="B41" s="27" t="n">
        <f aca="false">B38*B40</f>
        <v>9.898</v>
      </c>
      <c r="C41" s="27" t="n">
        <f aca="false">C38*C40</f>
        <v>10.4656</v>
      </c>
      <c r="D41" s="27" t="n">
        <f aca="false">D38*D40</f>
        <v>11.025</v>
      </c>
      <c r="E41" s="27" t="n">
        <f aca="false">E38*E40</f>
        <v>11.6172</v>
      </c>
      <c r="F41" s="27" t="n">
        <f aca="false">F38*F40</f>
        <v>12.291</v>
      </c>
      <c r="G41" s="27" t="n">
        <f aca="false">G38*G40</f>
        <v>12.7121695088937</v>
      </c>
      <c r="H41" s="27" t="n">
        <f aca="false">H38*H40</f>
        <v>13.1077191488254</v>
      </c>
      <c r="I41" s="27" t="n">
        <f aca="false">I38*I40</f>
        <v>13.4742701581262</v>
      </c>
      <c r="J41" s="27" t="n">
        <f aca="false">J38*J40</f>
        <v>13.8086011833859</v>
      </c>
      <c r="K41" s="27" t="n">
        <f aca="false">K38*K40</f>
        <v>14.1076943669127</v>
      </c>
      <c r="L41" s="27" t="n">
        <f aca="false">L38*L40</f>
        <v>14.5309251979201</v>
      </c>
    </row>
    <row r="42" customFormat="false" ht="15" hidden="false" customHeight="false" outlineLevel="0" collapsed="false">
      <c r="A42" s="0" t="s">
        <v>104</v>
      </c>
      <c r="B42" s="27" t="n">
        <f aca="false">B41*(1-$B$9)</f>
        <v>8.26483</v>
      </c>
      <c r="C42" s="27" t="n">
        <f aca="false">C41*(1-$B$9)</f>
        <v>8.738776</v>
      </c>
      <c r="D42" s="27" t="n">
        <f aca="false">D41*(1-$B$9)</f>
        <v>9.205875</v>
      </c>
      <c r="E42" s="27" t="n">
        <f aca="false">E41*(1-$B$9)</f>
        <v>9.700362</v>
      </c>
      <c r="F42" s="27" t="n">
        <f aca="false">F41*(1-$B$9)</f>
        <v>10.262985</v>
      </c>
      <c r="G42" s="27" t="n">
        <f aca="false">G41*(1-$B$9)</f>
        <v>10.6146615399262</v>
      </c>
      <c r="H42" s="27" t="n">
        <f aca="false">H41*(1-$B$9)</f>
        <v>10.9449454892692</v>
      </c>
      <c r="I42" s="27" t="n">
        <f aca="false">I41*(1-$B$9)</f>
        <v>11.2510155820354</v>
      </c>
      <c r="J42" s="27" t="n">
        <f aca="false">J41*(1-$B$9)</f>
        <v>11.5301819881272</v>
      </c>
      <c r="K42" s="27" t="n">
        <f aca="false">K41*(1-$B$9)</f>
        <v>11.7799247963721</v>
      </c>
      <c r="L42" s="27" t="n">
        <f aca="false">L41*(1-$B$9)</f>
        <v>12.1333225402633</v>
      </c>
    </row>
    <row r="43" customFormat="false" ht="15" hidden="false" customHeight="false" outlineLevel="0" collapsed="false">
      <c r="A43" s="0" t="s">
        <v>105</v>
      </c>
      <c r="B43" s="29" t="n">
        <v>0.025</v>
      </c>
      <c r="C43" s="29" t="n">
        <v>0.025</v>
      </c>
      <c r="D43" s="29" t="n">
        <v>0.025</v>
      </c>
      <c r="E43" s="29" t="n">
        <v>0.025</v>
      </c>
      <c r="F43" s="29" t="n">
        <v>0.025</v>
      </c>
      <c r="G43" s="6" t="n">
        <f aca="false">$F43+($L43-$F43)*G$17/5</f>
        <v>0.024</v>
      </c>
      <c r="H43" s="6" t="n">
        <f aca="false">$F43+($L43-$F43)*H$17/5</f>
        <v>0.023</v>
      </c>
      <c r="I43" s="6" t="n">
        <f aca="false">$F43+($L43-$F43)*I$17/5</f>
        <v>0.022</v>
      </c>
      <c r="J43" s="6" t="n">
        <f aca="false">$F43+($L43-$F43)*J$17/5</f>
        <v>0.021</v>
      </c>
      <c r="K43" s="6" t="n">
        <f aca="false">$F43+($L43-$F43)*K$17/5</f>
        <v>0.02</v>
      </c>
      <c r="L43" s="28" t="n">
        <v>0.02</v>
      </c>
    </row>
    <row r="44" customFormat="false" ht="15" hidden="false" customHeight="false" outlineLevel="0" collapsed="false">
      <c r="A44" s="0" t="s">
        <v>106</v>
      </c>
      <c r="B44" s="27" t="n">
        <f aca="false">B38*B43</f>
        <v>1.01</v>
      </c>
      <c r="C44" s="27" t="n">
        <f aca="false">C38*C43</f>
        <v>1.055</v>
      </c>
      <c r="D44" s="27" t="n">
        <f aca="false">D38*D43</f>
        <v>1.1025</v>
      </c>
      <c r="E44" s="27" t="n">
        <f aca="false">E38*E43</f>
        <v>1.1525</v>
      </c>
      <c r="F44" s="27" t="n">
        <f aca="false">F38*F43</f>
        <v>1.205</v>
      </c>
      <c r="G44" s="27" t="n">
        <f aca="false">G38*G43</f>
        <v>1.20589750281996</v>
      </c>
      <c r="H44" s="27" t="n">
        <f aca="false">H38*H43</f>
        <v>1.20110573873699</v>
      </c>
      <c r="I44" s="27" t="n">
        <f aca="false">I38*I43</f>
        <v>1.19049776497501</v>
      </c>
      <c r="J44" s="27" t="n">
        <f aca="false">J38*J43</f>
        <v>1.17401062692755</v>
      </c>
      <c r="K44" s="27" t="n">
        <f aca="false">K38*K43</f>
        <v>1.15164851974797</v>
      </c>
      <c r="L44" s="27" t="n">
        <f aca="false">L38*L43</f>
        <v>1.18619797534041</v>
      </c>
    </row>
    <row r="45" customFormat="false" ht="15" hidden="false" customHeight="false" outlineLevel="0" collapsed="false">
      <c r="A45" s="0" t="s">
        <v>107</v>
      </c>
      <c r="B45" s="27" t="n">
        <f aca="false">$B$11*(B38-$B$12)</f>
        <v>0.143</v>
      </c>
      <c r="C45" s="27" t="n">
        <f aca="false">$B$11*(C38-B38)</f>
        <v>0.18</v>
      </c>
      <c r="D45" s="27" t="n">
        <f aca="false">$B$11*(D38-C38)</f>
        <v>0.19</v>
      </c>
      <c r="E45" s="27" t="n">
        <f aca="false">$B$11*(E38-D38)</f>
        <v>0.2</v>
      </c>
      <c r="F45" s="27" t="n">
        <f aca="false">$B$11*(F38-E38)</f>
        <v>0.21</v>
      </c>
      <c r="G45" s="27" t="n">
        <f aca="false">$B$11*(G38-F38)</f>
        <v>0.204572928416486</v>
      </c>
      <c r="H45" s="27" t="n">
        <f aca="false">$B$11*(H38-G38)</f>
        <v>0.197625935657371</v>
      </c>
      <c r="I45" s="27" t="n">
        <f aca="false">$B$11*(I38-H38)</f>
        <v>0.189154613085261</v>
      </c>
      <c r="J45" s="27" t="n">
        <f aca="false">$B$11*(J38-I38)</f>
        <v>0.179173317733963</v>
      </c>
      <c r="K45" s="27" t="n">
        <f aca="false">$B$11*(K38-J38)</f>
        <v>0.167715803846792</v>
      </c>
      <c r="L45" s="27" t="n">
        <f aca="false">$B$11*(L38-K38)</f>
        <v>0.172747277962196</v>
      </c>
    </row>
    <row r="46" customFormat="false" ht="15" hidden="false" customHeight="false" outlineLevel="0" collapsed="false">
      <c r="A46" s="0" t="s">
        <v>108</v>
      </c>
      <c r="B46" s="27" t="n">
        <f aca="false">B42-B44-B45</f>
        <v>7.11183</v>
      </c>
      <c r="C46" s="27" t="n">
        <f aca="false">C42-C44-C45</f>
        <v>7.503776</v>
      </c>
      <c r="D46" s="27" t="n">
        <f aca="false">D42-D44-D45</f>
        <v>7.913375</v>
      </c>
      <c r="E46" s="27" t="n">
        <f aca="false">E42-E44-E45</f>
        <v>8.347862</v>
      </c>
      <c r="F46" s="27" t="n">
        <f aca="false">F42-F44-F45</f>
        <v>8.847985</v>
      </c>
      <c r="G46" s="27" t="n">
        <f aca="false">G42-G44-G45</f>
        <v>9.20419110868981</v>
      </c>
      <c r="H46" s="27" t="n">
        <f aca="false">H42-H44-H45</f>
        <v>9.54621381487484</v>
      </c>
      <c r="I46" s="27" t="n">
        <f aca="false">I42-I44-I45</f>
        <v>9.87136320397511</v>
      </c>
      <c r="J46" s="27" t="n">
        <f aca="false">J42-J44-J45</f>
        <v>10.1769980434657</v>
      </c>
      <c r="K46" s="27" t="n">
        <f aca="false">K42-K44-K45</f>
        <v>10.4605604727773</v>
      </c>
      <c r="L46" s="27" t="n">
        <f aca="false">L42-L44-L45</f>
        <v>10.7743772869606</v>
      </c>
    </row>
    <row r="47" customFormat="false" ht="15" hidden="false" customHeight="false" outlineLevel="0" collapsed="false">
      <c r="A47" s="0" t="s">
        <v>109</v>
      </c>
      <c r="B47" s="30" t="n">
        <f aca="false">1/(1+$B$10)^B$16</f>
        <v>0.962250448649376</v>
      </c>
      <c r="C47" s="30" t="n">
        <f aca="false">1/(1+$B$10)^C$16</f>
        <v>0.890972637638311</v>
      </c>
      <c r="D47" s="30" t="n">
        <f aca="false">1/(1+$B$10)^D$16</f>
        <v>0.824974664479918</v>
      </c>
      <c r="E47" s="30" t="n">
        <f aca="false">1/(1+$B$10)^E$16</f>
        <v>0.763865430073998</v>
      </c>
      <c r="F47" s="30" t="n">
        <f aca="false">1/(1+$B$10)^F$16</f>
        <v>0.707282805624072</v>
      </c>
      <c r="G47" s="30" t="n">
        <f aca="false">1/(1+$B$10)^G$16</f>
        <v>0.654891486688956</v>
      </c>
      <c r="H47" s="30" t="n">
        <f aca="false">1/(1+$B$10)^H$16</f>
        <v>0.606381006193477</v>
      </c>
      <c r="I47" s="30" t="n">
        <f aca="false">1/(1+$B$10)^I$16</f>
        <v>0.56146389462359</v>
      </c>
      <c r="J47" s="30" t="n">
        <f aca="false">1/(1+$B$10)^J$16</f>
        <v>0.519873976503324</v>
      </c>
      <c r="K47" s="30" t="n">
        <f aca="false">1/(1+$B$10)^K$16</f>
        <v>0.481364793058633</v>
      </c>
    </row>
    <row r="48" customFormat="false" ht="15" hidden="false" customHeight="false" outlineLevel="0" collapsed="false">
      <c r="A48" s="0" t="s">
        <v>110</v>
      </c>
      <c r="B48" s="27" t="n">
        <f aca="false">B46*B47</f>
        <v>6.84336160821809</v>
      </c>
      <c r="C48" s="27" t="n">
        <f aca="false">C46*C47</f>
        <v>6.68565909496706</v>
      </c>
      <c r="D48" s="27" t="n">
        <f aca="false">D46*D47</f>
        <v>6.52833388552877</v>
      </c>
      <c r="E48" s="27" t="n">
        <f aca="false">E46*E47</f>
        <v>6.37664319682839</v>
      </c>
      <c r="F48" s="27" t="n">
        <f aca="false">F46*F47</f>
        <v>6.25802765491971</v>
      </c>
      <c r="G48" s="27" t="n">
        <f aca="false">G46*G47</f>
        <v>6.02774639893913</v>
      </c>
      <c r="H48" s="27" t="n">
        <f aca="false">H46*H47</f>
        <v>5.78864273840188</v>
      </c>
      <c r="I48" s="27" t="n">
        <f aca="false">I46*I47</f>
        <v>5.54241402974787</v>
      </c>
      <c r="J48" s="27" t="n">
        <f aca="false">J46*J47</f>
        <v>5.29075644172308</v>
      </c>
      <c r="K48" s="27" t="n">
        <f aca="false">K46*K47</f>
        <v>5.03534552725578</v>
      </c>
      <c r="L48" s="27"/>
    </row>
    <row r="49" customFormat="false" ht="15" hidden="false" customHeight="false" outlineLevel="0" collapsed="false">
      <c r="A49" s="0" t="s">
        <v>111</v>
      </c>
      <c r="B49" s="27" t="n">
        <f aca="false">L46/($B$10-L39)</f>
        <v>215.487545739213</v>
      </c>
      <c r="C49" s="0" t="str">
        <f aca="false">IF($B$10&gt;L39,"","Discount rate must exceed terminal growth")</f>
        <v/>
      </c>
    </row>
    <row r="50" customFormat="false" ht="15" hidden="false" customHeight="false" outlineLevel="0" collapsed="false">
      <c r="A50" s="0" t="s">
        <v>112</v>
      </c>
      <c r="B50" s="27" t="n">
        <f aca="false">B49/(1+$B$10)^$K$16</f>
        <v>103.728117861469</v>
      </c>
    </row>
    <row r="51" customFormat="false" ht="15" hidden="false" customHeight="false" outlineLevel="0" collapsed="false">
      <c r="A51" s="0" t="s">
        <v>113</v>
      </c>
      <c r="B51" s="27" t="n">
        <f aca="false">SUM(B48:K48)+B50+$B$7+$B$8</f>
        <v>144.935048437999</v>
      </c>
    </row>
    <row r="52" customFormat="false" ht="15" hidden="false" customHeight="false" outlineLevel="0" collapsed="false">
      <c r="A52" s="0" t="s">
        <v>114</v>
      </c>
      <c r="B52" s="31" t="n">
        <f aca="false">B51/$B$6</f>
        <v>118.401313975981</v>
      </c>
    </row>
    <row r="53" customFormat="false" ht="15" hidden="false" customHeight="false" outlineLevel="0" collapsed="false">
      <c r="A53" s="0" t="s">
        <v>115</v>
      </c>
      <c r="B53" s="6" t="n">
        <f aca="false">B52/$B$4-1</f>
        <v>0.240973838968466</v>
      </c>
    </row>
    <row r="55" customFormat="false" ht="15" hidden="false" customHeight="false" outlineLevel="0" collapsed="false">
      <c r="A55" s="10" t="s">
        <v>144</v>
      </c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</row>
    <row r="56" customFormat="false" ht="15" hidden="false" customHeight="false" outlineLevel="0" collapsed="false">
      <c r="A56" s="0" t="s">
        <v>100</v>
      </c>
      <c r="B56" s="21" t="n">
        <v>40.8</v>
      </c>
      <c r="C56" s="21" t="n">
        <v>43.2</v>
      </c>
      <c r="D56" s="21" t="n">
        <v>45.8</v>
      </c>
      <c r="E56" s="21" t="n">
        <v>48.6</v>
      </c>
      <c r="F56" s="21" t="n">
        <v>51.5</v>
      </c>
      <c r="G56" s="27" t="n">
        <f aca="false">F56*(1+$F57+($L57-$F57)*G$17/5)</f>
        <v>54.3189362139918</v>
      </c>
      <c r="H56" s="27" t="n">
        <f aca="false">G56*(1+$F57+($L57-$F57)*H$17/5)</f>
        <v>57.0241533582787</v>
      </c>
      <c r="I56" s="27" t="n">
        <f aca="false">H56*(1+$F57+($L57-$F57)*I$17/5)</f>
        <v>59.5827309058726</v>
      </c>
      <c r="J56" s="27" t="n">
        <f aca="false">I56*(1+$F57+($L57-$F57)*J$17/5)</f>
        <v>61.9621169993318</v>
      </c>
      <c r="K56" s="27" t="n">
        <f aca="false">J56*(1+$F57+($L57-$F57)*K$17/5)</f>
        <v>64.1307910943084</v>
      </c>
      <c r="L56" s="27" t="n">
        <f aca="false">K56*(1+L57)</f>
        <v>66.3753687826092</v>
      </c>
    </row>
    <row r="57" customFormat="false" ht="15" hidden="false" customHeight="false" outlineLevel="0" collapsed="false">
      <c r="A57" s="0" t="s">
        <v>101</v>
      </c>
      <c r="B57" s="6" t="n">
        <f aca="false">B56/$B$12-1</f>
        <v>0.0469591993841416</v>
      </c>
      <c r="C57" s="6" t="n">
        <f aca="false">C56/B56-1</f>
        <v>0.0588235294117649</v>
      </c>
      <c r="D57" s="6" t="n">
        <f aca="false">D56/C56-1</f>
        <v>0.0601851851851851</v>
      </c>
      <c r="E57" s="6" t="n">
        <f aca="false">E56/D56-1</f>
        <v>0.0611353711790394</v>
      </c>
      <c r="F57" s="6" t="n">
        <f aca="false">F56/E56-1</f>
        <v>0.059670781893004</v>
      </c>
      <c r="G57" s="6" t="n">
        <f aca="false">G56/F56-1</f>
        <v>0.0547366255144033</v>
      </c>
      <c r="H57" s="6" t="n">
        <f aca="false">H56/G56-1</f>
        <v>0.0498024691358023</v>
      </c>
      <c r="I57" s="6" t="n">
        <f aca="false">I56/H56-1</f>
        <v>0.0448683127572016</v>
      </c>
      <c r="J57" s="6" t="n">
        <f aca="false">J56/I56-1</f>
        <v>0.0399341563786009</v>
      </c>
      <c r="K57" s="6" t="n">
        <f aca="false">K56/J56-1</f>
        <v>0.0349999999999999</v>
      </c>
      <c r="L57" s="28" t="n">
        <v>0.035</v>
      </c>
    </row>
    <row r="58" customFormat="false" ht="15" hidden="false" customHeight="false" outlineLevel="0" collapsed="false">
      <c r="A58" s="0" t="s">
        <v>102</v>
      </c>
      <c r="B58" s="29" t="n">
        <v>0.25</v>
      </c>
      <c r="C58" s="29" t="n">
        <v>0.26</v>
      </c>
      <c r="D58" s="29" t="n">
        <v>0.265</v>
      </c>
      <c r="E58" s="29" t="n">
        <v>0.27</v>
      </c>
      <c r="F58" s="29" t="n">
        <v>0.275</v>
      </c>
      <c r="G58" s="6" t="n">
        <f aca="false">$F58+($L58-$F58)*G$17/5</f>
        <v>0.273</v>
      </c>
      <c r="H58" s="6" t="n">
        <f aca="false">$F58+($L58-$F58)*H$17/5</f>
        <v>0.271</v>
      </c>
      <c r="I58" s="6" t="n">
        <f aca="false">$F58+($L58-$F58)*I$17/5</f>
        <v>0.269</v>
      </c>
      <c r="J58" s="6" t="n">
        <f aca="false">$F58+($L58-$F58)*J$17/5</f>
        <v>0.267</v>
      </c>
      <c r="K58" s="6" t="n">
        <f aca="false">$F58+($L58-$F58)*K$17/5</f>
        <v>0.265</v>
      </c>
      <c r="L58" s="28" t="n">
        <v>0.265</v>
      </c>
    </row>
    <row r="59" customFormat="false" ht="15" hidden="false" customHeight="false" outlineLevel="0" collapsed="false">
      <c r="A59" s="0" t="s">
        <v>103</v>
      </c>
      <c r="B59" s="27" t="n">
        <f aca="false">B56*B58</f>
        <v>10.2</v>
      </c>
      <c r="C59" s="27" t="n">
        <f aca="false">C56*C58</f>
        <v>11.232</v>
      </c>
      <c r="D59" s="27" t="n">
        <f aca="false">D56*D58</f>
        <v>12.137</v>
      </c>
      <c r="E59" s="27" t="n">
        <f aca="false">E56*E58</f>
        <v>13.122</v>
      </c>
      <c r="F59" s="27" t="n">
        <f aca="false">F56*F58</f>
        <v>14.1625</v>
      </c>
      <c r="G59" s="27" t="n">
        <f aca="false">G56*G58</f>
        <v>14.8290695864198</v>
      </c>
      <c r="H59" s="27" t="n">
        <f aca="false">H56*H58</f>
        <v>15.4535455600935</v>
      </c>
      <c r="I59" s="27" t="n">
        <f aca="false">I56*I58</f>
        <v>16.0277546136797</v>
      </c>
      <c r="J59" s="27" t="n">
        <f aca="false">J56*J58</f>
        <v>16.5438852388216</v>
      </c>
      <c r="K59" s="27" t="n">
        <f aca="false">K56*K58</f>
        <v>16.9946596399917</v>
      </c>
      <c r="L59" s="27" t="n">
        <f aca="false">L56*L58</f>
        <v>17.5894727273914</v>
      </c>
    </row>
    <row r="60" customFormat="false" ht="15" hidden="false" customHeight="false" outlineLevel="0" collapsed="false">
      <c r="A60" s="0" t="s">
        <v>104</v>
      </c>
      <c r="B60" s="27" t="n">
        <f aca="false">B59*(1-$B$9)</f>
        <v>8.517</v>
      </c>
      <c r="C60" s="27" t="n">
        <f aca="false">C59*(1-$B$9)</f>
        <v>9.37872</v>
      </c>
      <c r="D60" s="27" t="n">
        <f aca="false">D59*(1-$B$9)</f>
        <v>10.134395</v>
      </c>
      <c r="E60" s="27" t="n">
        <f aca="false">E59*(1-$B$9)</f>
        <v>10.95687</v>
      </c>
      <c r="F60" s="27" t="n">
        <f aca="false">F59*(1-$B$9)</f>
        <v>11.8256875</v>
      </c>
      <c r="G60" s="27" t="n">
        <f aca="false">G59*(1-$B$9)</f>
        <v>12.3822731046605</v>
      </c>
      <c r="H60" s="27" t="n">
        <f aca="false">H59*(1-$B$9)</f>
        <v>12.9037105426781</v>
      </c>
      <c r="I60" s="27" t="n">
        <f aca="false">I59*(1-$B$9)</f>
        <v>13.3831751024226</v>
      </c>
      <c r="J60" s="27" t="n">
        <f aca="false">J59*(1-$B$9)</f>
        <v>13.814144174416</v>
      </c>
      <c r="K60" s="27" t="n">
        <f aca="false">K59*(1-$B$9)</f>
        <v>14.1905407993931</v>
      </c>
      <c r="L60" s="27" t="n">
        <f aca="false">L59*(1-$B$9)</f>
        <v>14.6872097273719</v>
      </c>
    </row>
    <row r="61" customFormat="false" ht="15" hidden="false" customHeight="false" outlineLevel="0" collapsed="false">
      <c r="A61" s="0" t="s">
        <v>105</v>
      </c>
      <c r="B61" s="29" t="n">
        <v>0.025</v>
      </c>
      <c r="C61" s="29" t="n">
        <v>0.025</v>
      </c>
      <c r="D61" s="29" t="n">
        <v>0.025</v>
      </c>
      <c r="E61" s="29" t="n">
        <v>0.025</v>
      </c>
      <c r="F61" s="29" t="n">
        <v>0.025</v>
      </c>
      <c r="G61" s="6" t="n">
        <f aca="false">$F61+($L61-$F61)*G$17/5</f>
        <v>0.024</v>
      </c>
      <c r="H61" s="6" t="n">
        <f aca="false">$F61+($L61-$F61)*H$17/5</f>
        <v>0.023</v>
      </c>
      <c r="I61" s="6" t="n">
        <f aca="false">$F61+($L61-$F61)*I$17/5</f>
        <v>0.022</v>
      </c>
      <c r="J61" s="6" t="n">
        <f aca="false">$F61+($L61-$F61)*J$17/5</f>
        <v>0.021</v>
      </c>
      <c r="K61" s="6" t="n">
        <f aca="false">$F61+($L61-$F61)*K$17/5</f>
        <v>0.02</v>
      </c>
      <c r="L61" s="28" t="n">
        <v>0.02</v>
      </c>
    </row>
    <row r="62" customFormat="false" ht="15" hidden="false" customHeight="false" outlineLevel="0" collapsed="false">
      <c r="A62" s="0" t="s">
        <v>106</v>
      </c>
      <c r="B62" s="27" t="n">
        <f aca="false">B56*B61</f>
        <v>1.02</v>
      </c>
      <c r="C62" s="27" t="n">
        <f aca="false">C56*C61</f>
        <v>1.08</v>
      </c>
      <c r="D62" s="27" t="n">
        <f aca="false">D56*D61</f>
        <v>1.145</v>
      </c>
      <c r="E62" s="27" t="n">
        <f aca="false">E56*E61</f>
        <v>1.215</v>
      </c>
      <c r="F62" s="27" t="n">
        <f aca="false">F56*F61</f>
        <v>1.2875</v>
      </c>
      <c r="G62" s="27" t="n">
        <f aca="false">G56*G61</f>
        <v>1.3036544691358</v>
      </c>
      <c r="H62" s="27" t="n">
        <f aca="false">H56*H61</f>
        <v>1.31155552724041</v>
      </c>
      <c r="I62" s="27" t="n">
        <f aca="false">I56*I61</f>
        <v>1.3108200799292</v>
      </c>
      <c r="J62" s="27" t="n">
        <f aca="false">J56*J61</f>
        <v>1.30120445698597</v>
      </c>
      <c r="K62" s="27" t="n">
        <f aca="false">K56*K61</f>
        <v>1.28261582188617</v>
      </c>
      <c r="L62" s="27" t="n">
        <f aca="false">L56*L61</f>
        <v>1.32750737565218</v>
      </c>
    </row>
    <row r="63" customFormat="false" ht="15" hidden="false" customHeight="false" outlineLevel="0" collapsed="false">
      <c r="A63" s="0" t="s">
        <v>107</v>
      </c>
      <c r="B63" s="27" t="n">
        <f aca="false">$B$11*(B56-$B$12)</f>
        <v>0.183</v>
      </c>
      <c r="C63" s="27" t="n">
        <f aca="false">$B$11*(C56-B56)</f>
        <v>0.240000000000001</v>
      </c>
      <c r="D63" s="27" t="n">
        <f aca="false">$B$11*(D56-C56)</f>
        <v>0.259999999999999</v>
      </c>
      <c r="E63" s="27" t="n">
        <f aca="false">$B$11*(E56-D56)</f>
        <v>0.28</v>
      </c>
      <c r="F63" s="27" t="n">
        <f aca="false">$B$11*(F56-E56)</f>
        <v>0.29</v>
      </c>
      <c r="G63" s="27" t="n">
        <f aca="false">$B$11*(G56-F56)</f>
        <v>0.281893621399177</v>
      </c>
      <c r="H63" s="27" t="n">
        <f aca="false">$B$11*(H56-G56)</f>
        <v>0.270521714428694</v>
      </c>
      <c r="I63" s="27" t="n">
        <f aca="false">$B$11*(I56-H56)</f>
        <v>0.255857754759388</v>
      </c>
      <c r="J63" s="27" t="n">
        <f aca="false">$B$11*(J56-I56)</f>
        <v>0.237938609345921</v>
      </c>
      <c r="K63" s="27" t="n">
        <f aca="false">$B$11*(K56-J56)</f>
        <v>0.216867409497661</v>
      </c>
      <c r="L63" s="27" t="n">
        <f aca="false">$B$11*(L56-K56)</f>
        <v>0.224457768830079</v>
      </c>
    </row>
    <row r="64" customFormat="false" ht="15" hidden="false" customHeight="false" outlineLevel="0" collapsed="false">
      <c r="A64" s="0" t="s">
        <v>108</v>
      </c>
      <c r="B64" s="27" t="n">
        <f aca="false">B60-B62-B63</f>
        <v>7.314</v>
      </c>
      <c r="C64" s="27" t="n">
        <f aca="false">C60-C62-C63</f>
        <v>8.05872</v>
      </c>
      <c r="D64" s="27" t="n">
        <f aca="false">D60-D62-D63</f>
        <v>8.729395</v>
      </c>
      <c r="E64" s="27" t="n">
        <f aca="false">E60-E62-E63</f>
        <v>9.46187</v>
      </c>
      <c r="F64" s="27" t="n">
        <f aca="false">F60-F62-F63</f>
        <v>10.2481875</v>
      </c>
      <c r="G64" s="27" t="n">
        <f aca="false">G60-G62-G63</f>
        <v>10.7967250141255</v>
      </c>
      <c r="H64" s="27" t="n">
        <f aca="false">H60-H62-H63</f>
        <v>11.321633301009</v>
      </c>
      <c r="I64" s="27" t="n">
        <f aca="false">I60-I62-I63</f>
        <v>11.816497267734</v>
      </c>
      <c r="J64" s="27" t="n">
        <f aca="false">J60-J62-J63</f>
        <v>12.2750011080841</v>
      </c>
      <c r="K64" s="27" t="n">
        <f aca="false">K60-K62-K63</f>
        <v>12.6910575680093</v>
      </c>
      <c r="L64" s="27" t="n">
        <f aca="false">L60-L62-L63</f>
        <v>13.1352445828896</v>
      </c>
    </row>
    <row r="65" customFormat="false" ht="15" hidden="false" customHeight="false" outlineLevel="0" collapsed="false">
      <c r="A65" s="0" t="s">
        <v>109</v>
      </c>
      <c r="B65" s="30" t="n">
        <f aca="false">1/(1+$B$10)^B$16</f>
        <v>0.962250448649376</v>
      </c>
      <c r="C65" s="30" t="n">
        <f aca="false">1/(1+$B$10)^C$16</f>
        <v>0.890972637638311</v>
      </c>
      <c r="D65" s="30" t="n">
        <f aca="false">1/(1+$B$10)^D$16</f>
        <v>0.824974664479918</v>
      </c>
      <c r="E65" s="30" t="n">
        <f aca="false">1/(1+$B$10)^E$16</f>
        <v>0.763865430073998</v>
      </c>
      <c r="F65" s="30" t="n">
        <f aca="false">1/(1+$B$10)^F$16</f>
        <v>0.707282805624072</v>
      </c>
      <c r="G65" s="30" t="n">
        <f aca="false">1/(1+$B$10)^G$16</f>
        <v>0.654891486688956</v>
      </c>
      <c r="H65" s="30" t="n">
        <f aca="false">1/(1+$B$10)^H$16</f>
        <v>0.606381006193477</v>
      </c>
      <c r="I65" s="30" t="n">
        <f aca="false">1/(1+$B$10)^I$16</f>
        <v>0.56146389462359</v>
      </c>
      <c r="J65" s="30" t="n">
        <f aca="false">1/(1+$B$10)^J$16</f>
        <v>0.519873976503324</v>
      </c>
      <c r="K65" s="30" t="n">
        <f aca="false">1/(1+$B$10)^K$16</f>
        <v>0.481364793058633</v>
      </c>
    </row>
    <row r="66" customFormat="false" ht="15" hidden="false" customHeight="false" outlineLevel="0" collapsed="false">
      <c r="A66" s="0" t="s">
        <v>110</v>
      </c>
      <c r="B66" s="27" t="n">
        <f aca="false">B64*B65</f>
        <v>7.03789978142154</v>
      </c>
      <c r="C66" s="27" t="n">
        <f aca="false">C64*C65</f>
        <v>7.18009901438861</v>
      </c>
      <c r="D66" s="27" t="n">
        <f aca="false">D64*D65</f>
        <v>7.20152971123767</v>
      </c>
      <c r="E66" s="27" t="n">
        <f aca="false">E64*E65</f>
        <v>7.22759539685426</v>
      </c>
      <c r="F66" s="27" t="n">
        <f aca="false">F64*F65</f>
        <v>7.24836680756155</v>
      </c>
      <c r="G66" s="27" t="n">
        <f aca="false">G64*G65</f>
        <v>7.07068329587249</v>
      </c>
      <c r="H66" s="27" t="n">
        <f aca="false">H64*H65</f>
        <v>6.86522339281941</v>
      </c>
      <c r="I66" s="27" t="n">
        <f aca="false">I64*I65</f>
        <v>6.63453657675094</v>
      </c>
      <c r="J66" s="27" t="n">
        <f aca="false">J64*J65</f>
        <v>6.38145363764241</v>
      </c>
      <c r="K66" s="27" t="n">
        <f aca="false">K64*K65</f>
        <v>6.10902829991998</v>
      </c>
      <c r="L66" s="27"/>
    </row>
    <row r="67" customFormat="false" ht="15" hidden="false" customHeight="false" outlineLevel="0" collapsed="false">
      <c r="A67" s="0" t="s">
        <v>111</v>
      </c>
      <c r="B67" s="27" t="n">
        <f aca="false">L64/($B$10-L57)</f>
        <v>291.894324064213</v>
      </c>
      <c r="C67" s="0" t="str">
        <f aca="false">IF($B$10&gt;L57,"","Discount rate must exceed terminal growth")</f>
        <v/>
      </c>
    </row>
    <row r="68" customFormat="false" ht="15" hidden="false" customHeight="false" outlineLevel="0" collapsed="false">
      <c r="A68" s="0" t="s">
        <v>112</v>
      </c>
      <c r="B68" s="27" t="n">
        <f aca="false">B67/(1+$B$10)^$K$16</f>
        <v>140.50765089816</v>
      </c>
    </row>
    <row r="69" customFormat="false" ht="15" hidden="false" customHeight="false" outlineLevel="0" collapsed="false">
      <c r="A69" s="0" t="s">
        <v>113</v>
      </c>
      <c r="B69" s="27" t="n">
        <f aca="false">SUM(B66:K66)+B68+$B$7+$B$8</f>
        <v>190.294066812628</v>
      </c>
    </row>
    <row r="70" customFormat="false" ht="15" hidden="false" customHeight="false" outlineLevel="0" collapsed="false">
      <c r="A70" s="0" t="s">
        <v>114</v>
      </c>
      <c r="B70" s="31" t="n">
        <f aca="false">B69/$B$6</f>
        <v>155.456308155076</v>
      </c>
    </row>
    <row r="71" customFormat="false" ht="15" hidden="false" customHeight="false" outlineLevel="0" collapsed="false">
      <c r="A71" s="0" t="s">
        <v>115</v>
      </c>
      <c r="B71" s="6" t="n">
        <f aca="false">B70/$B$4-1</f>
        <v>0.629350258411864</v>
      </c>
    </row>
    <row r="74" customFormat="false" ht="15" hidden="false" customHeight="false" outlineLevel="0" collapsed="false">
      <c r="A74" s="10" t="s">
        <v>118</v>
      </c>
      <c r="B74" s="26"/>
      <c r="C74" s="10" t="s">
        <v>119</v>
      </c>
      <c r="D74" s="26"/>
      <c r="E74" s="26"/>
      <c r="F74" s="26"/>
      <c r="G74" s="26"/>
      <c r="H74" s="26"/>
      <c r="I74" s="26"/>
      <c r="J74" s="26"/>
      <c r="K74" s="26"/>
      <c r="L74" s="26"/>
    </row>
    <row r="75" customFormat="false" ht="15" hidden="false" customHeight="false" outlineLevel="0" collapsed="false">
      <c r="A75" s="0" t="s">
        <v>120</v>
      </c>
      <c r="B75" s="7" t="n">
        <f aca="false">B34</f>
        <v>86.8309456371992</v>
      </c>
      <c r="C75" s="6" t="n">
        <f aca="false">B75/$B$4-1</f>
        <v>-0.0899177692359374</v>
      </c>
    </row>
    <row r="76" customFormat="false" ht="15" hidden="false" customHeight="false" outlineLevel="0" collapsed="false">
      <c r="A76" s="0" t="s">
        <v>121</v>
      </c>
      <c r="B76" s="7" t="n">
        <f aca="false">B52</f>
        <v>118.401313975981</v>
      </c>
      <c r="C76" s="6" t="n">
        <f aca="false">B76/$B$4-1</f>
        <v>0.240973838968466</v>
      </c>
    </row>
    <row r="77" customFormat="false" ht="15" hidden="false" customHeight="false" outlineLevel="0" collapsed="false">
      <c r="A77" s="0" t="s">
        <v>122</v>
      </c>
      <c r="B77" s="7" t="n">
        <f aca="false">B70</f>
        <v>155.456308155076</v>
      </c>
      <c r="C77" s="6" t="n">
        <f aca="false">B77/$B$4-1</f>
        <v>0.629350258411864</v>
      </c>
    </row>
    <row r="78" customFormat="false" ht="15" hidden="false" customHeight="false" outlineLevel="0" collapsed="false">
      <c r="A78" s="0" t="s">
        <v>123</v>
      </c>
      <c r="B78" s="7" t="n">
        <f aca="false">INDEX(B34:B70,1+($B$13-1)*18)</f>
        <v>118.401313975981</v>
      </c>
      <c r="C78" s="6" t="n">
        <f aca="false">B78/$B$4-1</f>
        <v>0.240973838968466</v>
      </c>
    </row>
    <row r="79" customFormat="false" ht="15" hidden="false" customHeight="false" outlineLevel="0" collapsed="false">
      <c r="A79" s="0" t="s">
        <v>124</v>
      </c>
      <c r="B79" s="13" t="n">
        <f aca="false">B50/(SUM(B48:K48)+B50)</f>
        <v>0.632083649155126</v>
      </c>
    </row>
    <row r="81" customFormat="false" ht="15" hidden="false" customHeight="false" outlineLevel="0" collapsed="false">
      <c r="A81" s="23" t="s">
        <v>125</v>
      </c>
    </row>
    <row r="82" customFormat="false" ht="15" hidden="false" customHeight="false" outlineLevel="0" collapsed="false">
      <c r="A82" s="0" t="s">
        <v>5</v>
      </c>
      <c r="B82" s="9" t="n">
        <v>0.05</v>
      </c>
      <c r="C82" s="9" t="n">
        <v>0.06</v>
      </c>
      <c r="D82" s="9" t="n">
        <v>0.07</v>
      </c>
      <c r="E82" s="9" t="n">
        <v>0.08</v>
      </c>
      <c r="F82" s="9" t="n">
        <v>0.09</v>
      </c>
      <c r="G82" s="9" t="n">
        <v>0.1</v>
      </c>
      <c r="H82" s="9" t="n">
        <v>0.11</v>
      </c>
      <c r="I82" s="9" t="n">
        <v>0.12</v>
      </c>
      <c r="J82" s="9" t="n">
        <v>0.13</v>
      </c>
      <c r="K82" s="9" t="n">
        <v>0.14</v>
      </c>
    </row>
    <row r="83" customFormat="false" ht="15" hidden="false" customHeight="false" outlineLevel="0" collapsed="false">
      <c r="A83" s="0" t="s">
        <v>121</v>
      </c>
      <c r="B83" s="7" t="n">
        <f aca="false">IF(B82&gt;$L39,(SUMPRODUCT($B46:$K46/(1+B82)^$B$16:$K$16)+$L46/(B82-$L39)/(1+B82)^$K$16+$B$7+$B$8)/$B$6,"n/a")</f>
        <v>317.721840589771</v>
      </c>
      <c r="C83" s="7" t="n">
        <f aca="false">IF(C82&gt;$L39,(SUMPRODUCT($B46:$K46/(1+C82)^$B$16:$K$16)+$L46/(C82-$L39)/(1+C82)^$K$16+$B$7+$B$8)/$B$6,"n/a")</f>
        <v>206.969966557862</v>
      </c>
      <c r="D83" s="7" t="n">
        <f aca="false">IF(D82&gt;$L39,(SUMPRODUCT($B46:$K46/(1+D82)^$B$16:$K$16)+$L46/(D82-$L39)/(1+D82)^$K$16+$B$7+$B$8)/$B$6,"n/a")</f>
        <v>151.608001587618</v>
      </c>
      <c r="E83" s="7" t="n">
        <f aca="false">IF(E82&gt;$L39,(SUMPRODUCT($B46:$K46/(1+E82)^$B$16:$K$16)+$L46/(E82-$L39)/(1+E82)^$K$16+$B$7+$B$8)/$B$6,"n/a")</f>
        <v>118.401313975981</v>
      </c>
      <c r="F83" s="7" t="n">
        <f aca="false">IF(F82&gt;$L39,(SUMPRODUCT($B46:$K46/(1+F82)^$B$16:$K$16)+$L46/(F82-$L39)/(1+F82)^$K$16+$B$7+$B$8)/$B$6,"n/a")</f>
        <v>96.2717296161952</v>
      </c>
      <c r="G83" s="7" t="n">
        <f aca="false">IF(G82&gt;$L39,(SUMPRODUCT($B46:$K46/(1+G82)^$B$16:$K$16)+$L46/(G82-$L39)/(1+G82)^$K$16+$B$7+$B$8)/$B$6,"n/a")</f>
        <v>80.4714886702984</v>
      </c>
      <c r="H83" s="7" t="n">
        <f aca="false">IF(H82&gt;$L39,(SUMPRODUCT($B46:$K46/(1+H82)^$B$16:$K$16)+$L46/(H82-$L39)/(1+H82)^$K$16+$B$7+$B$8)/$B$6,"n/a")</f>
        <v>68.6267348812196</v>
      </c>
      <c r="I83" s="7" t="n">
        <f aca="false">IF(I82&gt;$L39,(SUMPRODUCT($B46:$K46/(1+I82)^$B$16:$K$16)+$L46/(I82-$L39)/(1+I82)^$K$16+$B$7+$B$8)/$B$6,"n/a")</f>
        <v>59.4186787947847</v>
      </c>
      <c r="J83" s="7" t="n">
        <f aca="false">IF(J82&gt;$L39,(SUMPRODUCT($B46:$K46/(1+J82)^$B$16:$K$16)+$L46/(J82-$L39)/(1+J82)^$K$16+$B$7+$B$8)/$B$6,"n/a")</f>
        <v>52.0560631463936</v>
      </c>
      <c r="K83" s="7" t="n">
        <f aca="false">IF(K82&gt;$L39,(SUMPRODUCT($B46:$K46/(1+K82)^$B$16:$K$16)+$L46/(K82-$L39)/(1+K82)^$K$16+$B$7+$B$8)/$B$6,"n/a")</f>
        <v>46.0353744824304</v>
      </c>
    </row>
    <row r="84" customFormat="false" ht="15" hidden="false" customHeight="false" outlineLevel="0" collapsed="false">
      <c r="A84" s="0" t="s">
        <v>126</v>
      </c>
      <c r="B84" s="6" t="n">
        <f aca="false">IFERROR(B83/$B$4-1,"n/a")</f>
        <v>2.33006855245541</v>
      </c>
      <c r="C84" s="6" t="n">
        <f aca="false">IFERROR(C83/$B$4-1,"n/a")</f>
        <v>1.16926911809938</v>
      </c>
      <c r="D84" s="6" t="n">
        <f aca="false">IFERROR(D83/$B$4-1,"n/a")</f>
        <v>0.589015843073238</v>
      </c>
      <c r="E84" s="6" t="n">
        <f aca="false">IFERROR(E83/$B$4-1,"n/a")</f>
        <v>0.240973838968466</v>
      </c>
      <c r="F84" s="6" t="n">
        <f aca="false">IFERROR(F83/$B$4-1,"n/a")</f>
        <v>0.00903185846551913</v>
      </c>
      <c r="G84" s="6" t="n">
        <f aca="false">IFERROR(G83/$B$4-1,"n/a")</f>
        <v>-0.156571756940589</v>
      </c>
      <c r="H84" s="6" t="n">
        <f aca="false">IFERROR(H83/$B$4-1,"n/a")</f>
        <v>-0.280717588499952</v>
      </c>
      <c r="I84" s="6" t="n">
        <f aca="false">IFERROR(I83/$B$4-1,"n/a")</f>
        <v>-0.377227976157796</v>
      </c>
      <c r="J84" s="6" t="n">
        <f aca="false">IFERROR(J83/$B$4-1,"n/a")</f>
        <v>-0.454396151908672</v>
      </c>
      <c r="K84" s="6" t="n">
        <f aca="false">IFERROR(K83/$B$4-1,"n/a")</f>
        <v>-0.517499481370607</v>
      </c>
    </row>
    <row r="86" customFormat="false" ht="15" hidden="false" customHeight="false" outlineLevel="0" collapsed="false">
      <c r="A86" s="23" t="s">
        <v>127</v>
      </c>
      <c r="B86" s="17" t="n">
        <f aca="false">IFERROR(IF(MATCH($B$4,$B$83:$K$83,-1)=10,"above 14%",INDEX($B$82:$K$82,MATCH($B$4,$B$83:$K$83,-1))+(INDEX($B$83:$K$83,MATCH($B$4,$B$83:$K$83,-1))-$B$4)/(INDEX($B$83:$K$83,MATCH($B$4,$B$83:$K$83,-1))-INDEX($B$83:$K$83,MATCH($B$4,$B$83:$K$83,-1)+1))*(INDEX($B$82:$K$82,MATCH($B$4,$B$83:$K$83,-1)+1)-INDEX($B$82:$K$82,MATCH($B$4,$B$83:$K$83,-1)))),"below 5%")</f>
        <v>0.0905453901742043</v>
      </c>
      <c r="C86" s="2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12" min="2" style="0" width="11"/>
  </cols>
  <sheetData>
    <row r="1" customFormat="false" ht="16.15" hidden="false" customHeight="false" outlineLevel="0" collapsed="false">
      <c r="A1" s="1" t="s">
        <v>145</v>
      </c>
    </row>
    <row r="2" customFormat="false" ht="15" hidden="false" customHeight="false" outlineLevel="0" collapsed="false">
      <c r="A2" s="2" t="s">
        <v>65</v>
      </c>
    </row>
    <row r="4" customFormat="false" ht="15" hidden="false" customHeight="false" outlineLevel="0" collapsed="false">
      <c r="A4" s="0" t="s">
        <v>66</v>
      </c>
      <c r="B4" s="18" t="n">
        <v>144.45</v>
      </c>
      <c r="C4" s="2" t="s">
        <v>146</v>
      </c>
    </row>
    <row r="5" customFormat="false" ht="15" hidden="false" customHeight="false" outlineLevel="0" collapsed="false">
      <c r="A5" s="0" t="s">
        <v>68</v>
      </c>
      <c r="B5" s="19" t="s">
        <v>147</v>
      </c>
      <c r="C5" s="2" t="s">
        <v>70</v>
      </c>
    </row>
    <row r="6" customFormat="false" ht="15" hidden="false" customHeight="false" outlineLevel="0" collapsed="false">
      <c r="A6" s="0" t="s">
        <v>71</v>
      </c>
      <c r="B6" s="20" t="n">
        <v>2.4672</v>
      </c>
      <c r="C6" s="2" t="s">
        <v>72</v>
      </c>
    </row>
    <row r="7" customFormat="false" ht="15" hidden="false" customHeight="false" outlineLevel="0" collapsed="false">
      <c r="A7" s="0" t="s">
        <v>73</v>
      </c>
      <c r="B7" s="21" t="n">
        <v>-46.77</v>
      </c>
      <c r="C7" s="2" t="s">
        <v>74</v>
      </c>
    </row>
    <row r="8" customFormat="false" ht="15" hidden="false" customHeight="false" outlineLevel="0" collapsed="false">
      <c r="A8" s="0" t="s">
        <v>75</v>
      </c>
      <c r="B8" s="21" t="n">
        <v>0</v>
      </c>
      <c r="C8" s="2" t="s">
        <v>76</v>
      </c>
    </row>
    <row r="9" customFormat="false" ht="15" hidden="false" customHeight="false" outlineLevel="0" collapsed="false">
      <c r="A9" s="0" t="s">
        <v>47</v>
      </c>
      <c r="B9" s="9" t="n">
        <v>0.15</v>
      </c>
      <c r="C9" s="2" t="s">
        <v>77</v>
      </c>
    </row>
    <row r="10" customFormat="false" ht="15" hidden="false" customHeight="false" outlineLevel="0" collapsed="false">
      <c r="A10" s="0" t="s">
        <v>78</v>
      </c>
      <c r="B10" s="22" t="n">
        <f aca="false">WACC!D29</f>
        <v>0.08</v>
      </c>
      <c r="C10" s="2" t="s">
        <v>79</v>
      </c>
    </row>
    <row r="11" customFormat="false" ht="15" hidden="false" customHeight="false" outlineLevel="0" collapsed="false">
      <c r="A11" s="0" t="s">
        <v>80</v>
      </c>
      <c r="B11" s="9" t="n">
        <v>0.1</v>
      </c>
      <c r="C11" s="2" t="s">
        <v>26</v>
      </c>
    </row>
    <row r="12" customFormat="false" ht="15" hidden="false" customHeight="false" outlineLevel="0" collapsed="false">
      <c r="A12" s="0" t="s">
        <v>81</v>
      </c>
      <c r="B12" s="21" t="n">
        <v>67.05</v>
      </c>
      <c r="C12" s="2" t="s">
        <v>148</v>
      </c>
    </row>
    <row r="13" customFormat="false" ht="15" hidden="false" customHeight="false" outlineLevel="0" collapsed="false">
      <c r="A13" s="0" t="s">
        <v>83</v>
      </c>
      <c r="B13" s="8" t="n">
        <v>2</v>
      </c>
      <c r="C13" s="2" t="s">
        <v>84</v>
      </c>
    </row>
    <row r="15" customFormat="false" ht="15" hidden="false" customHeight="false" outlineLevel="0" collapsed="false">
      <c r="A15" s="23" t="s">
        <v>85</v>
      </c>
      <c r="B15" s="24" t="s">
        <v>86</v>
      </c>
      <c r="C15" s="24" t="s">
        <v>87</v>
      </c>
      <c r="D15" s="24" t="s">
        <v>88</v>
      </c>
      <c r="E15" s="24" t="s">
        <v>89</v>
      </c>
      <c r="F15" s="24" t="s">
        <v>90</v>
      </c>
      <c r="G15" s="24" t="s">
        <v>91</v>
      </c>
      <c r="H15" s="24" t="s">
        <v>92</v>
      </c>
      <c r="I15" s="24" t="s">
        <v>93</v>
      </c>
      <c r="J15" s="24" t="s">
        <v>94</v>
      </c>
      <c r="K15" s="24" t="s">
        <v>95</v>
      </c>
      <c r="L15" s="23" t="s">
        <v>96</v>
      </c>
    </row>
    <row r="16" customFormat="false" ht="15" hidden="false" customHeight="false" outlineLevel="0" collapsed="false">
      <c r="A16" s="0" t="s">
        <v>97</v>
      </c>
      <c r="B16" s="19" t="n">
        <v>0.5</v>
      </c>
      <c r="C16" s="25" t="n">
        <f aca="false">B16+1</f>
        <v>1.5</v>
      </c>
      <c r="D16" s="25" t="n">
        <f aca="false">C16+1</f>
        <v>2.5</v>
      </c>
      <c r="E16" s="25" t="n">
        <f aca="false">D16+1</f>
        <v>3.5</v>
      </c>
      <c r="F16" s="25" t="n">
        <f aca="false">E16+1</f>
        <v>4.5</v>
      </c>
      <c r="G16" s="25" t="n">
        <f aca="false">F16+1</f>
        <v>5.5</v>
      </c>
      <c r="H16" s="25" t="n">
        <f aca="false">G16+1</f>
        <v>6.5</v>
      </c>
      <c r="I16" s="25" t="n">
        <f aca="false">H16+1</f>
        <v>7.5</v>
      </c>
      <c r="J16" s="25" t="n">
        <f aca="false">I16+1</f>
        <v>8.5</v>
      </c>
      <c r="K16" s="25" t="n">
        <f aca="false">J16+1</f>
        <v>9.5</v>
      </c>
    </row>
    <row r="17" customFormat="false" ht="15" hidden="false" customHeight="false" outlineLevel="0" collapsed="false">
      <c r="A17" s="0" t="s">
        <v>98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2</v>
      </c>
      <c r="I17" s="0" t="n">
        <v>3</v>
      </c>
      <c r="J17" s="0" t="n">
        <v>4</v>
      </c>
      <c r="K17" s="0" t="n">
        <v>5</v>
      </c>
    </row>
    <row r="19" customFormat="false" ht="15" hidden="false" customHeight="false" outlineLevel="0" collapsed="false">
      <c r="A19" s="10" t="s">
        <v>149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</row>
    <row r="20" customFormat="false" ht="15" hidden="false" customHeight="false" outlineLevel="0" collapsed="false">
      <c r="A20" s="0" t="s">
        <v>100</v>
      </c>
      <c r="B20" s="21" t="n">
        <v>69</v>
      </c>
      <c r="C20" s="21" t="n">
        <v>65</v>
      </c>
      <c r="D20" s="21" t="n">
        <v>57</v>
      </c>
      <c r="E20" s="21" t="n">
        <v>54</v>
      </c>
      <c r="F20" s="21" t="n">
        <v>55</v>
      </c>
      <c r="G20" s="27" t="n">
        <f aca="false">F20*(1+$F21+($L21-$F21)*G$17/5)</f>
        <v>56.0348148148148</v>
      </c>
      <c r="H20" s="27" t="n">
        <f aca="false">G20*(1+$F21+($L21-$F21)*H$17/5)</f>
        <v>57.1057023868313</v>
      </c>
      <c r="I20" s="27" t="n">
        <f aca="false">H20*(1+$F21+($L21-$F21)*I$17/5)</f>
        <v>58.2139760183387</v>
      </c>
      <c r="J20" s="27" t="n">
        <f aca="false">I20*(1+$F21+($L21-$F21)*J$17/5)</f>
        <v>59.3610069532185</v>
      </c>
      <c r="K20" s="27" t="n">
        <f aca="false">J20*(1+$F21+($L21-$F21)*K$17/5)</f>
        <v>60.5482270922829</v>
      </c>
      <c r="L20" s="27" t="n">
        <f aca="false">K20*(1+L21)</f>
        <v>61.7591916341286</v>
      </c>
    </row>
    <row r="21" customFormat="false" ht="15" hidden="false" customHeight="false" outlineLevel="0" collapsed="false">
      <c r="A21" s="0" t="s">
        <v>101</v>
      </c>
      <c r="B21" s="6" t="n">
        <f aca="false">B20/$B$12-1</f>
        <v>0.029082774049217</v>
      </c>
      <c r="C21" s="6" t="n">
        <f aca="false">C20/B20-1</f>
        <v>-0.0579710144927537</v>
      </c>
      <c r="D21" s="6" t="n">
        <f aca="false">D20/C20-1</f>
        <v>-0.123076923076923</v>
      </c>
      <c r="E21" s="6" t="n">
        <f aca="false">E20/D20-1</f>
        <v>-0.0526315789473685</v>
      </c>
      <c r="F21" s="6" t="n">
        <f aca="false">F20/E20-1</f>
        <v>0.0185185185185186</v>
      </c>
      <c r="G21" s="6" t="n">
        <f aca="false">G20/F20-1</f>
        <v>0.0188148148148148</v>
      </c>
      <c r="H21" s="6" t="n">
        <f aca="false">H20/G20-1</f>
        <v>0.0191111111111111</v>
      </c>
      <c r="I21" s="6" t="n">
        <f aca="false">I20/H20-1</f>
        <v>0.0194074074074075</v>
      </c>
      <c r="J21" s="6" t="n">
        <f aca="false">J20/I20-1</f>
        <v>0.0197037037037038</v>
      </c>
      <c r="K21" s="6" t="n">
        <f aca="false">K20/J20-1</f>
        <v>0.02</v>
      </c>
      <c r="L21" s="28" t="n">
        <v>0.02</v>
      </c>
    </row>
    <row r="22" customFormat="false" ht="15" hidden="false" customHeight="false" outlineLevel="0" collapsed="false">
      <c r="A22" s="0" t="s">
        <v>102</v>
      </c>
      <c r="B22" s="29" t="n">
        <v>0.4</v>
      </c>
      <c r="C22" s="29" t="n">
        <v>0.37</v>
      </c>
      <c r="D22" s="29" t="n">
        <v>0.33</v>
      </c>
      <c r="E22" s="29" t="n">
        <v>0.31</v>
      </c>
      <c r="F22" s="29" t="n">
        <v>0.31</v>
      </c>
      <c r="G22" s="6" t="n">
        <f aca="false">$F22+($L22-$F22)*G$17/5</f>
        <v>0.306</v>
      </c>
      <c r="H22" s="6" t="n">
        <f aca="false">$F22+($L22-$F22)*H$17/5</f>
        <v>0.302</v>
      </c>
      <c r="I22" s="6" t="n">
        <f aca="false">$F22+($L22-$F22)*I$17/5</f>
        <v>0.298</v>
      </c>
      <c r="J22" s="6" t="n">
        <f aca="false">$F22+($L22-$F22)*J$17/5</f>
        <v>0.294</v>
      </c>
      <c r="K22" s="6" t="n">
        <f aca="false">$F22+($L22-$F22)*K$17/5</f>
        <v>0.29</v>
      </c>
      <c r="L22" s="28" t="n">
        <v>0.29</v>
      </c>
    </row>
    <row r="23" customFormat="false" ht="15" hidden="false" customHeight="false" outlineLevel="0" collapsed="false">
      <c r="A23" s="0" t="s">
        <v>103</v>
      </c>
      <c r="B23" s="27" t="n">
        <f aca="false">B20*B22</f>
        <v>27.6</v>
      </c>
      <c r="C23" s="27" t="n">
        <f aca="false">C20*C22</f>
        <v>24.05</v>
      </c>
      <c r="D23" s="27" t="n">
        <f aca="false">D20*D22</f>
        <v>18.81</v>
      </c>
      <c r="E23" s="27" t="n">
        <f aca="false">E20*E22</f>
        <v>16.74</v>
      </c>
      <c r="F23" s="27" t="n">
        <f aca="false">F20*F22</f>
        <v>17.05</v>
      </c>
      <c r="G23" s="27" t="n">
        <f aca="false">G20*G22</f>
        <v>17.1466533333333</v>
      </c>
      <c r="H23" s="27" t="n">
        <f aca="false">H20*H22</f>
        <v>17.245922120823</v>
      </c>
      <c r="I23" s="27" t="n">
        <f aca="false">I20*I22</f>
        <v>17.3477648534649</v>
      </c>
      <c r="J23" s="27" t="n">
        <f aca="false">J20*J22</f>
        <v>17.4521360442463</v>
      </c>
      <c r="K23" s="27" t="n">
        <f aca="false">K20*K22</f>
        <v>17.558985856762</v>
      </c>
      <c r="L23" s="27" t="n">
        <f aca="false">L20*L22</f>
        <v>17.9101655738973</v>
      </c>
    </row>
    <row r="24" customFormat="false" ht="15" hidden="false" customHeight="false" outlineLevel="0" collapsed="false">
      <c r="A24" s="0" t="s">
        <v>104</v>
      </c>
      <c r="B24" s="27" t="n">
        <f aca="false">B23*(1-$B$9)</f>
        <v>23.46</v>
      </c>
      <c r="C24" s="27" t="n">
        <f aca="false">C23*(1-$B$9)</f>
        <v>20.4425</v>
      </c>
      <c r="D24" s="27" t="n">
        <f aca="false">D23*(1-$B$9)</f>
        <v>15.9885</v>
      </c>
      <c r="E24" s="27" t="n">
        <f aca="false">E23*(1-$B$9)</f>
        <v>14.229</v>
      </c>
      <c r="F24" s="27" t="n">
        <f aca="false">F23*(1-$B$9)</f>
        <v>14.4925</v>
      </c>
      <c r="G24" s="27" t="n">
        <f aca="false">G23*(1-$B$9)</f>
        <v>14.5746553333333</v>
      </c>
      <c r="H24" s="27" t="n">
        <f aca="false">H23*(1-$B$9)</f>
        <v>14.6590338026996</v>
      </c>
      <c r="I24" s="27" t="n">
        <f aca="false">I23*(1-$B$9)</f>
        <v>14.7456001254452</v>
      </c>
      <c r="J24" s="27" t="n">
        <f aca="false">J23*(1-$B$9)</f>
        <v>14.8343156376093</v>
      </c>
      <c r="K24" s="27" t="n">
        <f aca="false">K23*(1-$B$9)</f>
        <v>14.9251379782477</v>
      </c>
      <c r="L24" s="27" t="n">
        <f aca="false">L23*(1-$B$9)</f>
        <v>15.2236407378127</v>
      </c>
    </row>
    <row r="25" customFormat="false" ht="15" hidden="false" customHeight="false" outlineLevel="0" collapsed="false">
      <c r="A25" s="0" t="s">
        <v>105</v>
      </c>
      <c r="B25" s="29" t="n">
        <v>0.05</v>
      </c>
      <c r="C25" s="29" t="n">
        <v>0.05</v>
      </c>
      <c r="D25" s="29" t="n">
        <v>0.05</v>
      </c>
      <c r="E25" s="29" t="n">
        <v>0.05</v>
      </c>
      <c r="F25" s="29" t="n">
        <v>0.05</v>
      </c>
      <c r="G25" s="6" t="n">
        <f aca="false">$F25+($L25-$F25)*G$17/5</f>
        <v>0.048</v>
      </c>
      <c r="H25" s="6" t="n">
        <f aca="false">$F25+($L25-$F25)*H$17/5</f>
        <v>0.046</v>
      </c>
      <c r="I25" s="6" t="n">
        <f aca="false">$F25+($L25-$F25)*I$17/5</f>
        <v>0.044</v>
      </c>
      <c r="J25" s="6" t="n">
        <f aca="false">$F25+($L25-$F25)*J$17/5</f>
        <v>0.042</v>
      </c>
      <c r="K25" s="6" t="n">
        <f aca="false">$F25+($L25-$F25)*K$17/5</f>
        <v>0.04</v>
      </c>
      <c r="L25" s="28" t="n">
        <v>0.04</v>
      </c>
    </row>
    <row r="26" customFormat="false" ht="15" hidden="false" customHeight="false" outlineLevel="0" collapsed="false">
      <c r="A26" s="0" t="s">
        <v>106</v>
      </c>
      <c r="B26" s="27" t="n">
        <f aca="false">B20*B25</f>
        <v>3.45</v>
      </c>
      <c r="C26" s="27" t="n">
        <f aca="false">C20*C25</f>
        <v>3.25</v>
      </c>
      <c r="D26" s="27" t="n">
        <f aca="false">D20*D25</f>
        <v>2.85</v>
      </c>
      <c r="E26" s="27" t="n">
        <f aca="false">E20*E25</f>
        <v>2.7</v>
      </c>
      <c r="F26" s="27" t="n">
        <f aca="false">F20*F25</f>
        <v>2.75</v>
      </c>
      <c r="G26" s="27" t="n">
        <f aca="false">G20*G25</f>
        <v>2.68967111111111</v>
      </c>
      <c r="H26" s="27" t="n">
        <f aca="false">H20*H25</f>
        <v>2.62686230979424</v>
      </c>
      <c r="I26" s="27" t="n">
        <f aca="false">I20*I25</f>
        <v>2.5614149448069</v>
      </c>
      <c r="J26" s="27" t="n">
        <f aca="false">J20*J25</f>
        <v>2.49316229203518</v>
      </c>
      <c r="K26" s="27" t="n">
        <f aca="false">K20*K25</f>
        <v>2.42192908369132</v>
      </c>
      <c r="L26" s="27" t="n">
        <f aca="false">L20*L25</f>
        <v>2.47036766536514</v>
      </c>
    </row>
    <row r="27" customFormat="false" ht="15" hidden="false" customHeight="false" outlineLevel="0" collapsed="false">
      <c r="A27" s="0" t="s">
        <v>107</v>
      </c>
      <c r="B27" s="27" t="n">
        <f aca="false">$B$11*(B20-$B$12)</f>
        <v>0.195</v>
      </c>
      <c r="C27" s="27" t="n">
        <f aca="false">$B$11*(C20-B20)</f>
        <v>-0.4</v>
      </c>
      <c r="D27" s="27" t="n">
        <f aca="false">$B$11*(D20-C20)</f>
        <v>-0.8</v>
      </c>
      <c r="E27" s="27" t="n">
        <f aca="false">$B$11*(E20-D20)</f>
        <v>-0.3</v>
      </c>
      <c r="F27" s="27" t="n">
        <f aca="false">$B$11*(F20-E20)</f>
        <v>0.1</v>
      </c>
      <c r="G27" s="27" t="n">
        <f aca="false">$B$11*(G20-F20)</f>
        <v>0.103481481481482</v>
      </c>
      <c r="H27" s="27" t="n">
        <f aca="false">$B$11*(H20-G20)</f>
        <v>0.107088757201646</v>
      </c>
      <c r="I27" s="27" t="n">
        <f aca="false">$B$11*(I20-H20)</f>
        <v>0.11082736315074</v>
      </c>
      <c r="J27" s="27" t="n">
        <f aca="false">$B$11*(J20-I20)</f>
        <v>0.114703093487987</v>
      </c>
      <c r="K27" s="27" t="n">
        <f aca="false">$B$11*(K20-J20)</f>
        <v>0.118722013906437</v>
      </c>
      <c r="L27" s="27" t="n">
        <f aca="false">$B$11*(L20-K20)</f>
        <v>0.121096454184566</v>
      </c>
    </row>
    <row r="28" customFormat="false" ht="15" hidden="false" customHeight="false" outlineLevel="0" collapsed="false">
      <c r="A28" s="0" t="s">
        <v>108</v>
      </c>
      <c r="B28" s="27" t="n">
        <f aca="false">B24-B26-B27</f>
        <v>19.815</v>
      </c>
      <c r="C28" s="27" t="n">
        <f aca="false">C24-C26-C27</f>
        <v>17.5925</v>
      </c>
      <c r="D28" s="27" t="n">
        <f aca="false">D24-D26-D27</f>
        <v>13.9385</v>
      </c>
      <c r="E28" s="27" t="n">
        <f aca="false">E24-E26-E27</f>
        <v>11.829</v>
      </c>
      <c r="F28" s="27" t="n">
        <f aca="false">F24-F26-F27</f>
        <v>11.6425</v>
      </c>
      <c r="G28" s="27" t="n">
        <f aca="false">G24-G26-G27</f>
        <v>11.7815027407407</v>
      </c>
      <c r="H28" s="27" t="n">
        <f aca="false">H24-H26-H27</f>
        <v>11.9250827357037</v>
      </c>
      <c r="I28" s="27" t="n">
        <f aca="false">I24-I26-I27</f>
        <v>12.0733578174875</v>
      </c>
      <c r="J28" s="27" t="n">
        <f aca="false">J24-J26-J27</f>
        <v>12.2264502520861</v>
      </c>
      <c r="K28" s="27" t="n">
        <f aca="false">K24-K26-K27</f>
        <v>12.38448688065</v>
      </c>
      <c r="L28" s="27" t="n">
        <f aca="false">L24-L26-L27</f>
        <v>12.632176618263</v>
      </c>
    </row>
    <row r="29" customFormat="false" ht="15" hidden="false" customHeight="false" outlineLevel="0" collapsed="false">
      <c r="A29" s="0" t="s">
        <v>109</v>
      </c>
      <c r="B29" s="30" t="n">
        <f aca="false">1/(1+$B$10)^B$16</f>
        <v>0.962250448649376</v>
      </c>
      <c r="C29" s="30" t="n">
        <f aca="false">1/(1+$B$10)^C$16</f>
        <v>0.890972637638311</v>
      </c>
      <c r="D29" s="30" t="n">
        <f aca="false">1/(1+$B$10)^D$16</f>
        <v>0.824974664479918</v>
      </c>
      <c r="E29" s="30" t="n">
        <f aca="false">1/(1+$B$10)^E$16</f>
        <v>0.763865430073998</v>
      </c>
      <c r="F29" s="30" t="n">
        <f aca="false">1/(1+$B$10)^F$16</f>
        <v>0.707282805624072</v>
      </c>
      <c r="G29" s="30" t="n">
        <f aca="false">1/(1+$B$10)^G$16</f>
        <v>0.654891486688956</v>
      </c>
      <c r="H29" s="30" t="n">
        <f aca="false">1/(1+$B$10)^H$16</f>
        <v>0.606381006193477</v>
      </c>
      <c r="I29" s="30" t="n">
        <f aca="false">1/(1+$B$10)^I$16</f>
        <v>0.56146389462359</v>
      </c>
      <c r="J29" s="30" t="n">
        <f aca="false">1/(1+$B$10)^J$16</f>
        <v>0.519873976503324</v>
      </c>
      <c r="K29" s="30" t="n">
        <f aca="false">1/(1+$B$10)^K$16</f>
        <v>0.481364793058633</v>
      </c>
    </row>
    <row r="30" customFormat="false" ht="15" hidden="false" customHeight="false" outlineLevel="0" collapsed="false">
      <c r="A30" s="0" t="s">
        <v>110</v>
      </c>
      <c r="B30" s="27" t="n">
        <f aca="false">B28*B29</f>
        <v>19.0669926399874</v>
      </c>
      <c r="C30" s="27" t="n">
        <f aca="false">C28*C29</f>
        <v>15.674436127652</v>
      </c>
      <c r="D30" s="27" t="n">
        <f aca="false">D28*D29</f>
        <v>11.4989093608533</v>
      </c>
      <c r="E30" s="27" t="n">
        <f aca="false">E28*E29</f>
        <v>9.03576417234532</v>
      </c>
      <c r="F30" s="27" t="n">
        <f aca="false">F28*F29</f>
        <v>8.23454006447826</v>
      </c>
      <c r="G30" s="27" t="n">
        <f aca="false">G28*G29</f>
        <v>7.71560584531371</v>
      </c>
      <c r="H30" s="27" t="n">
        <f aca="false">H28*H29</f>
        <v>7.23114366821648</v>
      </c>
      <c r="I30" s="27" t="n">
        <f aca="false">I28*I29</f>
        <v>6.77875450139072</v>
      </c>
      <c r="J30" s="27" t="n">
        <f aca="false">J28*J29</f>
        <v>6.35621331107209</v>
      </c>
      <c r="K30" s="27" t="n">
        <f aca="false">K28*K29</f>
        <v>5.96145596444144</v>
      </c>
      <c r="L30" s="27"/>
    </row>
    <row r="31" customFormat="false" ht="15" hidden="false" customHeight="false" outlineLevel="0" collapsed="false">
      <c r="A31" s="0" t="s">
        <v>111</v>
      </c>
      <c r="B31" s="27" t="n">
        <f aca="false">L28/($B$10-L21)</f>
        <v>210.53627697105</v>
      </c>
      <c r="C31" s="0" t="str">
        <f aca="false">IF($B$10&gt;L21,"","Discount rate must exceed terminal growth")</f>
        <v/>
      </c>
    </row>
    <row r="32" customFormat="false" ht="15" hidden="false" customHeight="false" outlineLevel="0" collapsed="false">
      <c r="A32" s="0" t="s">
        <v>112</v>
      </c>
      <c r="B32" s="27" t="n">
        <f aca="false">B31/(1+$B$10)^$K$16</f>
        <v>101.344751395504</v>
      </c>
    </row>
    <row r="33" customFormat="false" ht="15" hidden="false" customHeight="false" outlineLevel="0" collapsed="false">
      <c r="A33" s="0" t="s">
        <v>113</v>
      </c>
      <c r="B33" s="27" t="n">
        <f aca="false">SUM(B30:K30)+B32+$B$7+$B$8</f>
        <v>152.128567051255</v>
      </c>
    </row>
    <row r="34" customFormat="false" ht="15" hidden="false" customHeight="false" outlineLevel="0" collapsed="false">
      <c r="A34" s="0" t="s">
        <v>114</v>
      </c>
      <c r="B34" s="31" t="n">
        <f aca="false">B33/$B$6</f>
        <v>61.6604114183103</v>
      </c>
    </row>
    <row r="35" customFormat="false" ht="15" hidden="false" customHeight="false" outlineLevel="0" collapsed="false">
      <c r="A35" s="0" t="s">
        <v>115</v>
      </c>
      <c r="B35" s="6" t="n">
        <f aca="false">B34/$B$4-1</f>
        <v>-0.573136646463757</v>
      </c>
    </row>
    <row r="37" customFormat="false" ht="15" hidden="false" customHeight="false" outlineLevel="0" collapsed="false">
      <c r="A37" s="10" t="s">
        <v>150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</row>
    <row r="38" customFormat="false" ht="15" hidden="false" customHeight="false" outlineLevel="0" collapsed="false">
      <c r="A38" s="0" t="s">
        <v>100</v>
      </c>
      <c r="B38" s="21" t="n">
        <v>69.9</v>
      </c>
      <c r="C38" s="21" t="n">
        <v>68</v>
      </c>
      <c r="D38" s="21" t="n">
        <v>63</v>
      </c>
      <c r="E38" s="21" t="n">
        <v>62</v>
      </c>
      <c r="F38" s="21" t="n">
        <v>65</v>
      </c>
      <c r="G38" s="27" t="n">
        <f aca="false">F38*(1+$F39+($L39-$F39)*G$17/5)</f>
        <v>67.8411290322581</v>
      </c>
      <c r="H38" s="27" t="n">
        <f aca="false">G38*(1+$F39+($L39-$F39)*H$17/5)</f>
        <v>70.4891214880333</v>
      </c>
      <c r="I38" s="27" t="n">
        <f aca="false">H38*(1+$F39+($L39-$F39)*I$17/5)</f>
        <v>72.9107638875416</v>
      </c>
      <c r="J38" s="27" t="n">
        <f aca="false">I38*(1+$F39+($L39-$F39)*J$17/5)</f>
        <v>75.0745672029138</v>
      </c>
      <c r="K38" s="27" t="n">
        <f aca="false">J38*(1+$F39+($L39-$F39)*K$17/5)</f>
        <v>76.9514313829866</v>
      </c>
      <c r="L38" s="27" t="n">
        <f aca="false">K38*(1+L39)</f>
        <v>78.8752171675613</v>
      </c>
    </row>
    <row r="39" customFormat="false" ht="15" hidden="false" customHeight="false" outlineLevel="0" collapsed="false">
      <c r="A39" s="0" t="s">
        <v>101</v>
      </c>
      <c r="B39" s="6" t="n">
        <f aca="false">B38/$B$12-1</f>
        <v>0.0425055928411635</v>
      </c>
      <c r="C39" s="6" t="n">
        <f aca="false">C38/B38-1</f>
        <v>-0.0271816881258942</v>
      </c>
      <c r="D39" s="6" t="n">
        <f aca="false">D38/C38-1</f>
        <v>-0.0735294117647058</v>
      </c>
      <c r="E39" s="6" t="n">
        <f aca="false">E38/D38-1</f>
        <v>-0.0158730158730159</v>
      </c>
      <c r="F39" s="6" t="n">
        <f aca="false">F38/E38-1</f>
        <v>0.0483870967741935</v>
      </c>
      <c r="G39" s="6" t="n">
        <f aca="false">G38/F38-1</f>
        <v>0.0437096774193548</v>
      </c>
      <c r="H39" s="6" t="n">
        <f aca="false">H38/G38-1</f>
        <v>0.0390322580645162</v>
      </c>
      <c r="I39" s="6" t="n">
        <f aca="false">I38/H38-1</f>
        <v>0.0343548387096775</v>
      </c>
      <c r="J39" s="6" t="n">
        <f aca="false">J38/I38-1</f>
        <v>0.0296774193548388</v>
      </c>
      <c r="K39" s="6" t="n">
        <f aca="false">K38/J38-1</f>
        <v>0.0249999999999999</v>
      </c>
      <c r="L39" s="28" t="n">
        <v>0.025</v>
      </c>
    </row>
    <row r="40" customFormat="false" ht="15" hidden="false" customHeight="false" outlineLevel="0" collapsed="false">
      <c r="A40" s="0" t="s">
        <v>102</v>
      </c>
      <c r="B40" s="29" t="n">
        <v>0.405</v>
      </c>
      <c r="C40" s="29" t="n">
        <v>0.39</v>
      </c>
      <c r="D40" s="29" t="n">
        <v>0.36</v>
      </c>
      <c r="E40" s="29" t="n">
        <v>0.35</v>
      </c>
      <c r="F40" s="29" t="n">
        <v>0.355</v>
      </c>
      <c r="G40" s="6" t="n">
        <f aca="false">$F40+($L40-$F40)*G$17/5</f>
        <v>0.35</v>
      </c>
      <c r="H40" s="6" t="n">
        <f aca="false">$F40+($L40-$F40)*H$17/5</f>
        <v>0.345</v>
      </c>
      <c r="I40" s="6" t="n">
        <f aca="false">$F40+($L40-$F40)*I$17/5</f>
        <v>0.34</v>
      </c>
      <c r="J40" s="6" t="n">
        <f aca="false">$F40+($L40-$F40)*J$17/5</f>
        <v>0.335</v>
      </c>
      <c r="K40" s="6" t="n">
        <f aca="false">$F40+($L40-$F40)*K$17/5</f>
        <v>0.33</v>
      </c>
      <c r="L40" s="28" t="n">
        <v>0.33</v>
      </c>
    </row>
    <row r="41" customFormat="false" ht="15" hidden="false" customHeight="false" outlineLevel="0" collapsed="false">
      <c r="A41" s="0" t="s">
        <v>103</v>
      </c>
      <c r="B41" s="27" t="n">
        <f aca="false">B38*B40</f>
        <v>28.3095</v>
      </c>
      <c r="C41" s="27" t="n">
        <f aca="false">C38*C40</f>
        <v>26.52</v>
      </c>
      <c r="D41" s="27" t="n">
        <f aca="false">D38*D40</f>
        <v>22.68</v>
      </c>
      <c r="E41" s="27" t="n">
        <f aca="false">E38*E40</f>
        <v>21.7</v>
      </c>
      <c r="F41" s="27" t="n">
        <f aca="false">F38*F40</f>
        <v>23.075</v>
      </c>
      <c r="G41" s="27" t="n">
        <f aca="false">G38*G40</f>
        <v>23.7443951612903</v>
      </c>
      <c r="H41" s="27" t="n">
        <f aca="false">H38*H40</f>
        <v>24.3187469133715</v>
      </c>
      <c r="I41" s="27" t="n">
        <f aca="false">I38*I40</f>
        <v>24.7896597217641</v>
      </c>
      <c r="J41" s="27" t="n">
        <f aca="false">J38*J40</f>
        <v>25.1499800129761</v>
      </c>
      <c r="K41" s="27" t="n">
        <f aca="false">K38*K40</f>
        <v>25.3939723563856</v>
      </c>
      <c r="L41" s="27" t="n">
        <f aca="false">L38*L40</f>
        <v>26.0288216652952</v>
      </c>
    </row>
    <row r="42" customFormat="false" ht="15" hidden="false" customHeight="false" outlineLevel="0" collapsed="false">
      <c r="A42" s="0" t="s">
        <v>104</v>
      </c>
      <c r="B42" s="27" t="n">
        <f aca="false">B41*(1-$B$9)</f>
        <v>24.063075</v>
      </c>
      <c r="C42" s="27" t="n">
        <f aca="false">C41*(1-$B$9)</f>
        <v>22.542</v>
      </c>
      <c r="D42" s="27" t="n">
        <f aca="false">D41*(1-$B$9)</f>
        <v>19.278</v>
      </c>
      <c r="E42" s="27" t="n">
        <f aca="false">E41*(1-$B$9)</f>
        <v>18.445</v>
      </c>
      <c r="F42" s="27" t="n">
        <f aca="false">F41*(1-$B$9)</f>
        <v>19.61375</v>
      </c>
      <c r="G42" s="27" t="n">
        <f aca="false">G41*(1-$B$9)</f>
        <v>20.1827358870968</v>
      </c>
      <c r="H42" s="27" t="n">
        <f aca="false">H41*(1-$B$9)</f>
        <v>20.6709348763658</v>
      </c>
      <c r="I42" s="27" t="n">
        <f aca="false">I41*(1-$B$9)</f>
        <v>21.0712107634995</v>
      </c>
      <c r="J42" s="27" t="n">
        <f aca="false">J41*(1-$B$9)</f>
        <v>21.3774830110297</v>
      </c>
      <c r="K42" s="27" t="n">
        <f aca="false">K41*(1-$B$9)</f>
        <v>21.5848765029277</v>
      </c>
      <c r="L42" s="27" t="n">
        <f aca="false">L41*(1-$B$9)</f>
        <v>22.1244984155009</v>
      </c>
    </row>
    <row r="43" customFormat="false" ht="15" hidden="false" customHeight="false" outlineLevel="0" collapsed="false">
      <c r="A43" s="0" t="s">
        <v>105</v>
      </c>
      <c r="B43" s="29" t="n">
        <v>0.05</v>
      </c>
      <c r="C43" s="29" t="n">
        <v>0.05</v>
      </c>
      <c r="D43" s="29" t="n">
        <v>0.05</v>
      </c>
      <c r="E43" s="29" t="n">
        <v>0.05</v>
      </c>
      <c r="F43" s="29" t="n">
        <v>0.05</v>
      </c>
      <c r="G43" s="6" t="n">
        <f aca="false">$F43+($L43-$F43)*G$17/5</f>
        <v>0.048</v>
      </c>
      <c r="H43" s="6" t="n">
        <f aca="false">$F43+($L43-$F43)*H$17/5</f>
        <v>0.046</v>
      </c>
      <c r="I43" s="6" t="n">
        <f aca="false">$F43+($L43-$F43)*I$17/5</f>
        <v>0.044</v>
      </c>
      <c r="J43" s="6" t="n">
        <f aca="false">$F43+($L43-$F43)*J$17/5</f>
        <v>0.042</v>
      </c>
      <c r="K43" s="6" t="n">
        <f aca="false">$F43+($L43-$F43)*K$17/5</f>
        <v>0.04</v>
      </c>
      <c r="L43" s="28" t="n">
        <v>0.04</v>
      </c>
    </row>
    <row r="44" customFormat="false" ht="15" hidden="false" customHeight="false" outlineLevel="0" collapsed="false">
      <c r="A44" s="0" t="s">
        <v>106</v>
      </c>
      <c r="B44" s="27" t="n">
        <f aca="false">B38*B43</f>
        <v>3.495</v>
      </c>
      <c r="C44" s="27" t="n">
        <f aca="false">C38*C43</f>
        <v>3.4</v>
      </c>
      <c r="D44" s="27" t="n">
        <f aca="false">D38*D43</f>
        <v>3.15</v>
      </c>
      <c r="E44" s="27" t="n">
        <f aca="false">E38*E43</f>
        <v>3.1</v>
      </c>
      <c r="F44" s="27" t="n">
        <f aca="false">F38*F43</f>
        <v>3.25</v>
      </c>
      <c r="G44" s="27" t="n">
        <f aca="false">G38*G43</f>
        <v>3.25637419354839</v>
      </c>
      <c r="H44" s="27" t="n">
        <f aca="false">H38*H43</f>
        <v>3.24249958844953</v>
      </c>
      <c r="I44" s="27" t="n">
        <f aca="false">I38*I43</f>
        <v>3.20807361105183</v>
      </c>
      <c r="J44" s="27" t="n">
        <f aca="false">J38*J43</f>
        <v>3.15313182252238</v>
      </c>
      <c r="K44" s="27" t="n">
        <f aca="false">K38*K43</f>
        <v>3.07805725531946</v>
      </c>
      <c r="L44" s="27" t="n">
        <f aca="false">L38*L43</f>
        <v>3.15500868670245</v>
      </c>
    </row>
    <row r="45" customFormat="false" ht="15" hidden="false" customHeight="false" outlineLevel="0" collapsed="false">
      <c r="A45" s="0" t="s">
        <v>107</v>
      </c>
      <c r="B45" s="27" t="n">
        <f aca="false">$B$11*(B38-$B$12)</f>
        <v>0.285000000000001</v>
      </c>
      <c r="C45" s="27" t="n">
        <f aca="false">$B$11*(C38-B38)</f>
        <v>-0.190000000000001</v>
      </c>
      <c r="D45" s="27" t="n">
        <f aca="false">$B$11*(D38-C38)</f>
        <v>-0.5</v>
      </c>
      <c r="E45" s="27" t="n">
        <f aca="false">$B$11*(E38-D38)</f>
        <v>-0.1</v>
      </c>
      <c r="F45" s="27" t="n">
        <f aca="false">$B$11*(F38-E38)</f>
        <v>0.3</v>
      </c>
      <c r="G45" s="27" t="n">
        <f aca="false">$B$11*(G38-F38)</f>
        <v>0.284112903225807</v>
      </c>
      <c r="H45" s="27" t="n">
        <f aca="false">$B$11*(H38-G38)</f>
        <v>0.264799245577524</v>
      </c>
      <c r="I45" s="27" t="n">
        <f aca="false">$B$11*(I38-H38)</f>
        <v>0.242164239950824</v>
      </c>
      <c r="J45" s="27" t="n">
        <f aca="false">$B$11*(J38-I38)</f>
        <v>0.216380331537221</v>
      </c>
      <c r="K45" s="27" t="n">
        <f aca="false">$B$11*(K38-J38)</f>
        <v>0.187686418007284</v>
      </c>
      <c r="L45" s="27" t="n">
        <f aca="false">$B$11*(L38-K38)</f>
        <v>0.192378578457466</v>
      </c>
    </row>
    <row r="46" customFormat="false" ht="15" hidden="false" customHeight="false" outlineLevel="0" collapsed="false">
      <c r="A46" s="0" t="s">
        <v>108</v>
      </c>
      <c r="B46" s="27" t="n">
        <f aca="false">B42-B44-B45</f>
        <v>20.283075</v>
      </c>
      <c r="C46" s="27" t="n">
        <f aca="false">C42-C44-C45</f>
        <v>19.332</v>
      </c>
      <c r="D46" s="27" t="n">
        <f aca="false">D42-D44-D45</f>
        <v>16.628</v>
      </c>
      <c r="E46" s="27" t="n">
        <f aca="false">E42-E44-E45</f>
        <v>15.445</v>
      </c>
      <c r="F46" s="27" t="n">
        <f aca="false">F42-F44-F45</f>
        <v>16.06375</v>
      </c>
      <c r="G46" s="27" t="n">
        <f aca="false">G42-G44-G45</f>
        <v>16.6422487903226</v>
      </c>
      <c r="H46" s="27" t="n">
        <f aca="false">H42-H44-H45</f>
        <v>17.1636360423387</v>
      </c>
      <c r="I46" s="27" t="n">
        <f aca="false">I42-I44-I45</f>
        <v>17.6209729124969</v>
      </c>
      <c r="J46" s="27" t="n">
        <f aca="false">J42-J44-J45</f>
        <v>18.0079708569701</v>
      </c>
      <c r="K46" s="27" t="n">
        <f aca="false">K42-K44-K45</f>
        <v>18.319132829601</v>
      </c>
      <c r="L46" s="27" t="n">
        <f aca="false">L42-L44-L45</f>
        <v>18.777111150341</v>
      </c>
    </row>
    <row r="47" customFormat="false" ht="15" hidden="false" customHeight="false" outlineLevel="0" collapsed="false">
      <c r="A47" s="0" t="s">
        <v>109</v>
      </c>
      <c r="B47" s="30" t="n">
        <f aca="false">1/(1+$B$10)^B$16</f>
        <v>0.962250448649376</v>
      </c>
      <c r="C47" s="30" t="n">
        <f aca="false">1/(1+$B$10)^C$16</f>
        <v>0.890972637638311</v>
      </c>
      <c r="D47" s="30" t="n">
        <f aca="false">1/(1+$B$10)^D$16</f>
        <v>0.824974664479918</v>
      </c>
      <c r="E47" s="30" t="n">
        <f aca="false">1/(1+$B$10)^E$16</f>
        <v>0.763865430073998</v>
      </c>
      <c r="F47" s="30" t="n">
        <f aca="false">1/(1+$B$10)^F$16</f>
        <v>0.707282805624072</v>
      </c>
      <c r="G47" s="30" t="n">
        <f aca="false">1/(1+$B$10)^G$16</f>
        <v>0.654891486688956</v>
      </c>
      <c r="H47" s="30" t="n">
        <f aca="false">1/(1+$B$10)^H$16</f>
        <v>0.606381006193477</v>
      </c>
      <c r="I47" s="30" t="n">
        <f aca="false">1/(1+$B$10)^I$16</f>
        <v>0.56146389462359</v>
      </c>
      <c r="J47" s="30" t="n">
        <f aca="false">1/(1+$B$10)^J$16</f>
        <v>0.519873976503324</v>
      </c>
      <c r="K47" s="30" t="n">
        <f aca="false">1/(1+$B$10)^K$16</f>
        <v>0.481364793058633</v>
      </c>
    </row>
    <row r="48" customFormat="false" ht="15" hidden="false" customHeight="false" outlineLevel="0" collapsed="false">
      <c r="A48" s="0" t="s">
        <v>110</v>
      </c>
      <c r="B48" s="27" t="n">
        <f aca="false">B46*B47</f>
        <v>19.5173980187389</v>
      </c>
      <c r="C48" s="27" t="n">
        <f aca="false">C46*C47</f>
        <v>17.2242830308238</v>
      </c>
      <c r="D48" s="27" t="n">
        <f aca="false">D46*D47</f>
        <v>13.7176787209721</v>
      </c>
      <c r="E48" s="27" t="n">
        <f aca="false">E46*E47</f>
        <v>11.7979015674929</v>
      </c>
      <c r="F48" s="27" t="n">
        <f aca="false">F46*F47</f>
        <v>11.3616141688437</v>
      </c>
      <c r="G48" s="27" t="n">
        <f aca="false">G46*G47</f>
        <v>10.8988670521418</v>
      </c>
      <c r="H48" s="27" t="n">
        <f aca="false">H46*H47</f>
        <v>10.407702893292</v>
      </c>
      <c r="I48" s="27" t="n">
        <f aca="false">I46*I47</f>
        <v>9.89354007850727</v>
      </c>
      <c r="J48" s="27" t="n">
        <f aca="false">J46*J47</f>
        <v>9.36187541816902</v>
      </c>
      <c r="K48" s="27" t="n">
        <f aca="false">K46*K47</f>
        <v>8.8181855835345</v>
      </c>
      <c r="L48" s="27"/>
    </row>
    <row r="49" customFormat="false" ht="15" hidden="false" customHeight="false" outlineLevel="0" collapsed="false">
      <c r="A49" s="0" t="s">
        <v>111</v>
      </c>
      <c r="B49" s="27" t="n">
        <f aca="false">L46/($B$10-L39)</f>
        <v>341.402020915291</v>
      </c>
      <c r="C49" s="0" t="str">
        <f aca="false">IF($B$10&gt;L39,"","Discount rate must exceed terminal growth")</f>
        <v/>
      </c>
    </row>
    <row r="50" customFormat="false" ht="15" hidden="false" customHeight="false" outlineLevel="0" collapsed="false">
      <c r="A50" s="0" t="s">
        <v>112</v>
      </c>
      <c r="B50" s="27" t="n">
        <f aca="false">B49/(1+$B$10)^$K$16</f>
        <v>164.338913147688</v>
      </c>
    </row>
    <row r="51" customFormat="false" ht="15" hidden="false" customHeight="false" outlineLevel="0" collapsed="false">
      <c r="A51" s="0" t="s">
        <v>113</v>
      </c>
      <c r="B51" s="27" t="n">
        <f aca="false">SUM(B48:K48)+B50+$B$7+$B$8</f>
        <v>240.567959680204</v>
      </c>
    </row>
    <row r="52" customFormat="false" ht="15" hidden="false" customHeight="false" outlineLevel="0" collapsed="false">
      <c r="A52" s="0" t="s">
        <v>114</v>
      </c>
      <c r="B52" s="31" t="n">
        <f aca="false">B51/$B$6</f>
        <v>97.5064687419765</v>
      </c>
    </row>
    <row r="53" customFormat="false" ht="15" hidden="false" customHeight="false" outlineLevel="0" collapsed="false">
      <c r="A53" s="0" t="s">
        <v>115</v>
      </c>
      <c r="B53" s="6" t="n">
        <f aca="false">B52/$B$4-1</f>
        <v>-0.32498117866406</v>
      </c>
    </row>
    <row r="55" customFormat="false" ht="15" hidden="false" customHeight="false" outlineLevel="0" collapsed="false">
      <c r="A55" s="10" t="s">
        <v>151</v>
      </c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</row>
    <row r="56" customFormat="false" ht="15" hidden="false" customHeight="false" outlineLevel="0" collapsed="false">
      <c r="A56" s="0" t="s">
        <v>100</v>
      </c>
      <c r="B56" s="21" t="n">
        <v>70.5</v>
      </c>
      <c r="C56" s="21" t="n">
        <v>71</v>
      </c>
      <c r="D56" s="21" t="n">
        <v>69</v>
      </c>
      <c r="E56" s="21" t="n">
        <v>71</v>
      </c>
      <c r="F56" s="21" t="n">
        <v>75</v>
      </c>
      <c r="G56" s="27" t="n">
        <f aca="false">F56*(1+$F57+($L57-$F57)*G$17/5)</f>
        <v>78.8302816901408</v>
      </c>
      <c r="H56" s="27" t="n">
        <f aca="false">G56*(1+$F57+($L57-$F57)*H$17/5)</f>
        <v>82.4409306486808</v>
      </c>
      <c r="I56" s="27" t="n">
        <f aca="false">H56*(1+$F57+($L57-$F57)*I$17/5)</f>
        <v>85.7826911896231</v>
      </c>
      <c r="J56" s="27" t="n">
        <f aca="false">I56*(1+$F57+($L57-$F57)*J$17/5)</f>
        <v>88.808041312705</v>
      </c>
      <c r="K56" s="27" t="n">
        <f aca="false">J56*(1+$F57+($L57-$F57)*K$17/5)</f>
        <v>91.4722825520862</v>
      </c>
      <c r="L56" s="27" t="n">
        <f aca="false">K56*(1+L57)</f>
        <v>94.2164510286488</v>
      </c>
    </row>
    <row r="57" customFormat="false" ht="15" hidden="false" customHeight="false" outlineLevel="0" collapsed="false">
      <c r="A57" s="0" t="s">
        <v>101</v>
      </c>
      <c r="B57" s="6" t="n">
        <f aca="false">B56/$B$12-1</f>
        <v>0.051454138702461</v>
      </c>
      <c r="C57" s="6" t="n">
        <f aca="false">C56/B56-1</f>
        <v>0.00709219858156018</v>
      </c>
      <c r="D57" s="6" t="n">
        <f aca="false">D56/C56-1</f>
        <v>-0.028169014084507</v>
      </c>
      <c r="E57" s="6" t="n">
        <f aca="false">E56/D56-1</f>
        <v>0.0289855072463767</v>
      </c>
      <c r="F57" s="6" t="n">
        <f aca="false">F56/E56-1</f>
        <v>0.056338028169014</v>
      </c>
      <c r="G57" s="6" t="n">
        <f aca="false">G56/F56-1</f>
        <v>0.0510704225352112</v>
      </c>
      <c r="H57" s="6" t="n">
        <f aca="false">H56/G56-1</f>
        <v>0.0458028169014084</v>
      </c>
      <c r="I57" s="6" t="n">
        <f aca="false">I56/H56-1</f>
        <v>0.0405352112676056</v>
      </c>
      <c r="J57" s="6" t="n">
        <f aca="false">J56/I56-1</f>
        <v>0.0352676056338028</v>
      </c>
      <c r="K57" s="6" t="n">
        <f aca="false">K56/J56-1</f>
        <v>0.03</v>
      </c>
      <c r="L57" s="28" t="n">
        <v>0.03</v>
      </c>
    </row>
    <row r="58" customFormat="false" ht="15" hidden="false" customHeight="false" outlineLevel="0" collapsed="false">
      <c r="A58" s="0" t="s">
        <v>102</v>
      </c>
      <c r="B58" s="29" t="n">
        <v>0.41</v>
      </c>
      <c r="C58" s="29" t="n">
        <v>0.405</v>
      </c>
      <c r="D58" s="29" t="n">
        <v>0.39</v>
      </c>
      <c r="E58" s="29" t="n">
        <v>0.385</v>
      </c>
      <c r="F58" s="29" t="n">
        <v>0.385</v>
      </c>
      <c r="G58" s="6" t="n">
        <f aca="false">$F58+($L58-$F58)*G$17/5</f>
        <v>0.38</v>
      </c>
      <c r="H58" s="6" t="n">
        <f aca="false">$F58+($L58-$F58)*H$17/5</f>
        <v>0.375</v>
      </c>
      <c r="I58" s="6" t="n">
        <f aca="false">$F58+($L58-$F58)*I$17/5</f>
        <v>0.37</v>
      </c>
      <c r="J58" s="6" t="n">
        <f aca="false">$F58+($L58-$F58)*J$17/5</f>
        <v>0.365</v>
      </c>
      <c r="K58" s="6" t="n">
        <f aca="false">$F58+($L58-$F58)*K$17/5</f>
        <v>0.36</v>
      </c>
      <c r="L58" s="28" t="n">
        <v>0.36</v>
      </c>
    </row>
    <row r="59" customFormat="false" ht="15" hidden="false" customHeight="false" outlineLevel="0" collapsed="false">
      <c r="A59" s="0" t="s">
        <v>103</v>
      </c>
      <c r="B59" s="27" t="n">
        <f aca="false">B56*B58</f>
        <v>28.905</v>
      </c>
      <c r="C59" s="27" t="n">
        <f aca="false">C56*C58</f>
        <v>28.755</v>
      </c>
      <c r="D59" s="27" t="n">
        <f aca="false">D56*D58</f>
        <v>26.91</v>
      </c>
      <c r="E59" s="27" t="n">
        <f aca="false">E56*E58</f>
        <v>27.335</v>
      </c>
      <c r="F59" s="27" t="n">
        <f aca="false">F56*F58</f>
        <v>28.875</v>
      </c>
      <c r="G59" s="27" t="n">
        <f aca="false">G56*G58</f>
        <v>29.9555070422535</v>
      </c>
      <c r="H59" s="27" t="n">
        <f aca="false">H56*H58</f>
        <v>30.9153489932553</v>
      </c>
      <c r="I59" s="27" t="n">
        <f aca="false">I56*I58</f>
        <v>31.7395957401606</v>
      </c>
      <c r="J59" s="27" t="n">
        <f aca="false">J56*J58</f>
        <v>32.4149350791373</v>
      </c>
      <c r="K59" s="27" t="n">
        <f aca="false">K56*K58</f>
        <v>32.930021718751</v>
      </c>
      <c r="L59" s="27" t="n">
        <f aca="false">L56*L58</f>
        <v>33.9179223703136</v>
      </c>
    </row>
    <row r="60" customFormat="false" ht="15" hidden="false" customHeight="false" outlineLevel="0" collapsed="false">
      <c r="A60" s="0" t="s">
        <v>104</v>
      </c>
      <c r="B60" s="27" t="n">
        <f aca="false">B59*(1-$B$9)</f>
        <v>24.56925</v>
      </c>
      <c r="C60" s="27" t="n">
        <f aca="false">C59*(1-$B$9)</f>
        <v>24.44175</v>
      </c>
      <c r="D60" s="27" t="n">
        <f aca="false">D59*(1-$B$9)</f>
        <v>22.8735</v>
      </c>
      <c r="E60" s="27" t="n">
        <f aca="false">E59*(1-$B$9)</f>
        <v>23.23475</v>
      </c>
      <c r="F60" s="27" t="n">
        <f aca="false">F59*(1-$B$9)</f>
        <v>24.54375</v>
      </c>
      <c r="G60" s="27" t="n">
        <f aca="false">G59*(1-$B$9)</f>
        <v>25.4621809859155</v>
      </c>
      <c r="H60" s="27" t="n">
        <f aca="false">H59*(1-$B$9)</f>
        <v>26.278046644267</v>
      </c>
      <c r="I60" s="27" t="n">
        <f aca="false">I59*(1-$B$9)</f>
        <v>26.9786563791365</v>
      </c>
      <c r="J60" s="27" t="n">
        <f aca="false">J59*(1-$B$9)</f>
        <v>27.5526948172667</v>
      </c>
      <c r="K60" s="27" t="n">
        <f aca="false">K59*(1-$B$9)</f>
        <v>27.9905184609384</v>
      </c>
      <c r="L60" s="27" t="n">
        <f aca="false">L59*(1-$B$9)</f>
        <v>28.8302340147665</v>
      </c>
    </row>
    <row r="61" customFormat="false" ht="15" hidden="false" customHeight="false" outlineLevel="0" collapsed="false">
      <c r="A61" s="0" t="s">
        <v>105</v>
      </c>
      <c r="B61" s="29" t="n">
        <v>0.05</v>
      </c>
      <c r="C61" s="29" t="n">
        <v>0.05</v>
      </c>
      <c r="D61" s="29" t="n">
        <v>0.05</v>
      </c>
      <c r="E61" s="29" t="n">
        <v>0.05</v>
      </c>
      <c r="F61" s="29" t="n">
        <v>0.05</v>
      </c>
      <c r="G61" s="6" t="n">
        <f aca="false">$F61+($L61-$F61)*G$17/5</f>
        <v>0.048</v>
      </c>
      <c r="H61" s="6" t="n">
        <f aca="false">$F61+($L61-$F61)*H$17/5</f>
        <v>0.046</v>
      </c>
      <c r="I61" s="6" t="n">
        <f aca="false">$F61+($L61-$F61)*I$17/5</f>
        <v>0.044</v>
      </c>
      <c r="J61" s="6" t="n">
        <f aca="false">$F61+($L61-$F61)*J$17/5</f>
        <v>0.042</v>
      </c>
      <c r="K61" s="6" t="n">
        <f aca="false">$F61+($L61-$F61)*K$17/5</f>
        <v>0.04</v>
      </c>
      <c r="L61" s="28" t="n">
        <v>0.04</v>
      </c>
    </row>
    <row r="62" customFormat="false" ht="15" hidden="false" customHeight="false" outlineLevel="0" collapsed="false">
      <c r="A62" s="0" t="s">
        <v>106</v>
      </c>
      <c r="B62" s="27" t="n">
        <f aca="false">B56*B61</f>
        <v>3.525</v>
      </c>
      <c r="C62" s="27" t="n">
        <f aca="false">C56*C61</f>
        <v>3.55</v>
      </c>
      <c r="D62" s="27" t="n">
        <f aca="false">D56*D61</f>
        <v>3.45</v>
      </c>
      <c r="E62" s="27" t="n">
        <f aca="false">E56*E61</f>
        <v>3.55</v>
      </c>
      <c r="F62" s="27" t="n">
        <f aca="false">F56*F61</f>
        <v>3.75</v>
      </c>
      <c r="G62" s="27" t="n">
        <f aca="false">G56*G61</f>
        <v>3.78385352112676</v>
      </c>
      <c r="H62" s="27" t="n">
        <f aca="false">H56*H61</f>
        <v>3.79228280983932</v>
      </c>
      <c r="I62" s="27" t="n">
        <f aca="false">I56*I61</f>
        <v>3.77443841234342</v>
      </c>
      <c r="J62" s="27" t="n">
        <f aca="false">J56*J61</f>
        <v>3.72993773513361</v>
      </c>
      <c r="K62" s="27" t="n">
        <f aca="false">K56*K61</f>
        <v>3.65889130208345</v>
      </c>
      <c r="L62" s="27" t="n">
        <f aca="false">L56*L61</f>
        <v>3.76865804114595</v>
      </c>
    </row>
    <row r="63" customFormat="false" ht="15" hidden="false" customHeight="false" outlineLevel="0" collapsed="false">
      <c r="A63" s="0" t="s">
        <v>107</v>
      </c>
      <c r="B63" s="27" t="n">
        <f aca="false">$B$11*(B56-$B$12)</f>
        <v>0.345</v>
      </c>
      <c r="C63" s="27" t="n">
        <f aca="false">$B$11*(C56-B56)</f>
        <v>0.05</v>
      </c>
      <c r="D63" s="27" t="n">
        <f aca="false">$B$11*(D56-C56)</f>
        <v>-0.2</v>
      </c>
      <c r="E63" s="27" t="n">
        <f aca="false">$B$11*(E56-D56)</f>
        <v>0.2</v>
      </c>
      <c r="F63" s="27" t="n">
        <f aca="false">$B$11*(F56-E56)</f>
        <v>0.4</v>
      </c>
      <c r="G63" s="27" t="n">
        <f aca="false">$B$11*(G56-F56)</f>
        <v>0.383028169014084</v>
      </c>
      <c r="H63" s="27" t="n">
        <f aca="false">$B$11*(H56-G56)</f>
        <v>0.361064895853997</v>
      </c>
      <c r="I63" s="27" t="n">
        <f aca="false">$B$11*(I56-H56)</f>
        <v>0.33417605409423</v>
      </c>
      <c r="J63" s="27" t="n">
        <f aca="false">$B$11*(J56-I56)</f>
        <v>0.302535012308192</v>
      </c>
      <c r="K63" s="27" t="n">
        <f aca="false">$B$11*(K56-J56)</f>
        <v>0.266424123938116</v>
      </c>
      <c r="L63" s="27" t="n">
        <f aca="false">$B$11*(L56-K56)</f>
        <v>0.274416847656259</v>
      </c>
    </row>
    <row r="64" customFormat="false" ht="15" hidden="false" customHeight="false" outlineLevel="0" collapsed="false">
      <c r="A64" s="0" t="s">
        <v>108</v>
      </c>
      <c r="B64" s="27" t="n">
        <f aca="false">B60-B62-B63</f>
        <v>20.69925</v>
      </c>
      <c r="C64" s="27" t="n">
        <f aca="false">C60-C62-C63</f>
        <v>20.84175</v>
      </c>
      <c r="D64" s="27" t="n">
        <f aca="false">D60-D62-D63</f>
        <v>19.6235</v>
      </c>
      <c r="E64" s="27" t="n">
        <f aca="false">E60-E62-E63</f>
        <v>19.48475</v>
      </c>
      <c r="F64" s="27" t="n">
        <f aca="false">F60-F62-F63</f>
        <v>20.39375</v>
      </c>
      <c r="G64" s="27" t="n">
        <f aca="false">G60-G62-G63</f>
        <v>21.2952992957746</v>
      </c>
      <c r="H64" s="27" t="n">
        <f aca="false">H60-H62-H63</f>
        <v>22.1246989385737</v>
      </c>
      <c r="I64" s="27" t="n">
        <f aca="false">I60-I62-I63</f>
        <v>22.8700419126988</v>
      </c>
      <c r="J64" s="27" t="n">
        <f aca="false">J60-J62-J63</f>
        <v>23.5202220698249</v>
      </c>
      <c r="K64" s="27" t="n">
        <f aca="false">K60-K62-K63</f>
        <v>24.0652030349168</v>
      </c>
      <c r="L64" s="27" t="n">
        <f aca="false">L60-L62-L63</f>
        <v>24.7871591259643</v>
      </c>
    </row>
    <row r="65" customFormat="false" ht="15" hidden="false" customHeight="false" outlineLevel="0" collapsed="false">
      <c r="A65" s="0" t="s">
        <v>109</v>
      </c>
      <c r="B65" s="30" t="n">
        <f aca="false">1/(1+$B$10)^B$16</f>
        <v>0.962250448649376</v>
      </c>
      <c r="C65" s="30" t="n">
        <f aca="false">1/(1+$B$10)^C$16</f>
        <v>0.890972637638311</v>
      </c>
      <c r="D65" s="30" t="n">
        <f aca="false">1/(1+$B$10)^D$16</f>
        <v>0.824974664479918</v>
      </c>
      <c r="E65" s="30" t="n">
        <f aca="false">1/(1+$B$10)^E$16</f>
        <v>0.763865430073998</v>
      </c>
      <c r="F65" s="30" t="n">
        <f aca="false">1/(1+$B$10)^F$16</f>
        <v>0.707282805624072</v>
      </c>
      <c r="G65" s="30" t="n">
        <f aca="false">1/(1+$B$10)^G$16</f>
        <v>0.654891486688956</v>
      </c>
      <c r="H65" s="30" t="n">
        <f aca="false">1/(1+$B$10)^H$16</f>
        <v>0.606381006193477</v>
      </c>
      <c r="I65" s="30" t="n">
        <f aca="false">1/(1+$B$10)^I$16</f>
        <v>0.56146389462359</v>
      </c>
      <c r="J65" s="30" t="n">
        <f aca="false">1/(1+$B$10)^J$16</f>
        <v>0.519873976503324</v>
      </c>
      <c r="K65" s="30" t="n">
        <f aca="false">1/(1+$B$10)^K$16</f>
        <v>0.481364793058633</v>
      </c>
    </row>
    <row r="66" customFormat="false" ht="15" hidden="false" customHeight="false" outlineLevel="0" collapsed="false">
      <c r="A66" s="0" t="s">
        <v>110</v>
      </c>
      <c r="B66" s="27" t="n">
        <f aca="false">B64*B65</f>
        <v>19.9178625992056</v>
      </c>
      <c r="C66" s="27" t="n">
        <f aca="false">C64*C65</f>
        <v>18.5694289704983</v>
      </c>
      <c r="D66" s="27" t="n">
        <f aca="false">D64*D65</f>
        <v>16.1888903284217</v>
      </c>
      <c r="E66" s="27" t="n">
        <f aca="false">E64*E65</f>
        <v>14.8837269386343</v>
      </c>
      <c r="F66" s="27" t="n">
        <f aca="false">F64*F65</f>
        <v>14.4241487171959</v>
      </c>
      <c r="G66" s="27" t="n">
        <f aca="false">G64*G65</f>
        <v>13.9461102152961</v>
      </c>
      <c r="H66" s="27" t="n">
        <f aca="false">H64*H65</f>
        <v>13.4159972041001</v>
      </c>
      <c r="I66" s="27" t="n">
        <f aca="false">I64*I65</f>
        <v>12.8407028025086</v>
      </c>
      <c r="J66" s="27" t="n">
        <f aca="false">J64*J65</f>
        <v>12.2275513756811</v>
      </c>
      <c r="K66" s="27" t="n">
        <f aca="false">K64*K65</f>
        <v>11.5841414788167</v>
      </c>
      <c r="L66" s="27"/>
    </row>
    <row r="67" customFormat="false" ht="15" hidden="false" customHeight="false" outlineLevel="0" collapsed="false">
      <c r="A67" s="0" t="s">
        <v>111</v>
      </c>
      <c r="B67" s="27" t="n">
        <f aca="false">L64/($B$10-L57)</f>
        <v>495.743182519286</v>
      </c>
      <c r="C67" s="0" t="str">
        <f aca="false">IF($B$10&gt;L57,"","Discount rate must exceed terminal growth")</f>
        <v/>
      </c>
    </row>
    <row r="68" customFormat="false" ht="15" hidden="false" customHeight="false" outlineLevel="0" collapsed="false">
      <c r="A68" s="0" t="s">
        <v>112</v>
      </c>
      <c r="B68" s="27" t="n">
        <f aca="false">B67/(1+$B$10)^$K$16</f>
        <v>238.633314463625</v>
      </c>
    </row>
    <row r="69" customFormat="false" ht="15" hidden="false" customHeight="false" outlineLevel="0" collapsed="false">
      <c r="A69" s="0" t="s">
        <v>113</v>
      </c>
      <c r="B69" s="27" t="n">
        <f aca="false">SUM(B66:K66)+B68+$B$7+$B$8</f>
        <v>339.861875093983</v>
      </c>
    </row>
    <row r="70" customFormat="false" ht="15" hidden="false" customHeight="false" outlineLevel="0" collapsed="false">
      <c r="A70" s="0" t="s">
        <v>114</v>
      </c>
      <c r="B70" s="31" t="n">
        <f aca="false">B69/$B$6</f>
        <v>137.752057025771</v>
      </c>
    </row>
    <row r="71" customFormat="false" ht="15" hidden="false" customHeight="false" outlineLevel="0" collapsed="false">
      <c r="A71" s="0" t="s">
        <v>115</v>
      </c>
      <c r="B71" s="6" t="n">
        <f aca="false">B70/$B$4-1</f>
        <v>-0.0463685910296201</v>
      </c>
    </row>
    <row r="74" customFormat="false" ht="15" hidden="false" customHeight="false" outlineLevel="0" collapsed="false">
      <c r="A74" s="10" t="s">
        <v>118</v>
      </c>
      <c r="B74" s="26"/>
      <c r="C74" s="10" t="s">
        <v>119</v>
      </c>
      <c r="D74" s="26"/>
      <c r="E74" s="26"/>
      <c r="F74" s="26"/>
      <c r="G74" s="26"/>
      <c r="H74" s="26"/>
      <c r="I74" s="26"/>
      <c r="J74" s="26"/>
      <c r="K74" s="26"/>
      <c r="L74" s="26"/>
    </row>
    <row r="75" customFormat="false" ht="15" hidden="false" customHeight="false" outlineLevel="0" collapsed="false">
      <c r="A75" s="0" t="s">
        <v>120</v>
      </c>
      <c r="B75" s="7" t="n">
        <f aca="false">B34</f>
        <v>61.6604114183103</v>
      </c>
      <c r="C75" s="6" t="n">
        <f aca="false">B75/$B$4-1</f>
        <v>-0.573136646463757</v>
      </c>
    </row>
    <row r="76" customFormat="false" ht="15" hidden="false" customHeight="false" outlineLevel="0" collapsed="false">
      <c r="A76" s="0" t="s">
        <v>121</v>
      </c>
      <c r="B76" s="7" t="n">
        <f aca="false">B52</f>
        <v>97.5064687419765</v>
      </c>
      <c r="C76" s="6" t="n">
        <f aca="false">B76/$B$4-1</f>
        <v>-0.32498117866406</v>
      </c>
    </row>
    <row r="77" customFormat="false" ht="15" hidden="false" customHeight="false" outlineLevel="0" collapsed="false">
      <c r="A77" s="0" t="s">
        <v>122</v>
      </c>
      <c r="B77" s="7" t="n">
        <f aca="false">B70</f>
        <v>137.752057025771</v>
      </c>
      <c r="C77" s="6" t="n">
        <f aca="false">B77/$B$4-1</f>
        <v>-0.0463685910296201</v>
      </c>
    </row>
    <row r="78" customFormat="false" ht="15" hidden="false" customHeight="false" outlineLevel="0" collapsed="false">
      <c r="A78" s="0" t="s">
        <v>123</v>
      </c>
      <c r="B78" s="7" t="n">
        <f aca="false">INDEX(B34:B70,1+($B$13-1)*18)</f>
        <v>97.5064687419765</v>
      </c>
      <c r="C78" s="6" t="n">
        <f aca="false">B78/$B$4-1</f>
        <v>-0.32498117866406</v>
      </c>
    </row>
    <row r="79" customFormat="false" ht="15" hidden="false" customHeight="false" outlineLevel="0" collapsed="false">
      <c r="A79" s="0" t="s">
        <v>124</v>
      </c>
      <c r="B79" s="13" t="n">
        <f aca="false">B50/(SUM(B48:K48)+B50)</f>
        <v>0.571935964641048</v>
      </c>
    </row>
    <row r="81" customFormat="false" ht="15" hidden="false" customHeight="false" outlineLevel="0" collapsed="false">
      <c r="A81" s="23" t="s">
        <v>125</v>
      </c>
    </row>
    <row r="82" customFormat="false" ht="15" hidden="false" customHeight="false" outlineLevel="0" collapsed="false">
      <c r="A82" s="0" t="s">
        <v>5</v>
      </c>
      <c r="B82" s="9" t="n">
        <v>0.05</v>
      </c>
      <c r="C82" s="9" t="n">
        <v>0.06</v>
      </c>
      <c r="D82" s="9" t="n">
        <v>0.07</v>
      </c>
      <c r="E82" s="9" t="n">
        <v>0.08</v>
      </c>
      <c r="F82" s="9" t="n">
        <v>0.09</v>
      </c>
      <c r="G82" s="9" t="n">
        <v>0.1</v>
      </c>
      <c r="H82" s="9" t="n">
        <v>0.11</v>
      </c>
      <c r="I82" s="9" t="n">
        <v>0.12</v>
      </c>
      <c r="J82" s="9" t="n">
        <v>0.13</v>
      </c>
      <c r="K82" s="9" t="n">
        <v>0.14</v>
      </c>
    </row>
    <row r="83" customFormat="false" ht="15" hidden="false" customHeight="false" outlineLevel="0" collapsed="false">
      <c r="A83" s="0" t="s">
        <v>121</v>
      </c>
      <c r="B83" s="7" t="n">
        <f aca="false">IF(B82&gt;$L39,(SUMPRODUCT($B46:$K46/(1+B82)^$B$16:$K$16)+$L46/(B82-$L39)/(1+B82)^$K$16+$B$7+$B$8)/$B$6,"n/a")</f>
        <v>228.996531758663</v>
      </c>
      <c r="C83" s="7" t="n">
        <f aca="false">IF(C82&gt;$L39,(SUMPRODUCT($B46:$K46/(1+C82)^$B$16:$K$16)+$L46/(C82-$L39)/(1+C82)^$K$16+$B$7+$B$8)/$B$6,"n/a")</f>
        <v>160.149598522212</v>
      </c>
      <c r="D83" s="7" t="n">
        <f aca="false">IF(D82&gt;$L39,(SUMPRODUCT($B46:$K46/(1+D82)^$B$16:$K$16)+$L46/(D82-$L39)/(1+D82)^$K$16+$B$7+$B$8)/$B$6,"n/a")</f>
        <v>121.878577310002</v>
      </c>
      <c r="E83" s="7" t="n">
        <f aca="false">IF(E82&gt;$L39,(SUMPRODUCT($B46:$K46/(1+E82)^$B$16:$K$16)+$L46/(E82-$L39)/(1+E82)^$K$16+$B$7+$B$8)/$B$6,"n/a")</f>
        <v>97.5064687419765</v>
      </c>
      <c r="F83" s="7" t="n">
        <f aca="false">IF(F82&gt;$L39,(SUMPRODUCT($B46:$K46/(1+F82)^$B$16:$K$16)+$L46/(F82-$L39)/(1+F82)^$K$16+$B$7+$B$8)/$B$6,"n/a")</f>
        <v>80.6189964698097</v>
      </c>
      <c r="G83" s="7" t="n">
        <f aca="false">IF(G82&gt;$L39,(SUMPRODUCT($B46:$K46/(1+G82)^$B$16:$K$16)+$L46/(G82-$L39)/(1+G82)^$K$16+$B$7+$B$8)/$B$6,"n/a")</f>
        <v>68.2227956080602</v>
      </c>
      <c r="H83" s="7" t="n">
        <f aca="false">IF(H82&gt;$L39,(SUMPRODUCT($B46:$K46/(1+H82)^$B$16:$K$16)+$L46/(H82-$L39)/(1+H82)^$K$16+$B$7+$B$8)/$B$6,"n/a")</f>
        <v>58.7331148380881</v>
      </c>
      <c r="I83" s="7" t="n">
        <f aca="false">IF(I82&gt;$L39,(SUMPRODUCT($B46:$K46/(1+I82)^$B$16:$K$16)+$L46/(I82-$L39)/(1+I82)^$K$16+$B$7+$B$8)/$B$6,"n/a")</f>
        <v>51.2324432044647</v>
      </c>
      <c r="J83" s="7" t="n">
        <f aca="false">IF(J82&gt;$L39,(SUMPRODUCT($B46:$K46/(1+J82)^$B$16:$K$16)+$L46/(J82-$L39)/(1+J82)^$K$16+$B$7+$B$8)/$B$6,"n/a")</f>
        <v>45.1527785082995</v>
      </c>
      <c r="K83" s="7" t="n">
        <f aca="false">IF(K82&gt;$L39,(SUMPRODUCT($B46:$K46/(1+K82)^$B$16:$K$16)+$L46/(K82-$L39)/(1+K82)^$K$16+$B$7+$B$8)/$B$6,"n/a")</f>
        <v>40.1236685253177</v>
      </c>
    </row>
    <row r="84" customFormat="false" ht="15" hidden="false" customHeight="false" outlineLevel="0" collapsed="false">
      <c r="A84" s="0" t="s">
        <v>126</v>
      </c>
      <c r="B84" s="6" t="n">
        <f aca="false">IFERROR(B83/$B$4-1,"n/a")</f>
        <v>0.585299631420302</v>
      </c>
      <c r="C84" s="6" t="n">
        <f aca="false">IFERROR(C83/$B$4-1,"n/a")</f>
        <v>0.108685348025003</v>
      </c>
      <c r="D84" s="6" t="n">
        <f aca="false">IFERROR(D83/$B$4-1,"n/a")</f>
        <v>-0.156257685635153</v>
      </c>
      <c r="E84" s="6" t="n">
        <f aca="false">IFERROR(E83/$B$4-1,"n/a")</f>
        <v>-0.32498117866406</v>
      </c>
      <c r="F84" s="6" t="n">
        <f aca="false">IFERROR(F83/$B$4-1,"n/a")</f>
        <v>-0.441889951749327</v>
      </c>
      <c r="G84" s="6" t="n">
        <f aca="false">IFERROR(G83/$B$4-1,"n/a")</f>
        <v>-0.527706503232536</v>
      </c>
      <c r="H84" s="6" t="n">
        <f aca="false">IFERROR(H83/$B$4-1,"n/a")</f>
        <v>-0.593401766437604</v>
      </c>
      <c r="I84" s="6" t="n">
        <f aca="false">IFERROR(I83/$B$4-1,"n/a")</f>
        <v>-0.645327495988475</v>
      </c>
      <c r="J84" s="6" t="n">
        <f aca="false">IFERROR(J83/$B$4-1,"n/a")</f>
        <v>-0.687415863563174</v>
      </c>
      <c r="K84" s="6" t="n">
        <f aca="false">IFERROR(K83/$B$4-1,"n/a")</f>
        <v>-0.722231439769348</v>
      </c>
    </row>
    <row r="86" customFormat="false" ht="15" hidden="false" customHeight="false" outlineLevel="0" collapsed="false">
      <c r="A86" s="23" t="s">
        <v>127</v>
      </c>
      <c r="B86" s="17" t="n">
        <f aca="false">IFERROR(IF(MATCH($B$4,$B$83:$K$83,-1)=10,"above 14%",INDEX($B$82:$K$82,MATCH($B$4,$B$83:$K$83,-1))+(INDEX($B$83:$K$83,MATCH($B$4,$B$83:$K$83,-1))-$B$4)/(INDEX($B$83:$K$83,MATCH($B$4,$B$83:$K$83,-1))-INDEX($B$83:$K$83,MATCH($B$4,$B$83:$K$83,-1)+1))*(INDEX($B$82:$K$82,MATCH($B$4,$B$83:$K$83,-1)+1)-INDEX($B$82:$K$82,MATCH($B$4,$B$83:$K$83,-1)))),"below 5%")</f>
        <v>0.0641022157300582</v>
      </c>
      <c r="C86" s="2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12" min="2" style="0" width="11"/>
  </cols>
  <sheetData>
    <row r="1" customFormat="false" ht="16.15" hidden="false" customHeight="false" outlineLevel="0" collapsed="false">
      <c r="A1" s="1" t="s">
        <v>152</v>
      </c>
    </row>
    <row r="2" customFormat="false" ht="15" hidden="false" customHeight="false" outlineLevel="0" collapsed="false">
      <c r="A2" s="2" t="s">
        <v>65</v>
      </c>
    </row>
    <row r="4" customFormat="false" ht="15" hidden="false" customHeight="false" outlineLevel="0" collapsed="false">
      <c r="A4" s="0" t="s">
        <v>66</v>
      </c>
      <c r="B4" s="18" t="n">
        <v>198.91</v>
      </c>
      <c r="C4" s="2" t="s">
        <v>67</v>
      </c>
    </row>
    <row r="5" customFormat="false" ht="15" hidden="false" customHeight="false" outlineLevel="0" collapsed="false">
      <c r="A5" s="0" t="s">
        <v>68</v>
      </c>
      <c r="B5" s="19" t="s">
        <v>69</v>
      </c>
      <c r="C5" s="2" t="s">
        <v>70</v>
      </c>
    </row>
    <row r="6" customFormat="false" ht="15" hidden="false" customHeight="false" outlineLevel="0" collapsed="false">
      <c r="A6" s="0" t="s">
        <v>71</v>
      </c>
      <c r="B6" s="20" t="n">
        <v>0.27239</v>
      </c>
      <c r="C6" s="2" t="s">
        <v>72</v>
      </c>
    </row>
    <row r="7" customFormat="false" ht="15" hidden="false" customHeight="false" outlineLevel="0" collapsed="false">
      <c r="A7" s="0" t="s">
        <v>73</v>
      </c>
      <c r="B7" s="21" t="n">
        <v>-16.1</v>
      </c>
      <c r="C7" s="2" t="s">
        <v>74</v>
      </c>
    </row>
    <row r="8" customFormat="false" ht="15" hidden="false" customHeight="false" outlineLevel="0" collapsed="false">
      <c r="A8" s="0" t="s">
        <v>75</v>
      </c>
      <c r="B8" s="21" t="n">
        <v>0</v>
      </c>
      <c r="C8" s="2" t="s">
        <v>76</v>
      </c>
    </row>
    <row r="9" customFormat="false" ht="15" hidden="false" customHeight="false" outlineLevel="0" collapsed="false">
      <c r="A9" s="0" t="s">
        <v>47</v>
      </c>
      <c r="B9" s="9" t="n">
        <v>0.14</v>
      </c>
      <c r="C9" s="2" t="s">
        <v>77</v>
      </c>
    </row>
    <row r="10" customFormat="false" ht="15" hidden="false" customHeight="false" outlineLevel="0" collapsed="false">
      <c r="A10" s="0" t="s">
        <v>78</v>
      </c>
      <c r="B10" s="22" t="n">
        <f aca="false">WACC!E29</f>
        <v>0.08</v>
      </c>
      <c r="C10" s="2" t="s">
        <v>79</v>
      </c>
    </row>
    <row r="11" customFormat="false" ht="15" hidden="false" customHeight="false" outlineLevel="0" collapsed="false">
      <c r="A11" s="0" t="s">
        <v>80</v>
      </c>
      <c r="B11" s="9" t="n">
        <v>0.15</v>
      </c>
      <c r="C11" s="2" t="s">
        <v>26</v>
      </c>
    </row>
    <row r="12" customFormat="false" ht="15" hidden="false" customHeight="false" outlineLevel="0" collapsed="false">
      <c r="A12" s="0" t="s">
        <v>153</v>
      </c>
      <c r="B12" s="21" t="n">
        <v>19.28</v>
      </c>
      <c r="C12" s="2" t="s">
        <v>154</v>
      </c>
    </row>
    <row r="13" customFormat="false" ht="15" hidden="false" customHeight="false" outlineLevel="0" collapsed="false">
      <c r="A13" s="0" t="s">
        <v>83</v>
      </c>
      <c r="B13" s="8" t="n">
        <v>2</v>
      </c>
      <c r="C13" s="2" t="s">
        <v>84</v>
      </c>
    </row>
    <row r="15" customFormat="false" ht="15" hidden="false" customHeight="false" outlineLevel="0" collapsed="false">
      <c r="A15" s="23" t="s">
        <v>85</v>
      </c>
      <c r="B15" s="24" t="s">
        <v>155</v>
      </c>
      <c r="C15" s="24" t="s">
        <v>132</v>
      </c>
      <c r="D15" s="24" t="s">
        <v>133</v>
      </c>
      <c r="E15" s="24" t="s">
        <v>134</v>
      </c>
      <c r="F15" s="24" t="s">
        <v>135</v>
      </c>
      <c r="G15" s="24" t="s">
        <v>136</v>
      </c>
      <c r="H15" s="24" t="s">
        <v>137</v>
      </c>
      <c r="I15" s="24" t="s">
        <v>138</v>
      </c>
      <c r="J15" s="24" t="s">
        <v>139</v>
      </c>
      <c r="K15" s="24" t="s">
        <v>140</v>
      </c>
      <c r="L15" s="23" t="s">
        <v>96</v>
      </c>
    </row>
    <row r="16" customFormat="false" ht="15" hidden="false" customHeight="false" outlineLevel="0" collapsed="false">
      <c r="A16" s="0" t="s">
        <v>97</v>
      </c>
      <c r="B16" s="19" t="n">
        <v>0.5</v>
      </c>
      <c r="C16" s="25" t="n">
        <f aca="false">B16+1</f>
        <v>1.5</v>
      </c>
      <c r="D16" s="25" t="n">
        <f aca="false">C16+1</f>
        <v>2.5</v>
      </c>
      <c r="E16" s="25" t="n">
        <f aca="false">D16+1</f>
        <v>3.5</v>
      </c>
      <c r="F16" s="25" t="n">
        <f aca="false">E16+1</f>
        <v>4.5</v>
      </c>
      <c r="G16" s="25" t="n">
        <f aca="false">F16+1</f>
        <v>5.5</v>
      </c>
      <c r="H16" s="25" t="n">
        <f aca="false">G16+1</f>
        <v>6.5</v>
      </c>
      <c r="I16" s="25" t="n">
        <f aca="false">H16+1</f>
        <v>7.5</v>
      </c>
      <c r="J16" s="25" t="n">
        <f aca="false">I16+1</f>
        <v>8.5</v>
      </c>
      <c r="K16" s="25" t="n">
        <f aca="false">J16+1</f>
        <v>9.5</v>
      </c>
    </row>
    <row r="17" customFormat="false" ht="15" hidden="false" customHeight="false" outlineLevel="0" collapsed="false">
      <c r="A17" s="0" t="s">
        <v>98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2</v>
      </c>
      <c r="I17" s="0" t="n">
        <v>3</v>
      </c>
      <c r="J17" s="0" t="n">
        <v>4</v>
      </c>
      <c r="K17" s="0" t="n">
        <v>5</v>
      </c>
    </row>
    <row r="19" customFormat="false" ht="15" hidden="false" customHeight="false" outlineLevel="0" collapsed="false">
      <c r="A19" s="10" t="s">
        <v>156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</row>
    <row r="20" customFormat="false" ht="15" hidden="false" customHeight="false" outlineLevel="0" collapsed="false">
      <c r="A20" s="0" t="s">
        <v>100</v>
      </c>
      <c r="B20" s="21" t="n">
        <v>19.6</v>
      </c>
      <c r="C20" s="21" t="n">
        <v>20</v>
      </c>
      <c r="D20" s="21" t="n">
        <v>20.5</v>
      </c>
      <c r="E20" s="21" t="n">
        <v>21</v>
      </c>
      <c r="F20" s="21" t="n">
        <v>21.5</v>
      </c>
      <c r="G20" s="27" t="n">
        <f aca="false">F20*(1+$F21+($L21-$F21)*G$17/5)</f>
        <v>22.0170238095238</v>
      </c>
      <c r="H20" s="27" t="n">
        <f aca="false">G20*(1+$F21+($L21-$F21)*H$17/5)</f>
        <v>22.5517229591837</v>
      </c>
      <c r="I20" s="27" t="n">
        <f aca="false">H20*(1+$F21+($L21-$F21)*I$17/5)</f>
        <v>23.1047771174684</v>
      </c>
      <c r="J20" s="27" t="n">
        <f aca="false">I20*(1+$F21+($L21-$F21)*J$17/5)</f>
        <v>23.6768954079962</v>
      </c>
      <c r="K20" s="27" t="n">
        <f aca="false">J20*(1+$F21+($L21-$F21)*K$17/5)</f>
        <v>24.2688177931961</v>
      </c>
      <c r="L20" s="27" t="n">
        <f aca="false">K20*(1+L21)</f>
        <v>24.875538238026</v>
      </c>
    </row>
    <row r="21" customFormat="false" ht="15" hidden="false" customHeight="false" outlineLevel="0" collapsed="false">
      <c r="A21" s="0" t="s">
        <v>101</v>
      </c>
      <c r="B21" s="6" t="n">
        <f aca="false">B20/$B$12-1</f>
        <v>0.0165975103734439</v>
      </c>
      <c r="C21" s="6" t="n">
        <f aca="false">C20/B20-1</f>
        <v>0.0204081632653061</v>
      </c>
      <c r="D21" s="6" t="n">
        <f aca="false">D20/C20-1</f>
        <v>0.0249999999999999</v>
      </c>
      <c r="E21" s="6" t="n">
        <f aca="false">E20/D20-1</f>
        <v>0.024390243902439</v>
      </c>
      <c r="F21" s="6" t="n">
        <f aca="false">F20/E20-1</f>
        <v>0.0238095238095237</v>
      </c>
      <c r="G21" s="6" t="n">
        <f aca="false">G20/F20-1</f>
        <v>0.0240476190476189</v>
      </c>
      <c r="H21" s="6" t="n">
        <f aca="false">H20/G20-1</f>
        <v>0.0242857142857142</v>
      </c>
      <c r="I21" s="6" t="n">
        <f aca="false">I20/H20-1</f>
        <v>0.0245238095238094</v>
      </c>
      <c r="J21" s="6" t="n">
        <f aca="false">J20/I20-1</f>
        <v>0.0247619047619048</v>
      </c>
      <c r="K21" s="6" t="n">
        <f aca="false">K20/J20-1</f>
        <v>0.0249999999999999</v>
      </c>
      <c r="L21" s="28" t="n">
        <v>0.025</v>
      </c>
    </row>
    <row r="22" customFormat="false" ht="15" hidden="false" customHeight="false" outlineLevel="0" collapsed="false">
      <c r="A22" s="0" t="s">
        <v>102</v>
      </c>
      <c r="B22" s="29" t="n">
        <v>0.235</v>
      </c>
      <c r="C22" s="29" t="n">
        <v>0.235</v>
      </c>
      <c r="D22" s="29" t="n">
        <v>0.235</v>
      </c>
      <c r="E22" s="29" t="n">
        <v>0.235</v>
      </c>
      <c r="F22" s="29" t="n">
        <v>0.235</v>
      </c>
      <c r="G22" s="6" t="n">
        <f aca="false">$F22+($L22-$F22)*G$17/5</f>
        <v>0.234</v>
      </c>
      <c r="H22" s="6" t="n">
        <f aca="false">$F22+($L22-$F22)*H$17/5</f>
        <v>0.233</v>
      </c>
      <c r="I22" s="6" t="n">
        <f aca="false">$F22+($L22-$F22)*I$17/5</f>
        <v>0.232</v>
      </c>
      <c r="J22" s="6" t="n">
        <f aca="false">$F22+($L22-$F22)*J$17/5</f>
        <v>0.231</v>
      </c>
      <c r="K22" s="6" t="n">
        <f aca="false">$F22+($L22-$F22)*K$17/5</f>
        <v>0.23</v>
      </c>
      <c r="L22" s="28" t="n">
        <v>0.23</v>
      </c>
    </row>
    <row r="23" customFormat="false" ht="15" hidden="false" customHeight="false" outlineLevel="0" collapsed="false">
      <c r="A23" s="0" t="s">
        <v>103</v>
      </c>
      <c r="B23" s="27" t="n">
        <f aca="false">B20*B22</f>
        <v>4.606</v>
      </c>
      <c r="C23" s="27" t="n">
        <f aca="false">C20*C22</f>
        <v>4.7</v>
      </c>
      <c r="D23" s="27" t="n">
        <f aca="false">D20*D22</f>
        <v>4.8175</v>
      </c>
      <c r="E23" s="27" t="n">
        <f aca="false">E20*E22</f>
        <v>4.935</v>
      </c>
      <c r="F23" s="27" t="n">
        <f aca="false">F20*F22</f>
        <v>5.0525</v>
      </c>
      <c r="G23" s="27" t="n">
        <f aca="false">G20*G22</f>
        <v>5.15198357142857</v>
      </c>
      <c r="H23" s="27" t="n">
        <f aca="false">H20*H22</f>
        <v>5.25455144948979</v>
      </c>
      <c r="I23" s="27" t="n">
        <f aca="false">I20*I22</f>
        <v>5.36030829125267</v>
      </c>
      <c r="J23" s="27" t="n">
        <f aca="false">J20*J22</f>
        <v>5.46936283924712</v>
      </c>
      <c r="K23" s="27" t="n">
        <f aca="false">K20*K22</f>
        <v>5.5818280924351</v>
      </c>
      <c r="L23" s="27" t="n">
        <f aca="false">L20*L22</f>
        <v>5.72137379474598</v>
      </c>
    </row>
    <row r="24" customFormat="false" ht="15" hidden="false" customHeight="false" outlineLevel="0" collapsed="false">
      <c r="A24" s="0" t="s">
        <v>104</v>
      </c>
      <c r="B24" s="27" t="n">
        <f aca="false">B23*(1-$B$9)</f>
        <v>3.96116</v>
      </c>
      <c r="C24" s="27" t="n">
        <f aca="false">C23*(1-$B$9)</f>
        <v>4.042</v>
      </c>
      <c r="D24" s="27" t="n">
        <f aca="false">D23*(1-$B$9)</f>
        <v>4.14305</v>
      </c>
      <c r="E24" s="27" t="n">
        <f aca="false">E23*(1-$B$9)</f>
        <v>4.2441</v>
      </c>
      <c r="F24" s="27" t="n">
        <f aca="false">F23*(1-$B$9)</f>
        <v>4.34515</v>
      </c>
      <c r="G24" s="27" t="n">
        <f aca="false">G23*(1-$B$9)</f>
        <v>4.43070587142857</v>
      </c>
      <c r="H24" s="27" t="n">
        <f aca="false">H23*(1-$B$9)</f>
        <v>4.51891424656122</v>
      </c>
      <c r="I24" s="27" t="n">
        <f aca="false">I23*(1-$B$9)</f>
        <v>4.6098651304773</v>
      </c>
      <c r="J24" s="27" t="n">
        <f aca="false">J23*(1-$B$9)</f>
        <v>4.70365204175252</v>
      </c>
      <c r="K24" s="27" t="n">
        <f aca="false">K23*(1-$B$9)</f>
        <v>4.80037215949419</v>
      </c>
      <c r="L24" s="27" t="n">
        <f aca="false">L23*(1-$B$9)</f>
        <v>4.92038146348154</v>
      </c>
    </row>
    <row r="25" customFormat="false" ht="15" hidden="false" customHeight="false" outlineLevel="0" collapsed="false">
      <c r="A25" s="0" t="s">
        <v>105</v>
      </c>
      <c r="B25" s="29" t="n">
        <v>0.03</v>
      </c>
      <c r="C25" s="29" t="n">
        <v>0.03</v>
      </c>
      <c r="D25" s="29" t="n">
        <v>0.03</v>
      </c>
      <c r="E25" s="29" t="n">
        <v>0.03</v>
      </c>
      <c r="F25" s="29" t="n">
        <v>0.03</v>
      </c>
      <c r="G25" s="6" t="n">
        <f aca="false">$F25+($L25-$F25)*G$17/5</f>
        <v>0.029</v>
      </c>
      <c r="H25" s="6" t="n">
        <f aca="false">$F25+($L25-$F25)*H$17/5</f>
        <v>0.028</v>
      </c>
      <c r="I25" s="6" t="n">
        <f aca="false">$F25+($L25-$F25)*I$17/5</f>
        <v>0.027</v>
      </c>
      <c r="J25" s="6" t="n">
        <f aca="false">$F25+($L25-$F25)*J$17/5</f>
        <v>0.026</v>
      </c>
      <c r="K25" s="6" t="n">
        <f aca="false">$F25+($L25-$F25)*K$17/5</f>
        <v>0.025</v>
      </c>
      <c r="L25" s="28" t="n">
        <v>0.025</v>
      </c>
    </row>
    <row r="26" customFormat="false" ht="15" hidden="false" customHeight="false" outlineLevel="0" collapsed="false">
      <c r="A26" s="0" t="s">
        <v>106</v>
      </c>
      <c r="B26" s="27" t="n">
        <f aca="false">B20*B25</f>
        <v>0.588</v>
      </c>
      <c r="C26" s="27" t="n">
        <f aca="false">C20*C25</f>
        <v>0.6</v>
      </c>
      <c r="D26" s="27" t="n">
        <f aca="false">D20*D25</f>
        <v>0.615</v>
      </c>
      <c r="E26" s="27" t="n">
        <f aca="false">E20*E25</f>
        <v>0.63</v>
      </c>
      <c r="F26" s="27" t="n">
        <f aca="false">F20*F25</f>
        <v>0.645</v>
      </c>
      <c r="G26" s="27" t="n">
        <f aca="false">G20*G25</f>
        <v>0.63849369047619</v>
      </c>
      <c r="H26" s="27" t="n">
        <f aca="false">H20*H25</f>
        <v>0.631448242857143</v>
      </c>
      <c r="I26" s="27" t="n">
        <f aca="false">I20*I25</f>
        <v>0.623828982171647</v>
      </c>
      <c r="J26" s="27" t="n">
        <f aca="false">J20*J25</f>
        <v>0.615599280607901</v>
      </c>
      <c r="K26" s="27" t="n">
        <f aca="false">K20*K25</f>
        <v>0.606720444829903</v>
      </c>
      <c r="L26" s="27" t="n">
        <f aca="false">L20*L25</f>
        <v>0.62188845595065</v>
      </c>
    </row>
    <row r="27" customFormat="false" ht="15" hidden="false" customHeight="false" outlineLevel="0" collapsed="false">
      <c r="A27" s="0" t="s">
        <v>107</v>
      </c>
      <c r="B27" s="27" t="n">
        <f aca="false">$B$11*(B20-$B$12)</f>
        <v>0.048</v>
      </c>
      <c r="C27" s="27" t="n">
        <f aca="false">$B$11*(C20-B20)</f>
        <v>0.0599999999999998</v>
      </c>
      <c r="D27" s="27" t="n">
        <f aca="false">$B$11*(D20-C20)</f>
        <v>0.075</v>
      </c>
      <c r="E27" s="27" t="n">
        <f aca="false">$B$11*(E20-D20)</f>
        <v>0.075</v>
      </c>
      <c r="F27" s="27" t="n">
        <f aca="false">$B$11*(F20-E20)</f>
        <v>0.075</v>
      </c>
      <c r="G27" s="27" t="n">
        <f aca="false">$B$11*(G20-F20)</f>
        <v>0.0775535714285709</v>
      </c>
      <c r="H27" s="27" t="n">
        <f aca="false">$B$11*(H20-G20)</f>
        <v>0.0802048724489792</v>
      </c>
      <c r="I27" s="27" t="n">
        <f aca="false">$B$11*(I20-H20)</f>
        <v>0.0829581237427107</v>
      </c>
      <c r="J27" s="27" t="n">
        <f aca="false">$B$11*(J20-I20)</f>
        <v>0.0858177435791685</v>
      </c>
      <c r="K27" s="27" t="n">
        <f aca="false">$B$11*(K20-J20)</f>
        <v>0.0887883577799856</v>
      </c>
      <c r="L27" s="27" t="n">
        <f aca="false">$B$11*(L20-K20)</f>
        <v>0.091008066724485</v>
      </c>
    </row>
    <row r="28" customFormat="false" ht="15" hidden="false" customHeight="false" outlineLevel="0" collapsed="false">
      <c r="A28" s="0" t="s">
        <v>108</v>
      </c>
      <c r="B28" s="27" t="n">
        <f aca="false">B24-B26-B27</f>
        <v>3.32516</v>
      </c>
      <c r="C28" s="27" t="n">
        <f aca="false">C24-C26-C27</f>
        <v>3.382</v>
      </c>
      <c r="D28" s="27" t="n">
        <f aca="false">D24-D26-D27</f>
        <v>3.45305</v>
      </c>
      <c r="E28" s="27" t="n">
        <f aca="false">E24-E26-E27</f>
        <v>3.5391</v>
      </c>
      <c r="F28" s="27" t="n">
        <f aca="false">F24-F26-F27</f>
        <v>3.62515</v>
      </c>
      <c r="G28" s="27" t="n">
        <f aca="false">G24-G26-G27</f>
        <v>3.71465860952381</v>
      </c>
      <c r="H28" s="27" t="n">
        <f aca="false">H24-H26-H27</f>
        <v>3.8072611312551</v>
      </c>
      <c r="I28" s="27" t="n">
        <f aca="false">I24-I26-I27</f>
        <v>3.90307802456294</v>
      </c>
      <c r="J28" s="27" t="n">
        <f aca="false">J24-J26-J27</f>
        <v>4.00223501756546</v>
      </c>
      <c r="K28" s="27" t="n">
        <f aca="false">K24-K26-K27</f>
        <v>4.1048633568843</v>
      </c>
      <c r="L28" s="27" t="n">
        <f aca="false">L24-L26-L27</f>
        <v>4.20748494080641</v>
      </c>
    </row>
    <row r="29" customFormat="false" ht="15" hidden="false" customHeight="false" outlineLevel="0" collapsed="false">
      <c r="A29" s="0" t="s">
        <v>109</v>
      </c>
      <c r="B29" s="30" t="n">
        <f aca="false">1/(1+$B$10)^B$16</f>
        <v>0.962250448649376</v>
      </c>
      <c r="C29" s="30" t="n">
        <f aca="false">1/(1+$B$10)^C$16</f>
        <v>0.890972637638311</v>
      </c>
      <c r="D29" s="30" t="n">
        <f aca="false">1/(1+$B$10)^D$16</f>
        <v>0.824974664479918</v>
      </c>
      <c r="E29" s="30" t="n">
        <f aca="false">1/(1+$B$10)^E$16</f>
        <v>0.763865430073998</v>
      </c>
      <c r="F29" s="30" t="n">
        <f aca="false">1/(1+$B$10)^F$16</f>
        <v>0.707282805624072</v>
      </c>
      <c r="G29" s="30" t="n">
        <f aca="false">1/(1+$B$10)^G$16</f>
        <v>0.654891486688956</v>
      </c>
      <c r="H29" s="30" t="n">
        <f aca="false">1/(1+$B$10)^H$16</f>
        <v>0.606381006193477</v>
      </c>
      <c r="I29" s="30" t="n">
        <f aca="false">1/(1+$B$10)^I$16</f>
        <v>0.56146389462359</v>
      </c>
      <c r="J29" s="30" t="n">
        <f aca="false">1/(1+$B$10)^J$16</f>
        <v>0.519873976503324</v>
      </c>
      <c r="K29" s="30" t="n">
        <f aca="false">1/(1+$B$10)^K$16</f>
        <v>0.481364793058633</v>
      </c>
    </row>
    <row r="30" customFormat="false" ht="15" hidden="false" customHeight="false" outlineLevel="0" collapsed="false">
      <c r="A30" s="0" t="s">
        <v>110</v>
      </c>
      <c r="B30" s="27" t="n">
        <f aca="false">B28*B29</f>
        <v>3.19963670183096</v>
      </c>
      <c r="C30" s="27" t="n">
        <f aca="false">C28*C29</f>
        <v>3.01326946049277</v>
      </c>
      <c r="D30" s="27" t="n">
        <f aca="false">D28*D29</f>
        <v>2.84867876518238</v>
      </c>
      <c r="E30" s="27" t="n">
        <f aca="false">E28*E29</f>
        <v>2.70339614357489</v>
      </c>
      <c r="F30" s="27" t="n">
        <f aca="false">F28*F29</f>
        <v>2.5640062628081</v>
      </c>
      <c r="G30" s="27" t="n">
        <f aca="false">G28*G29</f>
        <v>2.43269829933298</v>
      </c>
      <c r="H30" s="27" t="n">
        <f aca="false">H28*H29</f>
        <v>2.30865083561179</v>
      </c>
      <c r="I30" s="27" t="n">
        <f aca="false">I28*I29</f>
        <v>2.19143738869086</v>
      </c>
      <c r="J30" s="27" t="n">
        <f aca="false">J28*J29</f>
        <v>2.0806578334826</v>
      </c>
      <c r="K30" s="27" t="n">
        <f aca="false">K28*K29</f>
        <v>1.97593670032058</v>
      </c>
      <c r="L30" s="27"/>
    </row>
    <row r="31" customFormat="false" ht="15" hidden="false" customHeight="false" outlineLevel="0" collapsed="false">
      <c r="A31" s="0" t="s">
        <v>111</v>
      </c>
      <c r="B31" s="27" t="n">
        <f aca="false">L28/($B$10-L21)</f>
        <v>76.4997261964801</v>
      </c>
      <c r="C31" s="0" t="str">
        <f aca="false">IF($B$10&gt;L21,"","Discount rate must exceed terminal growth")</f>
        <v/>
      </c>
    </row>
    <row r="32" customFormat="false" ht="15" hidden="false" customHeight="false" outlineLevel="0" collapsed="false">
      <c r="A32" s="0" t="s">
        <v>112</v>
      </c>
      <c r="B32" s="27" t="n">
        <f aca="false">B31/(1+$B$10)^$K$16</f>
        <v>36.8242748696108</v>
      </c>
    </row>
    <row r="33" customFormat="false" ht="15" hidden="false" customHeight="false" outlineLevel="0" collapsed="false">
      <c r="A33" s="0" t="s">
        <v>113</v>
      </c>
      <c r="B33" s="27" t="n">
        <f aca="false">SUM(B30:K30)+B32+$B$7+$B$8</f>
        <v>46.0426432609387</v>
      </c>
    </row>
    <row r="34" customFormat="false" ht="15" hidden="false" customHeight="false" outlineLevel="0" collapsed="false">
      <c r="A34" s="0" t="s">
        <v>114</v>
      </c>
      <c r="B34" s="31" t="n">
        <f aca="false">B33/$B$6</f>
        <v>169.032061606295</v>
      </c>
    </row>
    <row r="35" customFormat="false" ht="15" hidden="false" customHeight="false" outlineLevel="0" collapsed="false">
      <c r="A35" s="0" t="s">
        <v>115</v>
      </c>
      <c r="B35" s="6" t="n">
        <f aca="false">B34/$B$4-1</f>
        <v>-0.150208327352597</v>
      </c>
    </row>
    <row r="37" customFormat="false" ht="15" hidden="false" customHeight="false" outlineLevel="0" collapsed="false">
      <c r="A37" s="10" t="s">
        <v>157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</row>
    <row r="38" customFormat="false" ht="15" hidden="false" customHeight="false" outlineLevel="0" collapsed="false">
      <c r="A38" s="0" t="s">
        <v>100</v>
      </c>
      <c r="B38" s="21" t="n">
        <v>19.74</v>
      </c>
      <c r="C38" s="21" t="n">
        <v>20.5</v>
      </c>
      <c r="D38" s="21" t="n">
        <v>21.3</v>
      </c>
      <c r="E38" s="21" t="n">
        <v>22.2</v>
      </c>
      <c r="F38" s="21" t="n">
        <v>23.1</v>
      </c>
      <c r="G38" s="27" t="n">
        <f aca="false">F38*(1+$F39+($L39-$F39)*G$17/5)</f>
        <v>23.9877891891892</v>
      </c>
      <c r="H38" s="27" t="n">
        <f aca="false">G38*(1+$F39+($L39-$F39)*H$17/5)</f>
        <v>24.8591294235208</v>
      </c>
      <c r="I38" s="27" t="n">
        <f aca="false">H38*(1+$F39+($L39-$F39)*I$17/5)</f>
        <v>25.7097147708229</v>
      </c>
      <c r="J38" s="27" t="n">
        <f aca="false">I38*(1+$F39+($L39-$F39)*J$17/5)</f>
        <v>26.5352050721131</v>
      </c>
      <c r="K38" s="27" t="n">
        <f aca="false">J38*(1+$F39+($L39-$F39)*K$17/5)</f>
        <v>27.3312612242765</v>
      </c>
      <c r="L38" s="27" t="n">
        <f aca="false">K38*(1+L39)</f>
        <v>28.1511990610048</v>
      </c>
    </row>
    <row r="39" customFormat="false" ht="15" hidden="false" customHeight="false" outlineLevel="0" collapsed="false">
      <c r="A39" s="0" t="s">
        <v>101</v>
      </c>
      <c r="B39" s="6" t="n">
        <f aca="false">B38/$B$12-1</f>
        <v>0.0238589211618256</v>
      </c>
      <c r="C39" s="6" t="n">
        <f aca="false">C38/B38-1</f>
        <v>0.038500506585613</v>
      </c>
      <c r="D39" s="6" t="n">
        <f aca="false">D38/C38-1</f>
        <v>0.0390243902439025</v>
      </c>
      <c r="E39" s="6" t="n">
        <f aca="false">E38/D38-1</f>
        <v>0.0422535211267605</v>
      </c>
      <c r="F39" s="6" t="n">
        <f aca="false">F38/E38-1</f>
        <v>0.0405405405405406</v>
      </c>
      <c r="G39" s="6" t="n">
        <f aca="false">G38/F38-1</f>
        <v>0.0384324324324326</v>
      </c>
      <c r="H39" s="6" t="n">
        <f aca="false">H38/G38-1</f>
        <v>0.0363243243243243</v>
      </c>
      <c r="I39" s="6" t="n">
        <f aca="false">I38/H38-1</f>
        <v>0.0342162162162163</v>
      </c>
      <c r="J39" s="6" t="n">
        <f aca="false">J38/I38-1</f>
        <v>0.0321081081081081</v>
      </c>
      <c r="K39" s="6" t="n">
        <f aca="false">K38/J38-1</f>
        <v>0.03</v>
      </c>
      <c r="L39" s="28" t="n">
        <v>0.03</v>
      </c>
    </row>
    <row r="40" customFormat="false" ht="15" hidden="false" customHeight="false" outlineLevel="0" collapsed="false">
      <c r="A40" s="0" t="s">
        <v>102</v>
      </c>
      <c r="B40" s="29" t="n">
        <v>0.24</v>
      </c>
      <c r="C40" s="29" t="n">
        <v>0.245</v>
      </c>
      <c r="D40" s="29" t="n">
        <v>0.25</v>
      </c>
      <c r="E40" s="29" t="n">
        <v>0.255</v>
      </c>
      <c r="F40" s="29" t="n">
        <v>0.26</v>
      </c>
      <c r="G40" s="6" t="n">
        <f aca="false">$F40+($L40-$F40)*G$17/5</f>
        <v>0.258</v>
      </c>
      <c r="H40" s="6" t="n">
        <f aca="false">$F40+($L40-$F40)*H$17/5</f>
        <v>0.256</v>
      </c>
      <c r="I40" s="6" t="n">
        <f aca="false">$F40+($L40-$F40)*I$17/5</f>
        <v>0.254</v>
      </c>
      <c r="J40" s="6" t="n">
        <f aca="false">$F40+($L40-$F40)*J$17/5</f>
        <v>0.252</v>
      </c>
      <c r="K40" s="6" t="n">
        <f aca="false">$F40+($L40-$F40)*K$17/5</f>
        <v>0.25</v>
      </c>
      <c r="L40" s="28" t="n">
        <v>0.25</v>
      </c>
    </row>
    <row r="41" customFormat="false" ht="15" hidden="false" customHeight="false" outlineLevel="0" collapsed="false">
      <c r="A41" s="0" t="s">
        <v>103</v>
      </c>
      <c r="B41" s="27" t="n">
        <f aca="false">B38*B40</f>
        <v>4.7376</v>
      </c>
      <c r="C41" s="27" t="n">
        <f aca="false">C38*C40</f>
        <v>5.0225</v>
      </c>
      <c r="D41" s="27" t="n">
        <f aca="false">D38*D40</f>
        <v>5.325</v>
      </c>
      <c r="E41" s="27" t="n">
        <f aca="false">E38*E40</f>
        <v>5.661</v>
      </c>
      <c r="F41" s="27" t="n">
        <f aca="false">F38*F40</f>
        <v>6.006</v>
      </c>
      <c r="G41" s="27" t="n">
        <f aca="false">G38*G40</f>
        <v>6.18884961081081</v>
      </c>
      <c r="H41" s="27" t="n">
        <f aca="false">H38*H40</f>
        <v>6.36393713242133</v>
      </c>
      <c r="I41" s="27" t="n">
        <f aca="false">I38*I40</f>
        <v>6.53026755178902</v>
      </c>
      <c r="J41" s="27" t="n">
        <f aca="false">J38*J40</f>
        <v>6.68687167817251</v>
      </c>
      <c r="K41" s="27" t="n">
        <f aca="false">K38*K40</f>
        <v>6.83281530606913</v>
      </c>
      <c r="L41" s="27" t="n">
        <f aca="false">L38*L40</f>
        <v>7.0377997652512</v>
      </c>
    </row>
    <row r="42" customFormat="false" ht="15" hidden="false" customHeight="false" outlineLevel="0" collapsed="false">
      <c r="A42" s="0" t="s">
        <v>104</v>
      </c>
      <c r="B42" s="27" t="n">
        <f aca="false">B41*(1-$B$9)</f>
        <v>4.074336</v>
      </c>
      <c r="C42" s="27" t="n">
        <f aca="false">C41*(1-$B$9)</f>
        <v>4.31935</v>
      </c>
      <c r="D42" s="27" t="n">
        <f aca="false">D41*(1-$B$9)</f>
        <v>4.5795</v>
      </c>
      <c r="E42" s="27" t="n">
        <f aca="false">E41*(1-$B$9)</f>
        <v>4.86846</v>
      </c>
      <c r="F42" s="27" t="n">
        <f aca="false">F41*(1-$B$9)</f>
        <v>5.16516</v>
      </c>
      <c r="G42" s="27" t="n">
        <f aca="false">G41*(1-$B$9)</f>
        <v>5.3224106652973</v>
      </c>
      <c r="H42" s="27" t="n">
        <f aca="false">H41*(1-$B$9)</f>
        <v>5.47298593388234</v>
      </c>
      <c r="I42" s="27" t="n">
        <f aca="false">I41*(1-$B$9)</f>
        <v>5.61603009453856</v>
      </c>
      <c r="J42" s="27" t="n">
        <f aca="false">J41*(1-$B$9)</f>
        <v>5.75070964322836</v>
      </c>
      <c r="K42" s="27" t="n">
        <f aca="false">K41*(1-$B$9)</f>
        <v>5.87622116321945</v>
      </c>
      <c r="L42" s="27" t="n">
        <f aca="false">L41*(1-$B$9)</f>
        <v>6.05250779811604</v>
      </c>
    </row>
    <row r="43" customFormat="false" ht="15" hidden="false" customHeight="false" outlineLevel="0" collapsed="false">
      <c r="A43" s="0" t="s">
        <v>105</v>
      </c>
      <c r="B43" s="29" t="n">
        <v>0.03</v>
      </c>
      <c r="C43" s="29" t="n">
        <v>0.03</v>
      </c>
      <c r="D43" s="29" t="n">
        <v>0.03</v>
      </c>
      <c r="E43" s="29" t="n">
        <v>0.03</v>
      </c>
      <c r="F43" s="29" t="n">
        <v>0.03</v>
      </c>
      <c r="G43" s="6" t="n">
        <f aca="false">$F43+($L43-$F43)*G$17/5</f>
        <v>0.029</v>
      </c>
      <c r="H43" s="6" t="n">
        <f aca="false">$F43+($L43-$F43)*H$17/5</f>
        <v>0.028</v>
      </c>
      <c r="I43" s="6" t="n">
        <f aca="false">$F43+($L43-$F43)*I$17/5</f>
        <v>0.027</v>
      </c>
      <c r="J43" s="6" t="n">
        <f aca="false">$F43+($L43-$F43)*J$17/5</f>
        <v>0.026</v>
      </c>
      <c r="K43" s="6" t="n">
        <f aca="false">$F43+($L43-$F43)*K$17/5</f>
        <v>0.025</v>
      </c>
      <c r="L43" s="28" t="n">
        <v>0.025</v>
      </c>
    </row>
    <row r="44" customFormat="false" ht="15" hidden="false" customHeight="false" outlineLevel="0" collapsed="false">
      <c r="A44" s="0" t="s">
        <v>106</v>
      </c>
      <c r="B44" s="27" t="n">
        <f aca="false">B38*B43</f>
        <v>0.5922</v>
      </c>
      <c r="C44" s="27" t="n">
        <f aca="false">C38*C43</f>
        <v>0.615</v>
      </c>
      <c r="D44" s="27" t="n">
        <f aca="false">D38*D43</f>
        <v>0.639</v>
      </c>
      <c r="E44" s="27" t="n">
        <f aca="false">E38*E43</f>
        <v>0.666</v>
      </c>
      <c r="F44" s="27" t="n">
        <f aca="false">F38*F43</f>
        <v>0.693</v>
      </c>
      <c r="G44" s="27" t="n">
        <f aca="false">G38*G43</f>
        <v>0.695645886486487</v>
      </c>
      <c r="H44" s="27" t="n">
        <f aca="false">H38*H43</f>
        <v>0.696055623858583</v>
      </c>
      <c r="I44" s="27" t="n">
        <f aca="false">I38*I43</f>
        <v>0.694162298812219</v>
      </c>
      <c r="J44" s="27" t="n">
        <f aca="false">J38*J43</f>
        <v>0.689915331874941</v>
      </c>
      <c r="K44" s="27" t="n">
        <f aca="false">K38*K43</f>
        <v>0.683281530606913</v>
      </c>
      <c r="L44" s="27" t="n">
        <f aca="false">L38*L43</f>
        <v>0.70377997652512</v>
      </c>
    </row>
    <row r="45" customFormat="false" ht="15" hidden="false" customHeight="false" outlineLevel="0" collapsed="false">
      <c r="A45" s="0" t="s">
        <v>107</v>
      </c>
      <c r="B45" s="27" t="n">
        <f aca="false">$B$11*(B38-$B$12)</f>
        <v>0.0689999999999996</v>
      </c>
      <c r="C45" s="27" t="n">
        <f aca="false">$B$11*(C38-B38)</f>
        <v>0.114</v>
      </c>
      <c r="D45" s="27" t="n">
        <f aca="false">$B$11*(D38-C38)</f>
        <v>0.12</v>
      </c>
      <c r="E45" s="27" t="n">
        <f aca="false">$B$11*(E38-D38)</f>
        <v>0.135</v>
      </c>
      <c r="F45" s="27" t="n">
        <f aca="false">$B$11*(F38-E38)</f>
        <v>0.135</v>
      </c>
      <c r="G45" s="27" t="n">
        <f aca="false">$B$11*(G38-F38)</f>
        <v>0.133168378378379</v>
      </c>
      <c r="H45" s="27" t="n">
        <f aca="false">$B$11*(H38-G38)</f>
        <v>0.130701035149744</v>
      </c>
      <c r="I45" s="27" t="n">
        <f aca="false">$B$11*(I38-H38)</f>
        <v>0.127587802095314</v>
      </c>
      <c r="J45" s="27" t="n">
        <f aca="false">$B$11*(J38-I38)</f>
        <v>0.123823545193531</v>
      </c>
      <c r="K45" s="27" t="n">
        <f aca="false">$B$11*(K38-J38)</f>
        <v>0.119408422824509</v>
      </c>
      <c r="L45" s="27" t="n">
        <f aca="false">$B$11*(L38-K38)</f>
        <v>0.122990675509245</v>
      </c>
    </row>
    <row r="46" customFormat="false" ht="15" hidden="false" customHeight="false" outlineLevel="0" collapsed="false">
      <c r="A46" s="0" t="s">
        <v>108</v>
      </c>
      <c r="B46" s="27" t="n">
        <f aca="false">B42-B44-B45</f>
        <v>3.413136</v>
      </c>
      <c r="C46" s="27" t="n">
        <f aca="false">C42-C44-C45</f>
        <v>3.59035</v>
      </c>
      <c r="D46" s="27" t="n">
        <f aca="false">D42-D44-D45</f>
        <v>3.8205</v>
      </c>
      <c r="E46" s="27" t="n">
        <f aca="false">E42-E44-E45</f>
        <v>4.06746</v>
      </c>
      <c r="F46" s="27" t="n">
        <f aca="false">F42-F44-F45</f>
        <v>4.33716</v>
      </c>
      <c r="G46" s="27" t="n">
        <f aca="false">G42-G44-G45</f>
        <v>4.49359640043243</v>
      </c>
      <c r="H46" s="27" t="n">
        <f aca="false">H42-H44-H45</f>
        <v>4.64622927487402</v>
      </c>
      <c r="I46" s="27" t="n">
        <f aca="false">I42-I44-I45</f>
        <v>4.79427999363103</v>
      </c>
      <c r="J46" s="27" t="n">
        <f aca="false">J42-J44-J45</f>
        <v>4.93697076615988</v>
      </c>
      <c r="K46" s="27" t="n">
        <f aca="false">K42-K44-K45</f>
        <v>5.07353120978803</v>
      </c>
      <c r="L46" s="27" t="n">
        <f aca="false">L42-L44-L45</f>
        <v>5.22573714608167</v>
      </c>
    </row>
    <row r="47" customFormat="false" ht="15" hidden="false" customHeight="false" outlineLevel="0" collapsed="false">
      <c r="A47" s="0" t="s">
        <v>109</v>
      </c>
      <c r="B47" s="30" t="n">
        <f aca="false">1/(1+$B$10)^B$16</f>
        <v>0.962250448649376</v>
      </c>
      <c r="C47" s="30" t="n">
        <f aca="false">1/(1+$B$10)^C$16</f>
        <v>0.890972637638311</v>
      </c>
      <c r="D47" s="30" t="n">
        <f aca="false">1/(1+$B$10)^D$16</f>
        <v>0.824974664479918</v>
      </c>
      <c r="E47" s="30" t="n">
        <f aca="false">1/(1+$B$10)^E$16</f>
        <v>0.763865430073998</v>
      </c>
      <c r="F47" s="30" t="n">
        <f aca="false">1/(1+$B$10)^F$16</f>
        <v>0.707282805624072</v>
      </c>
      <c r="G47" s="30" t="n">
        <f aca="false">1/(1+$B$10)^G$16</f>
        <v>0.654891486688956</v>
      </c>
      <c r="H47" s="30" t="n">
        <f aca="false">1/(1+$B$10)^H$16</f>
        <v>0.606381006193477</v>
      </c>
      <c r="I47" s="30" t="n">
        <f aca="false">1/(1+$B$10)^I$16</f>
        <v>0.56146389462359</v>
      </c>
      <c r="J47" s="30" t="n">
        <f aca="false">1/(1+$B$10)^J$16</f>
        <v>0.519873976503324</v>
      </c>
      <c r="K47" s="30" t="n">
        <f aca="false">1/(1+$B$10)^K$16</f>
        <v>0.481364793058633</v>
      </c>
    </row>
    <row r="48" customFormat="false" ht="15" hidden="false" customHeight="false" outlineLevel="0" collapsed="false">
      <c r="A48" s="0" t="s">
        <v>110</v>
      </c>
      <c r="B48" s="27" t="n">
        <f aca="false">B46*B47</f>
        <v>3.28429164730134</v>
      </c>
      <c r="C48" s="27" t="n">
        <f aca="false">C46*C47</f>
        <v>3.19890360954471</v>
      </c>
      <c r="D48" s="27" t="n">
        <f aca="false">D46*D47</f>
        <v>3.15181570564553</v>
      </c>
      <c r="E48" s="27" t="n">
        <f aca="false">E46*E47</f>
        <v>3.10699208220878</v>
      </c>
      <c r="F48" s="27" t="n">
        <f aca="false">F46*F47</f>
        <v>3.0675986932405</v>
      </c>
      <c r="G48" s="27" t="n">
        <f aca="false">G46*G47</f>
        <v>2.94281802725933</v>
      </c>
      <c r="H48" s="27" t="n">
        <f aca="false">H46*H47</f>
        <v>2.8173851827037</v>
      </c>
      <c r="I48" s="27" t="n">
        <f aca="false">I46*I47</f>
        <v>2.69181511714004</v>
      </c>
      <c r="J48" s="27" t="n">
        <f aca="false">J46*J47</f>
        <v>2.5666026240842</v>
      </c>
      <c r="K48" s="27" t="n">
        <f aca="false">K46*K47</f>
        <v>2.44221930087613</v>
      </c>
      <c r="L48" s="27"/>
    </row>
    <row r="49" customFormat="false" ht="15" hidden="false" customHeight="false" outlineLevel="0" collapsed="false">
      <c r="A49" s="0" t="s">
        <v>111</v>
      </c>
      <c r="B49" s="27" t="n">
        <f aca="false">L46/($B$10-L39)</f>
        <v>104.514742921633</v>
      </c>
      <c r="C49" s="0" t="str">
        <f aca="false">IF($B$10&gt;L39,"","Discount rate must exceed terminal growth")</f>
        <v/>
      </c>
    </row>
    <row r="50" customFormat="false" ht="15" hidden="false" customHeight="false" outlineLevel="0" collapsed="false">
      <c r="A50" s="0" t="s">
        <v>112</v>
      </c>
      <c r="B50" s="27" t="n">
        <f aca="false">B49/(1+$B$10)^$K$16</f>
        <v>50.3097175980483</v>
      </c>
    </row>
    <row r="51" customFormat="false" ht="15" hidden="false" customHeight="false" outlineLevel="0" collapsed="false">
      <c r="A51" s="0" t="s">
        <v>113</v>
      </c>
      <c r="B51" s="27" t="n">
        <f aca="false">SUM(B48:K48)+B50+$B$7+$B$8</f>
        <v>63.4801595880526</v>
      </c>
    </row>
    <row r="52" customFormat="false" ht="15" hidden="false" customHeight="false" outlineLevel="0" collapsed="false">
      <c r="A52" s="0" t="s">
        <v>114</v>
      </c>
      <c r="B52" s="31" t="n">
        <f aca="false">B51/$B$6</f>
        <v>233.04878882504</v>
      </c>
    </row>
    <row r="53" customFormat="false" ht="15" hidden="false" customHeight="false" outlineLevel="0" collapsed="false">
      <c r="A53" s="0" t="s">
        <v>115</v>
      </c>
      <c r="B53" s="6" t="n">
        <f aca="false">B52/$B$4-1</f>
        <v>0.171629323940676</v>
      </c>
    </row>
    <row r="55" customFormat="false" ht="15" hidden="false" customHeight="false" outlineLevel="0" collapsed="false">
      <c r="A55" s="10" t="s">
        <v>158</v>
      </c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</row>
    <row r="56" customFormat="false" ht="15" hidden="false" customHeight="false" outlineLevel="0" collapsed="false">
      <c r="A56" s="0" t="s">
        <v>100</v>
      </c>
      <c r="B56" s="21" t="n">
        <v>20</v>
      </c>
      <c r="C56" s="21" t="n">
        <v>21</v>
      </c>
      <c r="D56" s="21" t="n">
        <v>22.1</v>
      </c>
      <c r="E56" s="21" t="n">
        <v>23.3</v>
      </c>
      <c r="F56" s="21" t="n">
        <v>24.5</v>
      </c>
      <c r="G56" s="27" t="n">
        <f aca="false">F56*(1+$F57+($L57-$F57)*G$17/5)</f>
        <v>25.6809420600858</v>
      </c>
      <c r="H56" s="27" t="n">
        <f aca="false">G56*(1+$F57+($L57-$F57)*H$17/5)</f>
        <v>26.8340494241743</v>
      </c>
      <c r="I56" s="27" t="n">
        <f aca="false">H56*(1+$F57+($L57-$F57)*I$17/5)</f>
        <v>27.9503689137388</v>
      </c>
      <c r="J56" s="27" t="n">
        <f aca="false">I56*(1+$F57+($L57-$F57)*J$17/5)</f>
        <v>29.0208800390015</v>
      </c>
      <c r="K56" s="27" t="n">
        <f aca="false">J56*(1+$F57+($L57-$F57)*K$17/5)</f>
        <v>30.0366108403665</v>
      </c>
      <c r="L56" s="27" t="n">
        <f aca="false">K56*(1+L57)</f>
        <v>31.0878922197794</v>
      </c>
    </row>
    <row r="57" customFormat="false" ht="15" hidden="false" customHeight="false" outlineLevel="0" collapsed="false">
      <c r="A57" s="0" t="s">
        <v>101</v>
      </c>
      <c r="B57" s="6" t="n">
        <f aca="false">B56/$B$12-1</f>
        <v>0.0373443983402488</v>
      </c>
      <c r="C57" s="6" t="n">
        <f aca="false">C56/B56-1</f>
        <v>0.05</v>
      </c>
      <c r="D57" s="6" t="n">
        <f aca="false">D56/C56-1</f>
        <v>0.0523809523809524</v>
      </c>
      <c r="E57" s="6" t="n">
        <f aca="false">E56/D56-1</f>
        <v>0.0542986425339367</v>
      </c>
      <c r="F57" s="6" t="n">
        <f aca="false">F56/E56-1</f>
        <v>0.0515021459227467</v>
      </c>
      <c r="G57" s="6" t="n">
        <f aca="false">G56/F56-1</f>
        <v>0.0482017167381974</v>
      </c>
      <c r="H57" s="6" t="n">
        <f aca="false">H56/G56-1</f>
        <v>0.0449012875536481</v>
      </c>
      <c r="I57" s="6" t="n">
        <f aca="false">I56/H56-1</f>
        <v>0.0416008583690988</v>
      </c>
      <c r="J57" s="6" t="n">
        <f aca="false">J56/I56-1</f>
        <v>0.0383004291845492</v>
      </c>
      <c r="K57" s="6" t="n">
        <f aca="false">K56/J56-1</f>
        <v>0.0349999999999999</v>
      </c>
      <c r="L57" s="28" t="n">
        <v>0.035</v>
      </c>
    </row>
    <row r="58" customFormat="false" ht="15" hidden="false" customHeight="false" outlineLevel="0" collapsed="false">
      <c r="A58" s="0" t="s">
        <v>102</v>
      </c>
      <c r="B58" s="29" t="n">
        <v>0.245</v>
      </c>
      <c r="C58" s="29" t="n">
        <v>0.255</v>
      </c>
      <c r="D58" s="29" t="n">
        <v>0.265</v>
      </c>
      <c r="E58" s="29" t="n">
        <v>0.27</v>
      </c>
      <c r="F58" s="29" t="n">
        <v>0.275</v>
      </c>
      <c r="G58" s="6" t="n">
        <f aca="false">$F58+($L58-$F58)*G$17/5</f>
        <v>0.273</v>
      </c>
      <c r="H58" s="6" t="n">
        <f aca="false">$F58+($L58-$F58)*H$17/5</f>
        <v>0.271</v>
      </c>
      <c r="I58" s="6" t="n">
        <f aca="false">$F58+($L58-$F58)*I$17/5</f>
        <v>0.269</v>
      </c>
      <c r="J58" s="6" t="n">
        <f aca="false">$F58+($L58-$F58)*J$17/5</f>
        <v>0.267</v>
      </c>
      <c r="K58" s="6" t="n">
        <f aca="false">$F58+($L58-$F58)*K$17/5</f>
        <v>0.265</v>
      </c>
      <c r="L58" s="28" t="n">
        <v>0.265</v>
      </c>
    </row>
    <row r="59" customFormat="false" ht="15" hidden="false" customHeight="false" outlineLevel="0" collapsed="false">
      <c r="A59" s="0" t="s">
        <v>103</v>
      </c>
      <c r="B59" s="27" t="n">
        <f aca="false">B56*B58</f>
        <v>4.9</v>
      </c>
      <c r="C59" s="27" t="n">
        <f aca="false">C56*C58</f>
        <v>5.355</v>
      </c>
      <c r="D59" s="27" t="n">
        <f aca="false">D56*D58</f>
        <v>5.8565</v>
      </c>
      <c r="E59" s="27" t="n">
        <f aca="false">E56*E58</f>
        <v>6.291</v>
      </c>
      <c r="F59" s="27" t="n">
        <f aca="false">F56*F58</f>
        <v>6.7375</v>
      </c>
      <c r="G59" s="27" t="n">
        <f aca="false">G56*G58</f>
        <v>7.01089718240343</v>
      </c>
      <c r="H59" s="27" t="n">
        <f aca="false">H56*H58</f>
        <v>7.27202739395124</v>
      </c>
      <c r="I59" s="27" t="n">
        <f aca="false">I56*I58</f>
        <v>7.51864923779574</v>
      </c>
      <c r="J59" s="27" t="n">
        <f aca="false">J56*J58</f>
        <v>7.7485749704134</v>
      </c>
      <c r="K59" s="27" t="n">
        <f aca="false">K56*K58</f>
        <v>7.95970187269713</v>
      </c>
      <c r="L59" s="27" t="n">
        <f aca="false">L56*L58</f>
        <v>8.23829143824153</v>
      </c>
    </row>
    <row r="60" customFormat="false" ht="15" hidden="false" customHeight="false" outlineLevel="0" collapsed="false">
      <c r="A60" s="0" t="s">
        <v>104</v>
      </c>
      <c r="B60" s="27" t="n">
        <f aca="false">B59*(1-$B$9)</f>
        <v>4.214</v>
      </c>
      <c r="C60" s="27" t="n">
        <f aca="false">C59*(1-$B$9)</f>
        <v>4.6053</v>
      </c>
      <c r="D60" s="27" t="n">
        <f aca="false">D59*(1-$B$9)</f>
        <v>5.03659</v>
      </c>
      <c r="E60" s="27" t="n">
        <f aca="false">E59*(1-$B$9)</f>
        <v>5.41026</v>
      </c>
      <c r="F60" s="27" t="n">
        <f aca="false">F59*(1-$B$9)</f>
        <v>5.79425</v>
      </c>
      <c r="G60" s="27" t="n">
        <f aca="false">G59*(1-$B$9)</f>
        <v>6.02937157686695</v>
      </c>
      <c r="H60" s="27" t="n">
        <f aca="false">H59*(1-$B$9)</f>
        <v>6.25394355879807</v>
      </c>
      <c r="I60" s="27" t="n">
        <f aca="false">I59*(1-$B$9)</f>
        <v>6.46603834450434</v>
      </c>
      <c r="J60" s="27" t="n">
        <f aca="false">J59*(1-$B$9)</f>
        <v>6.66377447455552</v>
      </c>
      <c r="K60" s="27" t="n">
        <f aca="false">K59*(1-$B$9)</f>
        <v>6.84534361051953</v>
      </c>
      <c r="L60" s="27" t="n">
        <f aca="false">L59*(1-$B$9)</f>
        <v>7.08493063688772</v>
      </c>
    </row>
    <row r="61" customFormat="false" ht="15" hidden="false" customHeight="false" outlineLevel="0" collapsed="false">
      <c r="A61" s="0" t="s">
        <v>105</v>
      </c>
      <c r="B61" s="29" t="n">
        <v>0.03</v>
      </c>
      <c r="C61" s="29" t="n">
        <v>0.03</v>
      </c>
      <c r="D61" s="29" t="n">
        <v>0.03</v>
      </c>
      <c r="E61" s="29" t="n">
        <v>0.03</v>
      </c>
      <c r="F61" s="29" t="n">
        <v>0.03</v>
      </c>
      <c r="G61" s="6" t="n">
        <f aca="false">$F61+($L61-$F61)*G$17/5</f>
        <v>0.029</v>
      </c>
      <c r="H61" s="6" t="n">
        <f aca="false">$F61+($L61-$F61)*H$17/5</f>
        <v>0.028</v>
      </c>
      <c r="I61" s="6" t="n">
        <f aca="false">$F61+($L61-$F61)*I$17/5</f>
        <v>0.027</v>
      </c>
      <c r="J61" s="6" t="n">
        <f aca="false">$F61+($L61-$F61)*J$17/5</f>
        <v>0.026</v>
      </c>
      <c r="K61" s="6" t="n">
        <f aca="false">$F61+($L61-$F61)*K$17/5</f>
        <v>0.025</v>
      </c>
      <c r="L61" s="28" t="n">
        <v>0.025</v>
      </c>
    </row>
    <row r="62" customFormat="false" ht="15" hidden="false" customHeight="false" outlineLevel="0" collapsed="false">
      <c r="A62" s="0" t="s">
        <v>106</v>
      </c>
      <c r="B62" s="27" t="n">
        <f aca="false">B56*B61</f>
        <v>0.6</v>
      </c>
      <c r="C62" s="27" t="n">
        <f aca="false">C56*C61</f>
        <v>0.63</v>
      </c>
      <c r="D62" s="27" t="n">
        <f aca="false">D56*D61</f>
        <v>0.663</v>
      </c>
      <c r="E62" s="27" t="n">
        <f aca="false">E56*E61</f>
        <v>0.699</v>
      </c>
      <c r="F62" s="27" t="n">
        <f aca="false">F56*F61</f>
        <v>0.735</v>
      </c>
      <c r="G62" s="27" t="n">
        <f aca="false">G56*G61</f>
        <v>0.744747319742489</v>
      </c>
      <c r="H62" s="27" t="n">
        <f aca="false">H56*H61</f>
        <v>0.751353383876881</v>
      </c>
      <c r="I62" s="27" t="n">
        <f aca="false">I56*I61</f>
        <v>0.754659960670948</v>
      </c>
      <c r="J62" s="27" t="n">
        <f aca="false">J56*J61</f>
        <v>0.754542881014039</v>
      </c>
      <c r="K62" s="27" t="n">
        <f aca="false">K56*K61</f>
        <v>0.750915271009163</v>
      </c>
      <c r="L62" s="27" t="n">
        <f aca="false">L56*L61</f>
        <v>0.777197305494484</v>
      </c>
    </row>
    <row r="63" customFormat="false" ht="15" hidden="false" customHeight="false" outlineLevel="0" collapsed="false">
      <c r="A63" s="0" t="s">
        <v>107</v>
      </c>
      <c r="B63" s="27" t="n">
        <f aca="false">$B$11*(B56-$B$12)</f>
        <v>0.108</v>
      </c>
      <c r="C63" s="27" t="n">
        <f aca="false">$B$11*(C56-B56)</f>
        <v>0.15</v>
      </c>
      <c r="D63" s="27" t="n">
        <f aca="false">$B$11*(D56-C56)</f>
        <v>0.165</v>
      </c>
      <c r="E63" s="27" t="n">
        <f aca="false">$B$11*(E56-D56)</f>
        <v>0.18</v>
      </c>
      <c r="F63" s="27" t="n">
        <f aca="false">$B$11*(F56-E56)</f>
        <v>0.18</v>
      </c>
      <c r="G63" s="27" t="n">
        <f aca="false">$B$11*(G56-F56)</f>
        <v>0.177141309012876</v>
      </c>
      <c r="H63" s="27" t="n">
        <f aca="false">$B$11*(H56-G56)</f>
        <v>0.172966104613274</v>
      </c>
      <c r="I63" s="27" t="n">
        <f aca="false">$B$11*(I56-H56)</f>
        <v>0.167447923434671</v>
      </c>
      <c r="J63" s="27" t="n">
        <f aca="false">$B$11*(J56-I56)</f>
        <v>0.160576668789402</v>
      </c>
      <c r="K63" s="27" t="n">
        <f aca="false">$B$11*(K56-J56)</f>
        <v>0.152359620204757</v>
      </c>
      <c r="L63" s="27" t="n">
        <f aca="false">$B$11*(L56-K56)</f>
        <v>0.157692206911924</v>
      </c>
    </row>
    <row r="64" customFormat="false" ht="15" hidden="false" customHeight="false" outlineLevel="0" collapsed="false">
      <c r="A64" s="0" t="s">
        <v>108</v>
      </c>
      <c r="B64" s="27" t="n">
        <f aca="false">B60-B62-B63</f>
        <v>3.506</v>
      </c>
      <c r="C64" s="27" t="n">
        <f aca="false">C60-C62-C63</f>
        <v>3.8253</v>
      </c>
      <c r="D64" s="27" t="n">
        <f aca="false">D60-D62-D63</f>
        <v>4.20859</v>
      </c>
      <c r="E64" s="27" t="n">
        <f aca="false">E60-E62-E63</f>
        <v>4.53126</v>
      </c>
      <c r="F64" s="27" t="n">
        <f aca="false">F60-F62-F63</f>
        <v>4.87925</v>
      </c>
      <c r="G64" s="27" t="n">
        <f aca="false">G60-G62-G63</f>
        <v>5.10748294811159</v>
      </c>
      <c r="H64" s="27" t="n">
        <f aca="false">H60-H62-H63</f>
        <v>5.32962407030792</v>
      </c>
      <c r="I64" s="27" t="n">
        <f aca="false">I60-I62-I63</f>
        <v>5.54393046039872</v>
      </c>
      <c r="J64" s="27" t="n">
        <f aca="false">J60-J62-J63</f>
        <v>5.74865492475208</v>
      </c>
      <c r="K64" s="27" t="n">
        <f aca="false">K60-K62-K63</f>
        <v>5.94206871930561</v>
      </c>
      <c r="L64" s="27" t="n">
        <f aca="false">L60-L62-L63</f>
        <v>6.15004112448131</v>
      </c>
    </row>
    <row r="65" customFormat="false" ht="15" hidden="false" customHeight="false" outlineLevel="0" collapsed="false">
      <c r="A65" s="0" t="s">
        <v>109</v>
      </c>
      <c r="B65" s="30" t="n">
        <f aca="false">1/(1+$B$10)^B$16</f>
        <v>0.962250448649376</v>
      </c>
      <c r="C65" s="30" t="n">
        <f aca="false">1/(1+$B$10)^C$16</f>
        <v>0.890972637638311</v>
      </c>
      <c r="D65" s="30" t="n">
        <f aca="false">1/(1+$B$10)^D$16</f>
        <v>0.824974664479918</v>
      </c>
      <c r="E65" s="30" t="n">
        <f aca="false">1/(1+$B$10)^E$16</f>
        <v>0.763865430073998</v>
      </c>
      <c r="F65" s="30" t="n">
        <f aca="false">1/(1+$B$10)^F$16</f>
        <v>0.707282805624072</v>
      </c>
      <c r="G65" s="30" t="n">
        <f aca="false">1/(1+$B$10)^G$16</f>
        <v>0.654891486688956</v>
      </c>
      <c r="H65" s="30" t="n">
        <f aca="false">1/(1+$B$10)^H$16</f>
        <v>0.606381006193477</v>
      </c>
      <c r="I65" s="30" t="n">
        <f aca="false">1/(1+$B$10)^I$16</f>
        <v>0.56146389462359</v>
      </c>
      <c r="J65" s="30" t="n">
        <f aca="false">1/(1+$B$10)^J$16</f>
        <v>0.519873976503324</v>
      </c>
      <c r="K65" s="30" t="n">
        <f aca="false">1/(1+$B$10)^K$16</f>
        <v>0.481364793058633</v>
      </c>
    </row>
    <row r="66" customFormat="false" ht="15" hidden="false" customHeight="false" outlineLevel="0" collapsed="false">
      <c r="A66" s="0" t="s">
        <v>110</v>
      </c>
      <c r="B66" s="27" t="n">
        <f aca="false">B64*B65</f>
        <v>3.37365007296471</v>
      </c>
      <c r="C66" s="27" t="n">
        <f aca="false">C64*C65</f>
        <v>3.40823763075783</v>
      </c>
      <c r="D66" s="27" t="n">
        <f aca="false">D64*D65</f>
        <v>3.47198012318354</v>
      </c>
      <c r="E66" s="27" t="n">
        <f aca="false">E64*E65</f>
        <v>3.4612728686771</v>
      </c>
      <c r="F66" s="27" t="n">
        <f aca="false">F64*F65</f>
        <v>3.45100962934125</v>
      </c>
      <c r="G66" s="27" t="n">
        <f aca="false">G64*G65</f>
        <v>3.34484710112729</v>
      </c>
      <c r="H66" s="27" t="n">
        <f aca="false">H64*H65</f>
        <v>3.23178280638629</v>
      </c>
      <c r="I66" s="27" t="n">
        <f aca="false">I64*I65</f>
        <v>3.11271678781782</v>
      </c>
      <c r="J66" s="27" t="n">
        <f aca="false">J64*J65</f>
        <v>2.98857609527628</v>
      </c>
      <c r="K66" s="27" t="n">
        <f aca="false">K64*K65</f>
        <v>2.86030267940872</v>
      </c>
      <c r="L66" s="27"/>
    </row>
    <row r="67" customFormat="false" ht="15" hidden="false" customHeight="false" outlineLevel="0" collapsed="false">
      <c r="A67" s="0" t="s">
        <v>111</v>
      </c>
      <c r="B67" s="27" t="n">
        <f aca="false">L64/($B$10-L57)</f>
        <v>136.667580544029</v>
      </c>
      <c r="C67" s="0" t="str">
        <f aca="false">IF($B$10&gt;L57,"","Discount rate must exceed terminal growth")</f>
        <v/>
      </c>
    </row>
    <row r="68" customFormat="false" ht="15" hidden="false" customHeight="false" outlineLevel="0" collapsed="false">
      <c r="A68" s="0" t="s">
        <v>112</v>
      </c>
      <c r="B68" s="27" t="n">
        <f aca="false">B67/(1+$B$10)^$K$16</f>
        <v>65.7869616264007</v>
      </c>
    </row>
    <row r="69" customFormat="false" ht="15" hidden="false" customHeight="false" outlineLevel="0" collapsed="false">
      <c r="A69" s="0" t="s">
        <v>113</v>
      </c>
      <c r="B69" s="27" t="n">
        <f aca="false">SUM(B66:K66)+B68+$B$7+$B$8</f>
        <v>82.3913374213415</v>
      </c>
    </row>
    <row r="70" customFormat="false" ht="15" hidden="false" customHeight="false" outlineLevel="0" collapsed="false">
      <c r="A70" s="0" t="s">
        <v>114</v>
      </c>
      <c r="B70" s="31" t="n">
        <f aca="false">B69/$B$6</f>
        <v>302.475632076587</v>
      </c>
    </row>
    <row r="71" customFormat="false" ht="15" hidden="false" customHeight="false" outlineLevel="0" collapsed="false">
      <c r="A71" s="0" t="s">
        <v>115</v>
      </c>
      <c r="B71" s="6" t="n">
        <f aca="false">B70/$B$4-1</f>
        <v>0.520665788932617</v>
      </c>
    </row>
    <row r="74" customFormat="false" ht="15" hidden="false" customHeight="false" outlineLevel="0" collapsed="false">
      <c r="A74" s="10" t="s">
        <v>118</v>
      </c>
      <c r="B74" s="26"/>
      <c r="C74" s="10" t="s">
        <v>119</v>
      </c>
      <c r="D74" s="26"/>
      <c r="E74" s="26"/>
      <c r="F74" s="26"/>
      <c r="G74" s="26"/>
      <c r="H74" s="26"/>
      <c r="I74" s="26"/>
      <c r="J74" s="26"/>
      <c r="K74" s="26"/>
      <c r="L74" s="26"/>
    </row>
    <row r="75" customFormat="false" ht="15" hidden="false" customHeight="false" outlineLevel="0" collapsed="false">
      <c r="A75" s="0" t="s">
        <v>120</v>
      </c>
      <c r="B75" s="7" t="n">
        <f aca="false">B34</f>
        <v>169.032061606295</v>
      </c>
      <c r="C75" s="6" t="n">
        <f aca="false">B75/$B$4-1</f>
        <v>-0.150208327352597</v>
      </c>
    </row>
    <row r="76" customFormat="false" ht="15" hidden="false" customHeight="false" outlineLevel="0" collapsed="false">
      <c r="A76" s="0" t="s">
        <v>121</v>
      </c>
      <c r="B76" s="7" t="n">
        <f aca="false">B52</f>
        <v>233.04878882504</v>
      </c>
      <c r="C76" s="6" t="n">
        <f aca="false">B76/$B$4-1</f>
        <v>0.171629323940676</v>
      </c>
    </row>
    <row r="77" customFormat="false" ht="15" hidden="false" customHeight="false" outlineLevel="0" collapsed="false">
      <c r="A77" s="0" t="s">
        <v>122</v>
      </c>
      <c r="B77" s="7" t="n">
        <f aca="false">B70</f>
        <v>302.475632076587</v>
      </c>
      <c r="C77" s="6" t="n">
        <f aca="false">B77/$B$4-1</f>
        <v>0.520665788932617</v>
      </c>
    </row>
    <row r="78" customFormat="false" ht="15" hidden="false" customHeight="false" outlineLevel="0" collapsed="false">
      <c r="A78" s="0" t="s">
        <v>123</v>
      </c>
      <c r="B78" s="7" t="n">
        <f aca="false">INDEX(B34:B70,1+($B$13-1)*18)</f>
        <v>233.04878882504</v>
      </c>
      <c r="C78" s="6" t="n">
        <f aca="false">B78/$B$4-1</f>
        <v>0.171629323940676</v>
      </c>
    </row>
    <row r="79" customFormat="false" ht="15" hidden="false" customHeight="false" outlineLevel="0" collapsed="false">
      <c r="A79" s="0" t="s">
        <v>124</v>
      </c>
      <c r="B79" s="13" t="n">
        <f aca="false">B50/(SUM(B48:K48)+B50)</f>
        <v>0.632189202163919</v>
      </c>
    </row>
    <row r="81" customFormat="false" ht="15" hidden="false" customHeight="false" outlineLevel="0" collapsed="false">
      <c r="A81" s="23" t="s">
        <v>125</v>
      </c>
    </row>
    <row r="82" customFormat="false" ht="15" hidden="false" customHeight="false" outlineLevel="0" collapsed="false">
      <c r="A82" s="0" t="s">
        <v>5</v>
      </c>
      <c r="B82" s="9" t="n">
        <v>0.05</v>
      </c>
      <c r="C82" s="9" t="n">
        <v>0.06</v>
      </c>
      <c r="D82" s="9" t="n">
        <v>0.07</v>
      </c>
      <c r="E82" s="9" t="n">
        <v>0.08</v>
      </c>
      <c r="F82" s="9" t="n">
        <v>0.09</v>
      </c>
      <c r="G82" s="9" t="n">
        <v>0.1</v>
      </c>
      <c r="H82" s="9" t="n">
        <v>0.11</v>
      </c>
      <c r="I82" s="9" t="n">
        <v>0.12</v>
      </c>
      <c r="J82" s="9" t="n">
        <v>0.13</v>
      </c>
      <c r="K82" s="9" t="n">
        <v>0.14</v>
      </c>
    </row>
    <row r="83" customFormat="false" ht="15" hidden="false" customHeight="false" outlineLevel="0" collapsed="false">
      <c r="A83" s="0" t="s">
        <v>121</v>
      </c>
      <c r="B83" s="7" t="n">
        <f aca="false">IF(B82&gt;$L39,(SUMPRODUCT($B46:$K46/(1+B82)^$B$16:$K$16)+$L46/(B82-$L39)/(1+B82)^$K$16+$B$7+$B$8)/$B$6,"n/a")</f>
        <v>667.523712682661</v>
      </c>
      <c r="C83" s="7" t="n">
        <f aca="false">IF(C82&gt;$L39,(SUMPRODUCT($B46:$K46/(1+C82)^$B$16:$K$16)+$L46/(C82-$L39)/(1+C82)^$K$16+$B$7+$B$8)/$B$6,"n/a")</f>
        <v>426.115232867761</v>
      </c>
      <c r="D83" s="7" t="n">
        <f aca="false">IF(D82&gt;$L39,(SUMPRODUCT($B46:$K46/(1+D82)^$B$16:$K$16)+$L46/(D82-$L39)/(1+D82)^$K$16+$B$7+$B$8)/$B$6,"n/a")</f>
        <v>305.436585061133</v>
      </c>
      <c r="E83" s="7" t="n">
        <f aca="false">IF(E82&gt;$L39,(SUMPRODUCT($B46:$K46/(1+E82)^$B$16:$K$16)+$L46/(E82-$L39)/(1+E82)^$K$16+$B$7+$B$8)/$B$6,"n/a")</f>
        <v>233.04878882504</v>
      </c>
      <c r="F83" s="7" t="n">
        <f aca="false">IF(F82&gt;$L39,(SUMPRODUCT($B46:$K46/(1+F82)^$B$16:$K$16)+$L46/(F82-$L39)/(1+F82)^$K$16+$B$7+$B$8)/$B$6,"n/a")</f>
        <v>184.805563662418</v>
      </c>
      <c r="G83" s="7" t="n">
        <f aca="false">IF(G82&gt;$L39,(SUMPRODUCT($B46:$K46/(1+G82)^$B$16:$K$16)+$L46/(G82-$L39)/(1+G82)^$K$16+$B$7+$B$8)/$B$6,"n/a")</f>
        <v>150.358541394557</v>
      </c>
      <c r="H83" s="7" t="n">
        <f aca="false">IF(H82&gt;$L39,(SUMPRODUCT($B46:$K46/(1+H82)^$B$16:$K$16)+$L46/(H82-$L39)/(1+H82)^$K$16+$B$7+$B$8)/$B$6,"n/a")</f>
        <v>124.533569309785</v>
      </c>
      <c r="I83" s="7" t="n">
        <f aca="false">IF(I82&gt;$L39,(SUMPRODUCT($B46:$K46/(1+I82)^$B$16:$K$16)+$L46/(I82-$L39)/(1+I82)^$K$16+$B$7+$B$8)/$B$6,"n/a")</f>
        <v>104.456144598753</v>
      </c>
      <c r="J83" s="7" t="n">
        <f aca="false">IF(J82&gt;$L39,(SUMPRODUCT($B46:$K46/(1+J82)^$B$16:$K$16)+$L46/(J82-$L39)/(1+J82)^$K$16+$B$7+$B$8)/$B$6,"n/a")</f>
        <v>88.4015881781481</v>
      </c>
      <c r="K83" s="7" t="n">
        <f aca="false">IF(K82&gt;$L39,(SUMPRODUCT($B46:$K46/(1+K82)^$B$16:$K$16)+$L46/(K82-$L39)/(1+K82)^$K$16+$B$7+$B$8)/$B$6,"n/a")</f>
        <v>75.2723964751026</v>
      </c>
    </row>
    <row r="84" customFormat="false" ht="15" hidden="false" customHeight="false" outlineLevel="0" collapsed="false">
      <c r="A84" s="0" t="s">
        <v>126</v>
      </c>
      <c r="B84" s="6" t="n">
        <f aca="false">IFERROR(B83/$B$4-1,"n/a")</f>
        <v>2.3559082634491</v>
      </c>
      <c r="C84" s="6" t="n">
        <f aca="false">IFERROR(C83/$B$4-1,"n/a")</f>
        <v>1.14225143465769</v>
      </c>
      <c r="D84" s="6" t="n">
        <f aca="false">IFERROR(D83/$B$4-1,"n/a")</f>
        <v>0.535551681972413</v>
      </c>
      <c r="E84" s="6" t="n">
        <f aca="false">IFERROR(E83/$B$4-1,"n/a")</f>
        <v>0.171629323940676</v>
      </c>
      <c r="F84" s="6" t="n">
        <f aca="false">IFERROR(F83/$B$4-1,"n/a")</f>
        <v>-0.0709086337418042</v>
      </c>
      <c r="G84" s="6" t="n">
        <f aca="false">IFERROR(G83/$B$4-1,"n/a")</f>
        <v>-0.244087570285271</v>
      </c>
      <c r="H84" s="6" t="n">
        <f aca="false">IFERROR(H83/$B$4-1,"n/a")</f>
        <v>-0.373920017546705</v>
      </c>
      <c r="I84" s="6" t="n">
        <f aca="false">IFERROR(I83/$B$4-1,"n/a")</f>
        <v>-0.474857249013356</v>
      </c>
      <c r="J84" s="6" t="n">
        <f aca="false">IFERROR(J83/$B$4-1,"n/a")</f>
        <v>-0.55556991514681</v>
      </c>
      <c r="K84" s="6" t="n">
        <f aca="false">IFERROR(K83/$B$4-1,"n/a")</f>
        <v>-0.621575604669938</v>
      </c>
    </row>
    <row r="86" customFormat="false" ht="15" hidden="false" customHeight="false" outlineLevel="0" collapsed="false">
      <c r="A86" s="23" t="s">
        <v>127</v>
      </c>
      <c r="B86" s="17" t="n">
        <f aca="false">IFERROR(IF(MATCH($B$4,$B$83:$K$83,-1)=10,"above 14%",INDEX($B$82:$K$82,MATCH($B$4,$B$83:$K$83,-1))+(INDEX($B$83:$K$83,MATCH($B$4,$B$83:$K$83,-1))-$B$4)/(INDEX($B$83:$K$83,MATCH($B$4,$B$83:$K$83,-1))-INDEX($B$83:$K$83,MATCH($B$4,$B$83:$K$83,-1)+1))*(INDEX($B$82:$K$82,MATCH($B$4,$B$83:$K$83,-1)+1)-INDEX($B$82:$K$82,MATCH($B$4,$B$83:$K$83,-1)))),"below 5%")</f>
        <v>0.0870763902516803</v>
      </c>
      <c r="C86" s="2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2026-10-28T16:24:28Z</dcterms:created>
  <dc:creator>openpyxl</dc:creator>
  <dc:description/>
  <dc:language>en-US</dc:language>
  <cp:lastModifiedBy/>
  <dcterms:modified xsi:type="dcterms:W3CDTF">2026-10-28T16:24:28Z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