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JPM" sheetId="2" state="visible" r:id="rId4"/>
    <sheet name="WACC"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<sst xmlns="http://schemas.openxmlformats.org/spreadsheetml/2006/main" count="136" uniqueCount="111">
  <si>
    <t xml:space="preserve">JPMorgan Chase (JPM): valuation summary</t>
  </si>
  <si>
    <t xml:space="preserve">Values link to the model sheet (green). Switch the discount rate on the WACC tab.</t>
  </si>
  <si>
    <t xml:space="preserve">Company</t>
  </si>
  <si>
    <t xml:space="preserve">Method</t>
  </si>
  <si>
    <t xml:space="preserve">Share price</t>
  </si>
  <si>
    <t xml:space="preserve">Discount rate</t>
  </si>
  <si>
    <t xml:space="preserve">Bear value</t>
  </si>
  <si>
    <t xml:space="preserve">Base value</t>
  </si>
  <si>
    <t xml:space="preserve">Bull value</t>
  </si>
  <si>
    <t xml:space="preserve">Base vs price</t>
  </si>
  <si>
    <t xml:space="preserve">Implied return at price (base case)</t>
  </si>
  <si>
    <t xml:space="preserve">Base value (rounded)</t>
  </si>
  <si>
    <t xml:space="preserve">JPMorgan Chase (JPM)</t>
  </si>
  <si>
    <t xml:space="preserve">Residual income</t>
  </si>
  <si>
    <t xml:space="preserve">Exit plan on the positions page</t>
  </si>
  <si>
    <t xml:space="preserve">Trim above (bull value, rounded)</t>
  </si>
  <si>
    <t xml:space="preserve">Exit below (halfway, bear to base)</t>
  </si>
  <si>
    <t xml:space="preserve">Thesis-break signal</t>
  </si>
  <si>
    <t xml:space="preserve">Sell if return on tangible equity falls below 15%, or if net charge-offs rise quickly.</t>
  </si>
  <si>
    <t xml:space="preserve">Levels follow the rules on the positions page and are reset when the model changes.</t>
  </si>
  <si>
    <t xml:space="preserve">Notes</t>
  </si>
  <si>
    <t xml:space="preserve">Base value is what the business is worth if the base case plays out and you want to earn the discount rate. Implied return is what the base case earns at today's price.</t>
  </si>
  <si>
    <t xml:space="preserve">DCF: five explicit years, then five years fading growth, margin and reinvestment to terminal levels. FCF = operating income x (1 - tax) - net reinvestment - working capital x revenue change. Mid-year discounting from October 2026.</t>
  </si>
  <si>
    <t xml:space="preserve">Margins are after stock-based pay. For ServiceNow that is about 19% today, not the 31.5% non-GAAP figure, which is the main reason its value is lower than a multiple of adjusted earnings suggests.</t>
  </si>
  <si>
    <t xml:space="preserve">Banks: tangible book plus the present value of returns above the cost of equity (residual income). TMC: probability-weighted, from the company's 2025 study with analyst haircuts.</t>
  </si>
  <si>
    <t xml:space="preserve">Discount rates use a 5.31% risk-free rate and a 5% equity risk premium, the same as the earlier journal models. At these rates most quality stocks look fully priced; the implied return column shows by how much.</t>
  </si>
  <si>
    <t xml:space="preserve">Price and data dates are on the model sheet. Company data: Stock Analysis, company filings and releases. Research for my own records, not investment advice.</t>
  </si>
  <si>
    <t xml:space="preserve">JPMorgan Chase (JPM): residual income valuation</t>
  </si>
  <si>
    <t xml:space="preserve">Per-share values. A bank is worth its tangible book plus the present value of future returns above its cost of equity. Years 6 to 10 fade ROTCE to the terminal level.</t>
  </si>
  <si>
    <t xml:space="preserve">Share price ($)</t>
  </si>
  <si>
    <t xml:space="preserve">Oct 23, 2026 intraday (Yahoo Finance via the site's price feed)</t>
  </si>
  <si>
    <t xml:space="preserve">Price date</t>
  </si>
  <si>
    <t xml:space="preserve">Oct 23, 2026</t>
  </si>
  <si>
    <t xml:space="preserve">Text</t>
  </si>
  <si>
    <t xml:space="preserve">Tangible book value per share, today ($)</t>
  </si>
  <si>
    <t xml:space="preserve">Price / P/TBV 3.02 (Stock Analysis, Oct 23, 2026); BVPS $132.30</t>
  </si>
  <si>
    <t xml:space="preserve">Payout ratio (dividends plus buybacks)</t>
  </si>
  <si>
    <t xml:space="preserve">Analyst assumption</t>
  </si>
  <si>
    <t xml:space="preserve">Cost of equity, from WACC tab</t>
  </si>
  <si>
    <t xml:space="preserve">Calculated or assumed, per the switch in WACC!B5</t>
  </si>
  <si>
    <t xml:space="preserve">Selected scenario (1 Bear, 2 Base, 3 Bull)</t>
  </si>
  <si>
    <t xml:space="preserve">Lever</t>
  </si>
  <si>
    <t xml:space="preserve">Year</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</si>
  <si>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</si>
  <si>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</si>
  <si>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</si>
  <si>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</si>
  <si>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</si>
  <si>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</si>
  <si>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</si>
  <si>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</si>
  <si>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</si>
  <si>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</si>
  <si>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Terminal</t>
  </si>
  <si>
    <t xml:space="preserve">Discount period (years)</t>
  </si>
  <si>
    <t xml:space="preserve">Fade step (years 6 to 10)</t>
  </si>
  <si>
    <t xml:space="preserve">Bear: credit cycle in 2027 to 2028</t>
  </si>
  <si>
    <t xml:space="preserve">Return on tangible equity (ROTCE)</t>
  </si>
  <si>
    <t xml:space="preserve">Tangible book, start of year</t>
  </si>
  <si>
    <t xml:space="preserve">Earnings</t>
  </si>
  <si>
    <t xml:space="preserve">Retained earnings</t>
  </si>
  <si>
    <t xml:space="preserve">Residual income (ROTCE less cost of equity) x book</t>
  </si>
  <si>
    <t xml:space="preserve">Discount factor</t>
  </si>
  <si>
    <t xml:space="preserve">PV of residual income</t>
  </si>
  <si>
    <t xml:space="preserve">Terminal growth (input)</t>
  </si>
  <si>
    <t xml:space="preserve">PV of terminal residual income</t>
  </si>
  <si>
    <t xml:space="preserve">Value per share (book + PV residual income)</t>
  </si>
  <si>
    <t xml:space="preserve">Value vs share price</t>
  </si>
  <si>
    <t xml:space="preserve">Base: ROTCE eases from 20% to 16%</t>
  </si>
  <si>
    <t xml:space="preserve">Bull: ROTCE stays near 20%</t>
  </si>
  <si>
    <t xml:space="preserve">Outputs</t>
  </si>
  <si>
    <t xml:space="preserve">vs price</t>
  </si>
  <si>
    <t xml:space="preserve">Bear value per share</t>
  </si>
  <si>
    <t xml:space="preserve">Base value per share</t>
  </si>
  <si>
    <t xml:space="preserve">Bull value per share</t>
  </si>
  <si>
    <t xml:space="preserve">Selected scenario value per share</t>
  </si>
  <si>
    <t xml:space="preserve">Base value as a multiple of tangible book</t>
  </si>
  <si>
    <t xml:space="preserve">Price as a multiple of tangible book</t>
  </si>
  <si>
    <t xml:space="preserve">Base value per share at other costs of equity</t>
  </si>
  <si>
    <t xml:space="preserve">Cost of equity</t>
  </si>
  <si>
    <t xml:space="preserve">vs share price</t>
  </si>
  <si>
    <t xml:space="preserve">Implied annual return at today's price, base case</t>
  </si>
  <si>
    <t xml:space="preserve">Cost of equity at which base value equals the price (interpolated)</t>
  </si>
  <si>
    <t xml:space="preserve">Note: the rate sensitivity holds book value growth fixed at the base-case path, so it isolates the discount rate.</t>
  </si>
  <si>
    <t xml:space="preserve">Discount rates: calculated (CAPM) versus assumed</t>
  </si>
  <si>
    <t xml:space="preserve">Blue = input, black = formula, green = link. The yellow switches set the rate used on the model sheet. Banks use cost of equity only.</t>
  </si>
  <si>
    <t xml:space="preserve">Rate used in valuations (1 = Calculated, 2 = Assumed)</t>
  </si>
  <si>
    <t xml:space="preserve">Switch. 2 reproduces the doc's figures</t>
  </si>
  <si>
    <t xml:space="preserve">Beta used (1 = Raw 5-year, 2 = Blume adjusted)</t>
  </si>
  <si>
    <t xml:space="preserve">Blume adjusted = 0.67 x raw + 0.33</t>
  </si>
  <si>
    <t xml:space="preserve">Risk-free rate (10-year Treasury)</t>
  </si>
  <si>
    <t xml:space="preserve">FRED via MacroRadar, Oct 6, 2026 (same as earlier journal models)</t>
  </si>
  <si>
    <t xml:space="preserve">Equity risk premium</t>
  </si>
  <si>
    <t xml:space="preserve">Credit spread over risk-free (pre-tax cost of debt)</t>
  </si>
  <si>
    <t xml:space="preserve">Analyst assumption: investment-grade spread</t>
  </si>
  <si>
    <t xml:space="preserve">Bank cost of equity</t>
  </si>
  <si>
    <t xml:space="preserve">JPM</t>
  </si>
  <si>
    <t xml:space="preserve">Source / note</t>
  </si>
  <si>
    <t xml:space="preserve">Raw beta (5-year)</t>
  </si>
  <si>
    <t xml:space="preserve">Stock Analysis statistics, Oct 23, 2026</t>
  </si>
  <si>
    <t xml:space="preserve">Adjusted beta</t>
  </si>
  <si>
    <t xml:space="preserve">Blume</t>
  </si>
  <si>
    <t xml:space="preserve">Beta used</t>
  </si>
  <si>
    <t xml:space="preserve">Per switch in B6</t>
  </si>
  <si>
    <t xml:space="preserve">Calculated cost of equity (CAPM)</t>
  </si>
  <si>
    <t xml:space="preserve">Risk-free + beta x ERP</t>
  </si>
  <si>
    <t xml:space="preserve">Assumed cost of equity</t>
  </si>
  <si>
    <t xml:space="preserve">Analyst assumption used in the doc</t>
  </si>
  <si>
    <t xml:space="preserve">Cost of equity used</t>
  </si>
  <si>
    <t xml:space="preserve">Per switch in B5</t>
  </si>
  <si>
    <t xml:space="preserve">Link row read by bank sheets</t>
  </si>
</sst>
</file>

<file path=xl/styles.xml><?xml version="1.0" encoding="utf-8"?>
<styleSheet xmlns="http://schemas.openxmlformats.org/spreadsheetml/2006/main">
  <numFmts count="9">
    <numFmt numFmtId="164" formatCode="General"/>
    <numFmt numFmtId="165" formatCode="\$#,##0.00;&quot;($&quot;#,##0.00\);\-"/>
    <numFmt numFmtId="166" formatCode="0.0%;\(0.0%\);\-"/>
    <numFmt numFmtId="167" formatCode="0.0%;\-0.0%;0.0%"/>
    <numFmt numFmtId="168" formatCode="0"/>
    <numFmt numFmtId="169" formatCode="#,##0.00;\(#,##0.00\);\-"/>
    <numFmt numFmtId="170" formatCode="0.000"/>
    <numFmt numFmtId="171" formatCode="0.00\x"/>
    <numFmt numFmtId="172" formatCode="0.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555555"/>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10" min="3" style="0" width="13"/>
  </cols>
  <sheetData>
    <row r="1" customFormat="false" ht="16.1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0" t="s">
        <v>12</v>
      </c>
      <c r="B5" s="0" t="s">
        <v>13</v>
      </c>
      <c r="C5" s="4" t="n">
        <f aca="false">JPM!B4</f>
        <v>332.07</v>
      </c>
      <c r="D5" s="5" t="n">
        <f aca="false">JPM!B8</f>
        <v>0.1</v>
      </c>
      <c r="E5" s="4" t="n">
        <f aca="false">JPM!B53</f>
        <v>191.750638967802</v>
      </c>
      <c r="F5" s="4" t="n">
        <f aca="false">JPM!B54</f>
        <v>258.747001228319</v>
      </c>
      <c r="G5" s="4" t="n">
        <f aca="false">JPM!B55</f>
        <v>315.091124276221</v>
      </c>
      <c r="H5" s="6" t="n">
        <f aca="false">F5/C5-1</f>
        <v>-0.220805850488394</v>
      </c>
      <c r="I5" s="5" t="n">
        <f aca="false">JPM!B65</f>
        <v>0.0880383177736682</v>
      </c>
      <c r="J5" s="7" t="n">
        <f aca="false">IF(F5&lt;10,ROUND(F5*4,0)/4,IF(F5&lt;100,ROUND(F5,0),ROUND(F5/5,0)*5))</f>
        <v>260</v>
      </c>
    </row>
    <row r="8" customFormat="false" ht="15" hidden="false" customHeight="false" outlineLevel="0" collapsed="false">
      <c r="A8" s="8" t="s">
        <v>14</v>
      </c>
    </row>
    <row r="9" customFormat="false" ht="15" hidden="false" customHeight="false" outlineLevel="0" collapsed="false">
      <c r="A9" s="0" t="s">
        <v>11</v>
      </c>
      <c r="C9" s="7" t="n">
        <v>260</v>
      </c>
    </row>
    <row r="10" customFormat="false" ht="15" hidden="false" customHeight="false" outlineLevel="0" collapsed="false">
      <c r="A10" s="0" t="s">
        <v>15</v>
      </c>
      <c r="C10" s="7" t="n">
        <v>315</v>
      </c>
    </row>
    <row r="11" customFormat="false" ht="15" hidden="false" customHeight="false" outlineLevel="0" collapsed="false">
      <c r="A11" s="0" t="s">
        <v>16</v>
      </c>
      <c r="C11" s="7" t="n">
        <v>225</v>
      </c>
    </row>
    <row r="12" customFormat="false" ht="15" hidden="false" customHeight="false" outlineLevel="0" collapsed="false">
      <c r="A12" s="0" t="s">
        <v>17</v>
      </c>
      <c r="C12" s="0" t="s">
        <v>18</v>
      </c>
    </row>
    <row r="13" customFormat="false" ht="15" hidden="false" customHeight="false" outlineLevel="0" collapsed="false">
      <c r="A13" s="2" t="s">
        <v>19</v>
      </c>
    </row>
    <row r="15" customFormat="false" ht="15" hidden="false" customHeight="false" outlineLevel="0" collapsed="false">
      <c r="A15" s="8" t="s">
        <v>20</v>
      </c>
    </row>
    <row r="16" customFormat="false" ht="15" hidden="false" customHeight="false" outlineLevel="0" collapsed="false">
      <c r="A16" s="0" t="s">
        <v>21</v>
      </c>
    </row>
    <row r="17" customFormat="false" ht="15" hidden="false" customHeight="false" outlineLevel="0" collapsed="false">
      <c r="A17" s="0" t="s">
        <v>22</v>
      </c>
    </row>
    <row r="18" customFormat="false" ht="15" hidden="false" customHeight="false" outlineLevel="0" collapsed="false">
      <c r="A18" s="0" t="s">
        <v>23</v>
      </c>
    </row>
    <row r="19" customFormat="false" ht="15" hidden="false" customHeight="false" outlineLevel="0" collapsed="false">
      <c r="A19" s="0" t="s">
        <v>24</v>
      </c>
    </row>
    <row r="20" customFormat="false" ht="15" hidden="false" customHeight="false" outlineLevel="0" collapsed="false">
      <c r="A20" s="0" t="s">
        <v>25</v>
      </c>
    </row>
    <row r="21" customFormat="false" ht="15" hidden="false" customHeight="false" outlineLevel="0" collapsed="false">
      <c r="A21" s="0"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12" min="2" style="0" width="11"/>
  </cols>
  <sheetData>
    <row r="1" customFormat="false" ht="16.15" hidden="false" customHeight="false" outlineLevel="0" collapsed="false">
      <c r="A1" s="1" t="s">
        <v>27</v>
      </c>
    </row>
    <row r="2" customFormat="false" ht="15" hidden="false" customHeight="false" outlineLevel="0" collapsed="false">
      <c r="A2" s="2" t="s">
        <v>28</v>
      </c>
    </row>
    <row r="4" customFormat="false" ht="15" hidden="false" customHeight="false" outlineLevel="0" collapsed="false">
      <c r="A4" s="0" t="s">
        <v>29</v>
      </c>
      <c r="B4" s="9" t="n">
        <v>332.07</v>
      </c>
      <c r="C4" s="2" t="s">
        <v>30</v>
      </c>
    </row>
    <row r="5" customFormat="false" ht="15" hidden="false" customHeight="false" outlineLevel="0" collapsed="false">
      <c r="A5" s="0" t="s">
        <v>31</v>
      </c>
      <c r="B5" s="10" t="s">
        <v>32</v>
      </c>
      <c r="C5" s="2" t="s">
        <v>33</v>
      </c>
    </row>
    <row r="6" customFormat="false" ht="15" hidden="false" customHeight="false" outlineLevel="0" collapsed="false">
      <c r="A6" s="0" t="s">
        <v>34</v>
      </c>
      <c r="B6" s="9" t="n">
        <v>109.96</v>
      </c>
      <c r="C6" s="2" t="s">
        <v>35</v>
      </c>
    </row>
    <row r="7" customFormat="false" ht="15" hidden="false" customHeight="false" outlineLevel="0" collapsed="false">
      <c r="A7" s="0" t="s">
        <v>36</v>
      </c>
      <c r="B7" s="11" t="n">
        <v>0.6</v>
      </c>
      <c r="C7" s="2" t="s">
        <v>37</v>
      </c>
    </row>
    <row r="8" customFormat="false" ht="15" hidden="false" customHeight="false" outlineLevel="0" collapsed="false">
      <c r="A8" s="0" t="s">
        <v>38</v>
      </c>
      <c r="B8" s="5" t="n">
        <f aca="false">WACC!B40</f>
        <v>0.1</v>
      </c>
      <c r="C8" s="2" t="s">
        <v>39</v>
      </c>
    </row>
    <row r="9" customFormat="false" ht="15" hidden="false" customHeight="false" outlineLevel="0" collapsed="false">
      <c r="A9" s="0" t="s">
        <v>40</v>
      </c>
      <c r="B9" s="12" t="n">
        <v>2</v>
      </c>
      <c r="C9" s="2" t="s">
        <v>41</v>
      </c>
    </row>
    <row r="11" customFormat="false" ht="15" hidden="false" customHeight="false" outlineLevel="0" collapsed="false">
      <c r="A11" s="8" t="s">
        <v>42</v>
      </c>
      <c r="B11" s="8" t="s">
        <v>43</v>
      </c>
      <c r="C11" s="8" t="s">
        <v>44</v>
      </c>
      <c r="D11" s="8" t="s">
        <v>45</v>
      </c>
      <c r="E11" s="8" t="s">
        <v>46</v>
      </c>
      <c r="F11" s="8" t="s">
        <v>47</v>
      </c>
      <c r="G11" s="8" t="s">
        <v>48</v>
      </c>
      <c r="H11" s="8" t="s">
        <v>49</v>
      </c>
      <c r="I11" s="8" t="s">
        <v>50</v>
      </c>
      <c r="J11" s="8" t="s">
        <v>51</v>
      </c>
      <c r="K11" s="8" t="s">
        <v>52</v>
      </c>
      <c r="L11" s="8" t="s">
        <v>53</v>
      </c>
    </row>
    <row r="12" customFormat="false" ht="15" hidden="false" customHeight="false" outlineLevel="0" collapsed="false">
      <c r="A12" s="0" t="s">
        <v>54</v>
      </c>
      <c r="B12" s="0" t="n">
        <v>1</v>
      </c>
      <c r="C12" s="0" t="n">
        <v>2</v>
      </c>
      <c r="D12" s="0" t="n">
        <v>3</v>
      </c>
      <c r="E12" s="0" t="n">
        <v>4</v>
      </c>
      <c r="F12" s="0" t="n">
        <v>5</v>
      </c>
      <c r="G12" s="0" t="n">
        <v>6</v>
      </c>
      <c r="H12" s="0" t="n">
        <v>7</v>
      </c>
      <c r="I12" s="0" t="n">
        <v>8</v>
      </c>
      <c r="J12" s="0" t="n">
        <v>9</v>
      </c>
      <c r="K12" s="0" t="n">
        <v>10</v>
      </c>
    </row>
    <row r="13" customFormat="false" ht="15" hidden="false" customHeight="false" outlineLevel="0" collapsed="false">
      <c r="A13" s="0" t="s">
        <v>55</v>
      </c>
      <c r="B13" s="0" t="n">
        <v>0</v>
      </c>
      <c r="C13" s="0" t="n">
        <v>0</v>
      </c>
      <c r="D13" s="0" t="n">
        <v>0</v>
      </c>
      <c r="E13" s="0" t="n">
        <v>0</v>
      </c>
      <c r="F13" s="0" t="n">
        <v>0</v>
      </c>
      <c r="G13" s="0" t="n">
        <v>1</v>
      </c>
      <c r="H13" s="0" t="n">
        <v>2</v>
      </c>
      <c r="I13" s="0" t="n">
        <v>3</v>
      </c>
      <c r="J13" s="0" t="n">
        <v>4</v>
      </c>
      <c r="K13" s="0" t="n">
        <v>5</v>
      </c>
    </row>
    <row r="15" customFormat="false" ht="15" hidden="false" customHeight="false" outlineLevel="0" collapsed="false">
      <c r="A15" s="13" t="s">
        <v>56</v>
      </c>
      <c r="B15" s="14"/>
      <c r="C15" s="14"/>
      <c r="D15" s="14"/>
      <c r="E15" s="14"/>
      <c r="F15" s="14"/>
      <c r="G15" s="14"/>
      <c r="H15" s="14"/>
      <c r="I15" s="14"/>
      <c r="J15" s="14"/>
      <c r="K15" s="14"/>
      <c r="L15" s="14"/>
    </row>
    <row r="16" customFormat="false" ht="15" hidden="false" customHeight="false" outlineLevel="0" collapsed="false">
      <c r="A16" s="0" t="s">
        <v>57</v>
      </c>
      <c r="B16" s="11" t="n">
        <v>0.17</v>
      </c>
      <c r="C16" s="11" t="n">
        <v>0.13</v>
      </c>
      <c r="D16" s="11" t="n">
        <v>0.12</v>
      </c>
      <c r="E16" s="11" t="n">
        <v>0.14</v>
      </c>
      <c r="F16" s="11" t="n">
        <v>0.15</v>
      </c>
      <c r="G16" s="15" t="n">
        <f aca="false">$F16+($L16-$F16)*G$13/5</f>
        <v>0.148</v>
      </c>
      <c r="H16" s="15" t="n">
        <f aca="false">$F16+($L16-$F16)*H$13/5</f>
        <v>0.146</v>
      </c>
      <c r="I16" s="15" t="n">
        <f aca="false">$F16+($L16-$F16)*I$13/5</f>
        <v>0.144</v>
      </c>
      <c r="J16" s="15" t="n">
        <f aca="false">$F16+($L16-$F16)*J$13/5</f>
        <v>0.142</v>
      </c>
      <c r="K16" s="15" t="n">
        <f aca="false">$F16+($L16-$F16)*K$13/5</f>
        <v>0.14</v>
      </c>
      <c r="L16" s="16" t="n">
        <v>0.14</v>
      </c>
    </row>
    <row r="17" customFormat="false" ht="15" hidden="false" customHeight="false" outlineLevel="0" collapsed="false">
      <c r="A17" s="0" t="s">
        <v>58</v>
      </c>
      <c r="B17" s="17" t="n">
        <f aca="false">$B$6</f>
        <v>109.96</v>
      </c>
      <c r="C17" s="17" t="n">
        <f aca="false">B17+B19</f>
        <v>117.43728</v>
      </c>
      <c r="D17" s="17" t="n">
        <f aca="false">C17+C19</f>
        <v>123.54401856</v>
      </c>
      <c r="E17" s="17" t="n">
        <f aca="false">D17+D19</f>
        <v>129.47413145088</v>
      </c>
      <c r="F17" s="17" t="n">
        <f aca="false">E17+E19</f>
        <v>136.724682812129</v>
      </c>
      <c r="G17" s="17" t="n">
        <f aca="false">F17+F19</f>
        <v>144.928163780857</v>
      </c>
      <c r="H17" s="17" t="n">
        <f aca="false">G17+G19</f>
        <v>153.507911076684</v>
      </c>
      <c r="I17" s="17" t="n">
        <f aca="false">H17+H19</f>
        <v>162.472773083562</v>
      </c>
      <c r="J17" s="17" t="n">
        <f aca="false">I17+I19</f>
        <v>171.831204813175</v>
      </c>
      <c r="K17" s="17" t="n">
        <f aca="false">J17+J19</f>
        <v>181.591217246564</v>
      </c>
      <c r="L17" s="17" t="n">
        <f aca="false">K17+K19</f>
        <v>191.760325412371</v>
      </c>
    </row>
    <row r="18" customFormat="false" ht="15" hidden="false" customHeight="false" outlineLevel="0" collapsed="false">
      <c r="A18" s="0" t="s">
        <v>59</v>
      </c>
      <c r="B18" s="17" t="n">
        <f aca="false">B16*B17</f>
        <v>18.6932</v>
      </c>
      <c r="C18" s="17" t="n">
        <f aca="false">C16*C17</f>
        <v>15.2668464</v>
      </c>
      <c r="D18" s="17" t="n">
        <f aca="false">D16*D17</f>
        <v>14.8252822272</v>
      </c>
      <c r="E18" s="17" t="n">
        <f aca="false">E16*E17</f>
        <v>18.1263784031232</v>
      </c>
      <c r="F18" s="17" t="n">
        <f aca="false">F16*F17</f>
        <v>20.5087024218194</v>
      </c>
      <c r="G18" s="17" t="n">
        <f aca="false">G16*G17</f>
        <v>21.4493682395668</v>
      </c>
      <c r="H18" s="17" t="n">
        <f aca="false">H16*H17</f>
        <v>22.4121550171958</v>
      </c>
      <c r="I18" s="17" t="n">
        <f aca="false">I16*I17</f>
        <v>23.3960793240329</v>
      </c>
      <c r="J18" s="17" t="n">
        <f aca="false">J16*J17</f>
        <v>24.4000310834709</v>
      </c>
      <c r="K18" s="17" t="n">
        <f aca="false">K16*K17</f>
        <v>25.4227704145189</v>
      </c>
      <c r="L18" s="17"/>
    </row>
    <row r="19" customFormat="false" ht="15" hidden="false" customHeight="false" outlineLevel="0" collapsed="false">
      <c r="A19" s="0" t="s">
        <v>60</v>
      </c>
      <c r="B19" s="17" t="n">
        <f aca="false">B18*(1-$B$7)</f>
        <v>7.47728</v>
      </c>
      <c r="C19" s="17" t="n">
        <f aca="false">C18*(1-$B$7)</f>
        <v>6.10673856</v>
      </c>
      <c r="D19" s="17" t="n">
        <f aca="false">D18*(1-$B$7)</f>
        <v>5.93011289088</v>
      </c>
      <c r="E19" s="17" t="n">
        <f aca="false">E18*(1-$B$7)</f>
        <v>7.25055136124928</v>
      </c>
      <c r="F19" s="17" t="n">
        <f aca="false">F18*(1-$B$7)</f>
        <v>8.20348096872776</v>
      </c>
      <c r="G19" s="17" t="n">
        <f aca="false">G18*(1-$B$7)</f>
        <v>8.57974729582674</v>
      </c>
      <c r="H19" s="17" t="n">
        <f aca="false">H18*(1-$B$7)</f>
        <v>8.96486200687833</v>
      </c>
      <c r="I19" s="17" t="n">
        <f aca="false">I18*(1-$B$7)</f>
        <v>9.35843172961318</v>
      </c>
      <c r="J19" s="17" t="n">
        <f aca="false">J18*(1-$B$7)</f>
        <v>9.76001243338836</v>
      </c>
      <c r="K19" s="17" t="n">
        <f aca="false">K18*(1-$B$7)</f>
        <v>10.1691081658076</v>
      </c>
      <c r="L19" s="17"/>
    </row>
    <row r="20" customFormat="false" ht="15" hidden="false" customHeight="false" outlineLevel="0" collapsed="false">
      <c r="A20" s="0" t="s">
        <v>61</v>
      </c>
      <c r="B20" s="17" t="n">
        <f aca="false">(B16-$B$8)*B17</f>
        <v>7.6972</v>
      </c>
      <c r="C20" s="17" t="n">
        <f aca="false">(C16-$B$8)*C17</f>
        <v>3.5231184</v>
      </c>
      <c r="D20" s="17" t="n">
        <f aca="false">(D16-$B$8)*D17</f>
        <v>2.4708803712</v>
      </c>
      <c r="E20" s="17" t="n">
        <f aca="false">(E16-$B$8)*E17</f>
        <v>5.1789652580352</v>
      </c>
      <c r="F20" s="17" t="n">
        <f aca="false">(F16-$B$8)*F17</f>
        <v>6.83623414060646</v>
      </c>
      <c r="G20" s="17" t="n">
        <f aca="false">(G16-$B$8)*G17</f>
        <v>6.95655186148114</v>
      </c>
      <c r="H20" s="17" t="n">
        <f aca="false">(H16-$B$8)*H17</f>
        <v>7.06136390952745</v>
      </c>
      <c r="I20" s="17" t="n">
        <f aca="false">(I16-$B$8)*I17</f>
        <v>7.14880201567673</v>
      </c>
      <c r="J20" s="17" t="n">
        <f aca="false">(J16-$B$8)*J17</f>
        <v>7.21691060215336</v>
      </c>
      <c r="K20" s="17" t="n">
        <f aca="false">(K16-$B$8)*K17</f>
        <v>7.26364868986255</v>
      </c>
      <c r="L20" s="17" t="n">
        <f aca="false">(L16-$B$8)*L17</f>
        <v>7.67041301649485</v>
      </c>
    </row>
    <row r="21" customFormat="false" ht="15" hidden="false" customHeight="false" outlineLevel="0" collapsed="false">
      <c r="A21" s="0" t="s">
        <v>62</v>
      </c>
      <c r="B21" s="18" t="n">
        <f aca="false">1/(1+$B$8)^B$12</f>
        <v>0.909090909090909</v>
      </c>
      <c r="C21" s="18" t="n">
        <f aca="false">1/(1+$B$8)^C$12</f>
        <v>0.826446280991735</v>
      </c>
      <c r="D21" s="18" t="n">
        <f aca="false">1/(1+$B$8)^D$12</f>
        <v>0.751314800901578</v>
      </c>
      <c r="E21" s="18" t="n">
        <f aca="false">1/(1+$B$8)^E$12</f>
        <v>0.683013455365071</v>
      </c>
      <c r="F21" s="18" t="n">
        <f aca="false">1/(1+$B$8)^F$12</f>
        <v>0.620921323059155</v>
      </c>
      <c r="G21" s="18" t="n">
        <f aca="false">1/(1+$B$8)^G$12</f>
        <v>0.564473930053777</v>
      </c>
      <c r="H21" s="18" t="n">
        <f aca="false">1/(1+$B$8)^H$12</f>
        <v>0.513158118230707</v>
      </c>
      <c r="I21" s="18" t="n">
        <f aca="false">1/(1+$B$8)^I$12</f>
        <v>0.466507380209733</v>
      </c>
      <c r="J21" s="18" t="n">
        <f aca="false">1/(1+$B$8)^J$12</f>
        <v>0.424097618372485</v>
      </c>
      <c r="K21" s="18" t="n">
        <f aca="false">1/(1+$B$8)^K$12</f>
        <v>0.385543289429531</v>
      </c>
      <c r="L21" s="18"/>
    </row>
    <row r="22" customFormat="false" ht="15" hidden="false" customHeight="false" outlineLevel="0" collapsed="false">
      <c r="A22" s="0" t="s">
        <v>63</v>
      </c>
      <c r="B22" s="17" t="n">
        <f aca="false">B20*B21</f>
        <v>6.99745454545455</v>
      </c>
      <c r="C22" s="17" t="n">
        <f aca="false">C20*C21</f>
        <v>2.91166809917355</v>
      </c>
      <c r="D22" s="17" t="n">
        <f aca="false">D20*D21</f>
        <v>1.85640899413974</v>
      </c>
      <c r="E22" s="17" t="n">
        <f aca="false">E20*E21</f>
        <v>3.53730295610628</v>
      </c>
      <c r="F22" s="17" t="n">
        <f aca="false">F20*F21</f>
        <v>4.24476354732753</v>
      </c>
      <c r="G22" s="17" t="n">
        <f aca="false">G20*G21</f>
        <v>3.92679216887318</v>
      </c>
      <c r="H22" s="17" t="n">
        <f aca="false">H20*H21</f>
        <v>3.62359621595533</v>
      </c>
      <c r="I22" s="17" t="n">
        <f aca="false">I20*I21</f>
        <v>3.33496889997141</v>
      </c>
      <c r="J22" s="17" t="n">
        <f aca="false">J20*J21</f>
        <v>3.06067459838037</v>
      </c>
      <c r="K22" s="17" t="n">
        <f aca="false">K20*K21</f>
        <v>2.80045100915011</v>
      </c>
      <c r="L22" s="17"/>
    </row>
    <row r="23" customFormat="false" ht="15" hidden="false" customHeight="false" outlineLevel="0" collapsed="false">
      <c r="A23" s="0" t="s">
        <v>64</v>
      </c>
      <c r="B23" s="11" t="n">
        <v>0.035</v>
      </c>
    </row>
    <row r="24" customFormat="false" ht="15" hidden="false" customHeight="false" outlineLevel="0" collapsed="false">
      <c r="A24" s="0" t="s">
        <v>65</v>
      </c>
      <c r="B24" s="7" t="n">
        <f aca="false">L20/($B$8-B23)/(1+$B$8)^$K$12</f>
        <v>45.4965579332695</v>
      </c>
    </row>
    <row r="25" customFormat="false" ht="15" hidden="false" customHeight="false" outlineLevel="0" collapsed="false">
      <c r="A25" s="0" t="s">
        <v>66</v>
      </c>
      <c r="B25" s="19" t="n">
        <f aca="false">$B$6+SUM(B22:K22)+B24</f>
        <v>191.750638967802</v>
      </c>
    </row>
    <row r="26" customFormat="false" ht="15" hidden="false" customHeight="false" outlineLevel="0" collapsed="false">
      <c r="A26" s="0" t="s">
        <v>67</v>
      </c>
      <c r="B26" s="6" t="n">
        <f aca="false">B25/$B$4-1</f>
        <v>-0.422559583919651</v>
      </c>
    </row>
    <row r="27" customFormat="false" ht="15" hidden="false" customHeight="false" outlineLevel="0" collapsed="false">
      <c r="A27" s="13" t="s">
        <v>68</v>
      </c>
      <c r="B27" s="14"/>
      <c r="C27" s="14"/>
      <c r="D27" s="14"/>
      <c r="E27" s="14"/>
      <c r="F27" s="14"/>
      <c r="G27" s="14"/>
      <c r="H27" s="14"/>
      <c r="I27" s="14"/>
      <c r="J27" s="14"/>
      <c r="K27" s="14"/>
      <c r="L27" s="14"/>
    </row>
    <row r="28" customFormat="false" ht="15" hidden="false" customHeight="false" outlineLevel="0" collapsed="false">
      <c r="A28" s="0" t="s">
        <v>57</v>
      </c>
      <c r="B28" s="11" t="n">
        <v>0.2</v>
      </c>
      <c r="C28" s="11" t="n">
        <v>0.19</v>
      </c>
      <c r="D28" s="11" t="n">
        <v>0.18</v>
      </c>
      <c r="E28" s="11" t="n">
        <v>0.17</v>
      </c>
      <c r="F28" s="11" t="n">
        <v>0.17</v>
      </c>
      <c r="G28" s="15" t="n">
        <f aca="false">$F28+($L28-$F28)*G$13/5</f>
        <v>0.168</v>
      </c>
      <c r="H28" s="15" t="n">
        <f aca="false">$F28+($L28-$F28)*H$13/5</f>
        <v>0.166</v>
      </c>
      <c r="I28" s="15" t="n">
        <f aca="false">$F28+($L28-$F28)*I$13/5</f>
        <v>0.164</v>
      </c>
      <c r="J28" s="15" t="n">
        <f aca="false">$F28+($L28-$F28)*J$13/5</f>
        <v>0.162</v>
      </c>
      <c r="K28" s="15" t="n">
        <f aca="false">$F28+($L28-$F28)*K$13/5</f>
        <v>0.16</v>
      </c>
      <c r="L28" s="16" t="n">
        <v>0.16</v>
      </c>
    </row>
    <row r="29" customFormat="false" ht="15" hidden="false" customHeight="false" outlineLevel="0" collapsed="false">
      <c r="A29" s="0" t="s">
        <v>58</v>
      </c>
      <c r="B29" s="17" t="n">
        <f aca="false">$B$6</f>
        <v>109.96</v>
      </c>
      <c r="C29" s="17" t="n">
        <f aca="false">B29+B31</f>
        <v>118.7568</v>
      </c>
      <c r="D29" s="17" t="n">
        <f aca="false">C29+C31</f>
        <v>127.7823168</v>
      </c>
      <c r="E29" s="17" t="n">
        <f aca="false">D29+D31</f>
        <v>136.9826436096</v>
      </c>
      <c r="F29" s="17" t="n">
        <f aca="false">E29+E31</f>
        <v>146.297463375053</v>
      </c>
      <c r="G29" s="17" t="n">
        <f aca="false">F29+F31</f>
        <v>156.245690884556</v>
      </c>
      <c r="H29" s="17" t="n">
        <f aca="false">G29+G31</f>
        <v>166.745401311999</v>
      </c>
      <c r="I29" s="17" t="n">
        <f aca="false">H29+H31</f>
        <v>177.817295959115</v>
      </c>
      <c r="J29" s="17" t="n">
        <f aca="false">I29+I31</f>
        <v>189.482110574033</v>
      </c>
      <c r="K29" s="17" t="n">
        <f aca="false">J29+J31</f>
        <v>201.760551339231</v>
      </c>
      <c r="L29" s="17" t="n">
        <f aca="false">K29+K31</f>
        <v>214.673226624941</v>
      </c>
    </row>
    <row r="30" customFormat="false" ht="15" hidden="false" customHeight="false" outlineLevel="0" collapsed="false">
      <c r="A30" s="0" t="s">
        <v>59</v>
      </c>
      <c r="B30" s="17" t="n">
        <f aca="false">B28*B29</f>
        <v>21.992</v>
      </c>
      <c r="C30" s="17" t="n">
        <f aca="false">C28*C29</f>
        <v>22.563792</v>
      </c>
      <c r="D30" s="17" t="n">
        <f aca="false">D28*D29</f>
        <v>23.000817024</v>
      </c>
      <c r="E30" s="17" t="n">
        <f aca="false">E28*E29</f>
        <v>23.287049413632</v>
      </c>
      <c r="F30" s="17" t="n">
        <f aca="false">F28*F29</f>
        <v>24.870568773759</v>
      </c>
      <c r="G30" s="17" t="n">
        <f aca="false">G28*G29</f>
        <v>26.2492760686055</v>
      </c>
      <c r="H30" s="17" t="n">
        <f aca="false">H28*H29</f>
        <v>27.6797366177918</v>
      </c>
      <c r="I30" s="17" t="n">
        <f aca="false">I28*I29</f>
        <v>29.1620365372949</v>
      </c>
      <c r="J30" s="17" t="n">
        <f aca="false">J28*J29</f>
        <v>30.6961019129934</v>
      </c>
      <c r="K30" s="17" t="n">
        <f aca="false">K28*K29</f>
        <v>32.2816882142769</v>
      </c>
      <c r="L30" s="17"/>
    </row>
    <row r="31" customFormat="false" ht="15" hidden="false" customHeight="false" outlineLevel="0" collapsed="false">
      <c r="A31" s="0" t="s">
        <v>60</v>
      </c>
      <c r="B31" s="17" t="n">
        <f aca="false">B30*(1-$B$7)</f>
        <v>8.7968</v>
      </c>
      <c r="C31" s="17" t="n">
        <f aca="false">C30*(1-$B$7)</f>
        <v>9.0255168</v>
      </c>
      <c r="D31" s="17" t="n">
        <f aca="false">D30*(1-$B$7)</f>
        <v>9.2003268096</v>
      </c>
      <c r="E31" s="17" t="n">
        <f aca="false">E30*(1-$B$7)</f>
        <v>9.3148197654528</v>
      </c>
      <c r="F31" s="17" t="n">
        <f aca="false">F30*(1-$B$7)</f>
        <v>9.94822750950359</v>
      </c>
      <c r="G31" s="17" t="n">
        <f aca="false">G30*(1-$B$7)</f>
        <v>10.4997104274422</v>
      </c>
      <c r="H31" s="17" t="n">
        <f aca="false">H30*(1-$B$7)</f>
        <v>11.0718946471167</v>
      </c>
      <c r="I31" s="17" t="n">
        <f aca="false">I30*(1-$B$7)</f>
        <v>11.664814614918</v>
      </c>
      <c r="J31" s="17" t="n">
        <f aca="false">J30*(1-$B$7)</f>
        <v>12.2784407651974</v>
      </c>
      <c r="K31" s="17" t="n">
        <f aca="false">K30*(1-$B$7)</f>
        <v>12.9126752857108</v>
      </c>
      <c r="L31" s="17"/>
    </row>
    <row r="32" customFormat="false" ht="15" hidden="false" customHeight="false" outlineLevel="0" collapsed="false">
      <c r="A32" s="0" t="s">
        <v>61</v>
      </c>
      <c r="B32" s="17" t="n">
        <f aca="false">(B28-$B$8)*B29</f>
        <v>10.996</v>
      </c>
      <c r="C32" s="17" t="n">
        <f aca="false">(C28-$B$8)*C29</f>
        <v>10.688112</v>
      </c>
      <c r="D32" s="17" t="n">
        <f aca="false">(D28-$B$8)*D29</f>
        <v>10.222585344</v>
      </c>
      <c r="E32" s="17" t="n">
        <f aca="false">(E28-$B$8)*E29</f>
        <v>9.588785052672</v>
      </c>
      <c r="F32" s="17" t="n">
        <f aca="false">(F28-$B$8)*F29</f>
        <v>10.2408224362537</v>
      </c>
      <c r="G32" s="17" t="n">
        <f aca="false">(G28-$B$8)*G29</f>
        <v>10.6247069801498</v>
      </c>
      <c r="H32" s="17" t="n">
        <f aca="false">(H28-$B$8)*H29</f>
        <v>11.0051964865919</v>
      </c>
      <c r="I32" s="17" t="n">
        <f aca="false">(I28-$B$8)*I29</f>
        <v>11.3803069413834</v>
      </c>
      <c r="J32" s="17" t="n">
        <f aca="false">(J28-$B$8)*J29</f>
        <v>11.7478908555901</v>
      </c>
      <c r="K32" s="17" t="n">
        <f aca="false">(K28-$B$8)*K29</f>
        <v>12.1056330803538</v>
      </c>
      <c r="L32" s="17" t="n">
        <f aca="false">(L28-$B$8)*L29</f>
        <v>12.8803935974965</v>
      </c>
    </row>
    <row r="33" customFormat="false" ht="15" hidden="false" customHeight="false" outlineLevel="0" collapsed="false">
      <c r="A33" s="0" t="s">
        <v>62</v>
      </c>
      <c r="B33" s="18" t="n">
        <f aca="false">1/(1+$B$8)^B$12</f>
        <v>0.909090909090909</v>
      </c>
      <c r="C33" s="18" t="n">
        <f aca="false">1/(1+$B$8)^C$12</f>
        <v>0.826446280991735</v>
      </c>
      <c r="D33" s="18" t="n">
        <f aca="false">1/(1+$B$8)^D$12</f>
        <v>0.751314800901578</v>
      </c>
      <c r="E33" s="18" t="n">
        <f aca="false">1/(1+$B$8)^E$12</f>
        <v>0.683013455365071</v>
      </c>
      <c r="F33" s="18" t="n">
        <f aca="false">1/(1+$B$8)^F$12</f>
        <v>0.620921323059155</v>
      </c>
      <c r="G33" s="18" t="n">
        <f aca="false">1/(1+$B$8)^G$12</f>
        <v>0.564473930053777</v>
      </c>
      <c r="H33" s="18" t="n">
        <f aca="false">1/(1+$B$8)^H$12</f>
        <v>0.513158118230707</v>
      </c>
      <c r="I33" s="18" t="n">
        <f aca="false">1/(1+$B$8)^I$12</f>
        <v>0.466507380209733</v>
      </c>
      <c r="J33" s="18" t="n">
        <f aca="false">1/(1+$B$8)^J$12</f>
        <v>0.424097618372485</v>
      </c>
      <c r="K33" s="18" t="n">
        <f aca="false">1/(1+$B$8)^K$12</f>
        <v>0.385543289429531</v>
      </c>
      <c r="L33" s="18"/>
    </row>
    <row r="34" customFormat="false" ht="15" hidden="false" customHeight="false" outlineLevel="0" collapsed="false">
      <c r="A34" s="0" t="s">
        <v>63</v>
      </c>
      <c r="B34" s="17" t="n">
        <f aca="false">B32*B33</f>
        <v>9.99636363636364</v>
      </c>
      <c r="C34" s="17" t="n">
        <f aca="false">C32*C33</f>
        <v>8.83315041322314</v>
      </c>
      <c r="D34" s="17" t="n">
        <f aca="false">D32*D33</f>
        <v>7.68037967242674</v>
      </c>
      <c r="E34" s="17" t="n">
        <f aca="false">E32*E33</f>
        <v>6.54926921157844</v>
      </c>
      <c r="F34" s="17" t="n">
        <f aca="false">F32*F33</f>
        <v>6.35874501633252</v>
      </c>
      <c r="G34" s="17" t="n">
        <f aca="false">G32*G33</f>
        <v>5.99737010475498</v>
      </c>
      <c r="H34" s="17" t="n">
        <f aca="false">H32*H33</f>
        <v>5.64740591981869</v>
      </c>
      <c r="I34" s="17" t="n">
        <f aca="false">I32*I33</f>
        <v>5.3089971772074</v>
      </c>
      <c r="J34" s="17" t="n">
        <f aca="false">J32*J33</f>
        <v>4.98225253275564</v>
      </c>
      <c r="K34" s="17" t="n">
        <f aca="false">K32*K33</f>
        <v>4.66724559842657</v>
      </c>
      <c r="L34" s="17"/>
    </row>
    <row r="35" customFormat="false" ht="15" hidden="false" customHeight="false" outlineLevel="0" collapsed="false">
      <c r="A35" s="0" t="s">
        <v>64</v>
      </c>
      <c r="B35" s="11" t="n">
        <v>0.04</v>
      </c>
    </row>
    <row r="36" customFormat="false" ht="15" hidden="false" customHeight="false" outlineLevel="0" collapsed="false">
      <c r="A36" s="0" t="s">
        <v>65</v>
      </c>
      <c r="B36" s="7" t="n">
        <f aca="false">L32/($B$8-B35)/(1+$B$8)^$K$12</f>
        <v>82.7658219454312</v>
      </c>
    </row>
    <row r="37" customFormat="false" ht="15" hidden="false" customHeight="false" outlineLevel="0" collapsed="false">
      <c r="A37" s="0" t="s">
        <v>66</v>
      </c>
      <c r="B37" s="19" t="n">
        <f aca="false">$B$6+SUM(B34:K34)+B36</f>
        <v>258.747001228319</v>
      </c>
    </row>
    <row r="38" customFormat="false" ht="15" hidden="false" customHeight="false" outlineLevel="0" collapsed="false">
      <c r="A38" s="0" t="s">
        <v>67</v>
      </c>
      <c r="B38" s="6" t="n">
        <f aca="false">B37/$B$4-1</f>
        <v>-0.220805850488394</v>
      </c>
    </row>
    <row r="39" customFormat="false" ht="15" hidden="false" customHeight="false" outlineLevel="0" collapsed="false">
      <c r="A39" s="13" t="s">
        <v>69</v>
      </c>
      <c r="B39" s="14"/>
      <c r="C39" s="14"/>
      <c r="D39" s="14"/>
      <c r="E39" s="14"/>
      <c r="F39" s="14"/>
      <c r="G39" s="14"/>
      <c r="H39" s="14"/>
      <c r="I39" s="14"/>
      <c r="J39" s="14"/>
      <c r="K39" s="14"/>
      <c r="L39" s="14"/>
    </row>
    <row r="40" customFormat="false" ht="15" hidden="false" customHeight="false" outlineLevel="0" collapsed="false">
      <c r="A40" s="0" t="s">
        <v>57</v>
      </c>
      <c r="B40" s="11" t="n">
        <v>0.21</v>
      </c>
      <c r="C40" s="11" t="n">
        <v>0.21</v>
      </c>
      <c r="D40" s="11" t="n">
        <v>0.2</v>
      </c>
      <c r="E40" s="11" t="n">
        <v>0.2</v>
      </c>
      <c r="F40" s="11" t="n">
        <v>0.19</v>
      </c>
      <c r="G40" s="15" t="n">
        <f aca="false">$F40+($L40-$F40)*G$13/5</f>
        <v>0.188</v>
      </c>
      <c r="H40" s="15" t="n">
        <f aca="false">$F40+($L40-$F40)*H$13/5</f>
        <v>0.186</v>
      </c>
      <c r="I40" s="15" t="n">
        <f aca="false">$F40+($L40-$F40)*I$13/5</f>
        <v>0.184</v>
      </c>
      <c r="J40" s="15" t="n">
        <f aca="false">$F40+($L40-$F40)*J$13/5</f>
        <v>0.182</v>
      </c>
      <c r="K40" s="15" t="n">
        <f aca="false">$F40+($L40-$F40)*K$13/5</f>
        <v>0.18</v>
      </c>
      <c r="L40" s="16" t="n">
        <v>0.18</v>
      </c>
    </row>
    <row r="41" customFormat="false" ht="15" hidden="false" customHeight="false" outlineLevel="0" collapsed="false">
      <c r="A41" s="0" t="s">
        <v>58</v>
      </c>
      <c r="B41" s="17" t="n">
        <f aca="false">$B$6</f>
        <v>109.96</v>
      </c>
      <c r="C41" s="17" t="n">
        <f aca="false">B41+B43</f>
        <v>119.19664</v>
      </c>
      <c r="D41" s="17" t="n">
        <f aca="false">C41+C43</f>
        <v>129.20915776</v>
      </c>
      <c r="E41" s="17" t="n">
        <f aca="false">D41+D43</f>
        <v>139.5458903808</v>
      </c>
      <c r="F41" s="17" t="n">
        <f aca="false">E41+E43</f>
        <v>150.709561611264</v>
      </c>
      <c r="G41" s="17" t="n">
        <f aca="false">F41+F43</f>
        <v>162.16348829372</v>
      </c>
      <c r="H41" s="17" t="n">
        <f aca="false">G41+G43</f>
        <v>174.358182613408</v>
      </c>
      <c r="I41" s="17" t="n">
        <f aca="false">H41+H43</f>
        <v>187.330431399845</v>
      </c>
      <c r="J41" s="17" t="n">
        <f aca="false">I41+I43</f>
        <v>201.117951150874</v>
      </c>
      <c r="K41" s="17" t="n">
        <f aca="false">J41+J43</f>
        <v>215.759337994658</v>
      </c>
      <c r="L41" s="17" t="n">
        <f aca="false">K41+K43</f>
        <v>231.294010330273</v>
      </c>
    </row>
    <row r="42" customFormat="false" ht="15" hidden="false" customHeight="false" outlineLevel="0" collapsed="false">
      <c r="A42" s="0" t="s">
        <v>59</v>
      </c>
      <c r="B42" s="17" t="n">
        <f aca="false">B40*B41</f>
        <v>23.0916</v>
      </c>
      <c r="C42" s="17" t="n">
        <f aca="false">C40*C41</f>
        <v>25.0312944</v>
      </c>
      <c r="D42" s="17" t="n">
        <f aca="false">D40*D41</f>
        <v>25.841831552</v>
      </c>
      <c r="E42" s="17" t="n">
        <f aca="false">E40*E41</f>
        <v>27.90917807616</v>
      </c>
      <c r="F42" s="17" t="n">
        <f aca="false">F40*F41</f>
        <v>28.6348167061402</v>
      </c>
      <c r="G42" s="17" t="n">
        <f aca="false">G40*G41</f>
        <v>30.4867357992194</v>
      </c>
      <c r="H42" s="17" t="n">
        <f aca="false">H40*H41</f>
        <v>32.4306219660939</v>
      </c>
      <c r="I42" s="17" t="n">
        <f aca="false">I40*I41</f>
        <v>34.4687993775715</v>
      </c>
      <c r="J42" s="17" t="n">
        <f aca="false">J40*J41</f>
        <v>36.6034671094591</v>
      </c>
      <c r="K42" s="17" t="n">
        <f aca="false">K40*K41</f>
        <v>38.8366808390384</v>
      </c>
      <c r="L42" s="17"/>
    </row>
    <row r="43" customFormat="false" ht="15" hidden="false" customHeight="false" outlineLevel="0" collapsed="false">
      <c r="A43" s="0" t="s">
        <v>60</v>
      </c>
      <c r="B43" s="17" t="n">
        <f aca="false">B42*(1-$B$7)</f>
        <v>9.23664</v>
      </c>
      <c r="C43" s="17" t="n">
        <f aca="false">C42*(1-$B$7)</f>
        <v>10.01251776</v>
      </c>
      <c r="D43" s="17" t="n">
        <f aca="false">D42*(1-$B$7)</f>
        <v>10.3367326208</v>
      </c>
      <c r="E43" s="17" t="n">
        <f aca="false">E42*(1-$B$7)</f>
        <v>11.163671230464</v>
      </c>
      <c r="F43" s="17" t="n">
        <f aca="false">F42*(1-$B$7)</f>
        <v>11.4539266824561</v>
      </c>
      <c r="G43" s="17" t="n">
        <f aca="false">G42*(1-$B$7)</f>
        <v>12.1946943196877</v>
      </c>
      <c r="H43" s="17" t="n">
        <f aca="false">H42*(1-$B$7)</f>
        <v>12.9722487864375</v>
      </c>
      <c r="I43" s="17" t="n">
        <f aca="false">I42*(1-$B$7)</f>
        <v>13.7875197510286</v>
      </c>
      <c r="J43" s="17" t="n">
        <f aca="false">J42*(1-$B$7)</f>
        <v>14.6413868437836</v>
      </c>
      <c r="K43" s="17" t="n">
        <f aca="false">K42*(1-$B$7)</f>
        <v>15.5346723356153</v>
      </c>
      <c r="L43" s="17"/>
    </row>
    <row r="44" customFormat="false" ht="15" hidden="false" customHeight="false" outlineLevel="0" collapsed="false">
      <c r="A44" s="0" t="s">
        <v>61</v>
      </c>
      <c r="B44" s="17" t="n">
        <f aca="false">(B40-$B$8)*B41</f>
        <v>12.0956</v>
      </c>
      <c r="C44" s="17" t="n">
        <f aca="false">(C40-$B$8)*C41</f>
        <v>13.1116304</v>
      </c>
      <c r="D44" s="17" t="n">
        <f aca="false">(D40-$B$8)*D41</f>
        <v>12.920915776</v>
      </c>
      <c r="E44" s="17" t="n">
        <f aca="false">(E40-$B$8)*E41</f>
        <v>13.95458903808</v>
      </c>
      <c r="F44" s="17" t="n">
        <f aca="false">(F40-$B$8)*F41</f>
        <v>13.5638605450138</v>
      </c>
      <c r="G44" s="17" t="n">
        <f aca="false">(G40-$B$8)*G41</f>
        <v>14.2703869698474</v>
      </c>
      <c r="H44" s="17" t="n">
        <f aca="false">(H40-$B$8)*H41</f>
        <v>14.9948037047531</v>
      </c>
      <c r="I44" s="17" t="n">
        <f aca="false">(I40-$B$8)*I41</f>
        <v>15.735756237587</v>
      </c>
      <c r="J44" s="17" t="n">
        <f aca="false">(J40-$B$8)*J41</f>
        <v>16.4916719943717</v>
      </c>
      <c r="K44" s="17" t="n">
        <f aca="false">(K40-$B$8)*K41</f>
        <v>17.2607470395726</v>
      </c>
      <c r="L44" s="17" t="n">
        <f aca="false">(L40-$B$8)*L41</f>
        <v>18.5035208264218</v>
      </c>
    </row>
    <row r="45" customFormat="false" ht="15" hidden="false" customHeight="false" outlineLevel="0" collapsed="false">
      <c r="A45" s="0" t="s">
        <v>62</v>
      </c>
      <c r="B45" s="18" t="n">
        <f aca="false">1/(1+$B$8)^B$12</f>
        <v>0.909090909090909</v>
      </c>
      <c r="C45" s="18" t="n">
        <f aca="false">1/(1+$B$8)^C$12</f>
        <v>0.826446280991735</v>
      </c>
      <c r="D45" s="18" t="n">
        <f aca="false">1/(1+$B$8)^D$12</f>
        <v>0.751314800901578</v>
      </c>
      <c r="E45" s="18" t="n">
        <f aca="false">1/(1+$B$8)^E$12</f>
        <v>0.683013455365071</v>
      </c>
      <c r="F45" s="18" t="n">
        <f aca="false">1/(1+$B$8)^F$12</f>
        <v>0.620921323059155</v>
      </c>
      <c r="G45" s="18" t="n">
        <f aca="false">1/(1+$B$8)^G$12</f>
        <v>0.564473930053777</v>
      </c>
      <c r="H45" s="18" t="n">
        <f aca="false">1/(1+$B$8)^H$12</f>
        <v>0.513158118230707</v>
      </c>
      <c r="I45" s="18" t="n">
        <f aca="false">1/(1+$B$8)^I$12</f>
        <v>0.466507380209733</v>
      </c>
      <c r="J45" s="18" t="n">
        <f aca="false">1/(1+$B$8)^J$12</f>
        <v>0.424097618372485</v>
      </c>
      <c r="K45" s="18" t="n">
        <f aca="false">1/(1+$B$8)^K$12</f>
        <v>0.385543289429531</v>
      </c>
      <c r="L45" s="18"/>
    </row>
    <row r="46" customFormat="false" ht="15" hidden="false" customHeight="false" outlineLevel="0" collapsed="false">
      <c r="A46" s="0" t="s">
        <v>63</v>
      </c>
      <c r="B46" s="17" t="n">
        <f aca="false">B44*B45</f>
        <v>10.996</v>
      </c>
      <c r="C46" s="17" t="n">
        <f aca="false">C44*C45</f>
        <v>10.8360581818182</v>
      </c>
      <c r="D46" s="17" t="n">
        <f aca="false">D44*D45</f>
        <v>9.70767526371149</v>
      </c>
      <c r="E46" s="17" t="n">
        <f aca="false">E44*E45</f>
        <v>9.53117207709856</v>
      </c>
      <c r="F46" s="17" t="n">
        <f aca="false">F44*F45</f>
        <v>8.42209023539981</v>
      </c>
      <c r="G46" s="17" t="n">
        <f aca="false">G44*G45</f>
        <v>8.05526141625795</v>
      </c>
      <c r="H46" s="17" t="n">
        <f aca="false">H44*H45</f>
        <v>7.69470525236991</v>
      </c>
      <c r="I46" s="17" t="n">
        <f aca="false">I44*I45</f>
        <v>7.34084641801568</v>
      </c>
      <c r="J46" s="17" t="n">
        <f aca="false">J44*J45</f>
        <v>6.99407881579322</v>
      </c>
      <c r="K46" s="17" t="n">
        <f aca="false">K44*K45</f>
        <v>6.65476519164787</v>
      </c>
      <c r="L46" s="17"/>
    </row>
    <row r="47" customFormat="false" ht="15" hidden="false" customHeight="false" outlineLevel="0" collapsed="false">
      <c r="A47" s="0" t="s">
        <v>64</v>
      </c>
      <c r="B47" s="11" t="n">
        <v>0.04</v>
      </c>
    </row>
    <row r="48" customFormat="false" ht="15" hidden="false" customHeight="false" outlineLevel="0" collapsed="false">
      <c r="A48" s="0" t="s">
        <v>65</v>
      </c>
      <c r="B48" s="7" t="n">
        <f aca="false">L44/($B$8-B47)/(1+$B$8)^$K$12</f>
        <v>118.898471424109</v>
      </c>
    </row>
    <row r="49" customFormat="false" ht="15" hidden="false" customHeight="false" outlineLevel="0" collapsed="false">
      <c r="A49" s="0" t="s">
        <v>66</v>
      </c>
      <c r="B49" s="19" t="n">
        <f aca="false">$B$6+SUM(B46:K46)+B48</f>
        <v>315.091124276221</v>
      </c>
    </row>
    <row r="50" customFormat="false" ht="15" hidden="false" customHeight="false" outlineLevel="0" collapsed="false">
      <c r="A50" s="0" t="s">
        <v>67</v>
      </c>
      <c r="B50" s="6" t="n">
        <f aca="false">B49/$B$4-1</f>
        <v>-0.0511304114306584</v>
      </c>
    </row>
    <row r="52" customFormat="false" ht="15" hidden="false" customHeight="false" outlineLevel="0" collapsed="false">
      <c r="A52" s="13" t="s">
        <v>70</v>
      </c>
      <c r="B52" s="14"/>
      <c r="C52" s="13" t="s">
        <v>71</v>
      </c>
      <c r="D52" s="14"/>
      <c r="E52" s="14"/>
      <c r="F52" s="14"/>
      <c r="G52" s="14"/>
      <c r="H52" s="14"/>
      <c r="I52" s="14"/>
      <c r="J52" s="14"/>
      <c r="K52" s="14"/>
      <c r="L52" s="14"/>
    </row>
    <row r="53" customFormat="false" ht="15" hidden="false" customHeight="false" outlineLevel="0" collapsed="false">
      <c r="A53" s="0" t="s">
        <v>72</v>
      </c>
      <c r="B53" s="7" t="n">
        <f aca="false">B25</f>
        <v>191.750638967802</v>
      </c>
      <c r="C53" s="6" t="n">
        <f aca="false">B53/$B$4-1</f>
        <v>-0.422559583919651</v>
      </c>
    </row>
    <row r="54" customFormat="false" ht="15" hidden="false" customHeight="false" outlineLevel="0" collapsed="false">
      <c r="A54" s="0" t="s">
        <v>73</v>
      </c>
      <c r="B54" s="7" t="n">
        <f aca="false">B37</f>
        <v>258.747001228319</v>
      </c>
      <c r="C54" s="6" t="n">
        <f aca="false">B54/$B$4-1</f>
        <v>-0.220805850488394</v>
      </c>
    </row>
    <row r="55" customFormat="false" ht="15" hidden="false" customHeight="false" outlineLevel="0" collapsed="false">
      <c r="A55" s="0" t="s">
        <v>74</v>
      </c>
      <c r="B55" s="7" t="n">
        <f aca="false">B49</f>
        <v>315.091124276221</v>
      </c>
      <c r="C55" s="6" t="n">
        <f aca="false">B55/$B$4-1</f>
        <v>-0.0511304114306584</v>
      </c>
    </row>
    <row r="56" customFormat="false" ht="15" hidden="false" customHeight="false" outlineLevel="0" collapsed="false">
      <c r="A56" s="0" t="s">
        <v>75</v>
      </c>
      <c r="B56" s="7" t="n">
        <f aca="false">INDEX(B25:B49,1+($B$9-1)*12)</f>
        <v>258.747001228319</v>
      </c>
      <c r="C56" s="6" t="n">
        <f aca="false">B56/$B$4-1</f>
        <v>-0.220805850488394</v>
      </c>
    </row>
    <row r="57" customFormat="false" ht="15" hidden="false" customHeight="false" outlineLevel="0" collapsed="false">
      <c r="A57" s="0" t="s">
        <v>76</v>
      </c>
      <c r="B57" s="20" t="n">
        <f aca="false">B54/$B$6</f>
        <v>2.35310113885339</v>
      </c>
    </row>
    <row r="58" customFormat="false" ht="15" hidden="false" customHeight="false" outlineLevel="0" collapsed="false">
      <c r="A58" s="0" t="s">
        <v>77</v>
      </c>
      <c r="B58" s="20" t="n">
        <f aca="false">B4/B6</f>
        <v>3.01991633321208</v>
      </c>
    </row>
    <row r="60" customFormat="false" ht="15" hidden="false" customHeight="false" outlineLevel="0" collapsed="false">
      <c r="A60" s="8" t="s">
        <v>78</v>
      </c>
    </row>
    <row r="61" customFormat="false" ht="15" hidden="false" customHeight="false" outlineLevel="0" collapsed="false">
      <c r="A61" s="0" t="s">
        <v>79</v>
      </c>
      <c r="B61" s="11" t="n">
        <v>0.05</v>
      </c>
      <c r="C61" s="11" t="n">
        <v>0.06</v>
      </c>
      <c r="D61" s="11" t="n">
        <v>0.07</v>
      </c>
      <c r="E61" s="11" t="n">
        <v>0.08</v>
      </c>
      <c r="F61" s="11" t="n">
        <v>0.09</v>
      </c>
      <c r="G61" s="11" t="n">
        <v>0.1</v>
      </c>
      <c r="H61" s="11" t="n">
        <v>0.11</v>
      </c>
      <c r="I61" s="11" t="n">
        <v>0.12</v>
      </c>
      <c r="J61" s="11" t="n">
        <v>0.13</v>
      </c>
      <c r="K61" s="11" t="n">
        <v>0.14</v>
      </c>
    </row>
    <row r="62" customFormat="false" ht="15" hidden="false" customHeight="false" outlineLevel="0" collapsed="false">
      <c r="A62" s="0" t="s">
        <v>73</v>
      </c>
      <c r="B62" s="7" t="n">
        <f aca="false">IF(B$61&gt;$B$35,$B$6+SUMPRODUCT(($B$28:$K$28-B$61)*$B$29:$K$29/(1+B$61)^$B$12:$K$12)+($L$28-B$61)*$L$29/(B$61-$B$35)/(1+B$61)^$K$12,"n/a")</f>
        <v>1700.60509743636</v>
      </c>
      <c r="C62" s="7" t="n">
        <f aca="false">IF(C$61&gt;$B$35,$B$6+SUMPRODUCT(($B$28:$K$28-C$61)*$B$29:$K$29/(1+C$61)^$B$12:$K$12)+($L$28-C$61)*$L$29/(C$61-$B$35)/(1+C$61)^$K$12,"n/a")</f>
        <v>832.379983534291</v>
      </c>
      <c r="D62" s="7" t="n">
        <f aca="false">IF(D$61&gt;$B$35,$B$6+SUMPRODUCT(($B$28:$K$28-D$61)*$B$29:$K$29/(1+D$61)^$B$12:$K$12)+($L$28-D$61)*$L$29/(D$61-$B$35)/(1+D$61)^$K$12,"n/a")</f>
        <v>544.121712446773</v>
      </c>
      <c r="E62" s="7" t="n">
        <f aca="false">IF(E$61&gt;$B$35,$B$6+SUMPRODUCT(($B$28:$K$28-E$61)*$B$29:$K$29/(1+E$61)^$B$12:$K$12)+($L$28-E$61)*$L$29/(E$61-$B$35)/(1+E$61)^$K$12,"n/a")</f>
        <v>400.765198658309</v>
      </c>
      <c r="F62" s="7" t="n">
        <f aca="false">IF(F$61&gt;$B$35,$B$6+SUMPRODUCT(($B$28:$K$28-F$61)*$B$29:$K$29/(1+F$61)^$B$12:$K$12)+($L$28-F$61)*$L$29/(F$61-$B$35)/(1+F$61)^$K$12,"n/a")</f>
        <v>315.30552837339</v>
      </c>
      <c r="G62" s="7" t="n">
        <f aca="false">IF(G$61&gt;$B$35,$B$6+SUMPRODUCT(($B$28:$K$28-G$61)*$B$29:$K$29/(1+G$61)^$B$12:$K$12)+($L$28-G$61)*$L$29/(G$61-$B$35)/(1+G$61)^$K$12,"n/a")</f>
        <v>258.747001228319</v>
      </c>
      <c r="H62" s="7" t="n">
        <f aca="false">IF(H$61&gt;$B$35,$B$6+SUMPRODUCT(($B$28:$K$28-H$61)*$B$29:$K$29/(1+H$61)^$B$12:$K$12)+($L$28-H$61)*$L$29/(H$61-$B$35)/(1+H$61)^$K$12,"n/a")</f>
        <v>218.667368963143</v>
      </c>
      <c r="I62" s="7" t="n">
        <f aca="false">IF(I$61&gt;$B$35,$B$6+SUMPRODUCT(($B$28:$K$28-I$61)*$B$29:$K$29/(1+I$61)^$B$12:$K$12)+($L$28-I$61)*$L$29/(I$61-$B$35)/(1+I$61)^$K$12,"n/a")</f>
        <v>188.85896299968</v>
      </c>
      <c r="J62" s="7" t="n">
        <f aca="false">IF(J$61&gt;$B$35,$B$6+SUMPRODUCT(($B$28:$K$28-J$61)*$B$29:$K$29/(1+J$61)^$B$12:$K$12)+($L$28-J$61)*$L$29/(J$61-$B$35)/(1+J$61)^$K$12,"n/a")</f>
        <v>165.875789177569</v>
      </c>
      <c r="K62" s="7" t="n">
        <f aca="false">IF(K$61&gt;$B$35,$B$6+SUMPRODUCT(($B$28:$K$28-K$61)*$B$29:$K$29/(1+K$61)^$B$12:$K$12)+($L$28-K$61)*$L$29/(K$61-$B$35)/(1+K$61)^$K$12,"n/a")</f>
        <v>147.652406344718</v>
      </c>
    </row>
    <row r="63" customFormat="false" ht="15" hidden="false" customHeight="false" outlineLevel="0" collapsed="false">
      <c r="A63" s="0" t="s">
        <v>80</v>
      </c>
      <c r="B63" s="6" t="n">
        <f aca="false">IFERROR(B62/$B$4-1,"n/a")</f>
        <v>4.12122473405112</v>
      </c>
      <c r="C63" s="6" t="n">
        <f aca="false">IFERROR(C62/$B$4-1,"n/a")</f>
        <v>1.50664011664496</v>
      </c>
      <c r="D63" s="6" t="n">
        <f aca="false">IFERROR(D62/$B$4-1,"n/a")</f>
        <v>0.638575337870848</v>
      </c>
      <c r="E63" s="6" t="n">
        <f aca="false">IFERROR(E62/$B$4-1,"n/a")</f>
        <v>0.20686963187975</v>
      </c>
      <c r="F63" s="6" t="n">
        <f aca="false">IFERROR(F62/$B$4-1,"n/a")</f>
        <v>-0.0504847520902534</v>
      </c>
      <c r="G63" s="6" t="n">
        <f aca="false">IFERROR(G62/$B$4-1,"n/a")</f>
        <v>-0.220805850488394</v>
      </c>
      <c r="H63" s="6" t="n">
        <f aca="false">IFERROR(H62/$B$4-1,"n/a")</f>
        <v>-0.341502186397015</v>
      </c>
      <c r="I63" s="6" t="n">
        <f aca="false">IFERROR(I62/$B$4-1,"n/a")</f>
        <v>-0.431267615262806</v>
      </c>
      <c r="J63" s="6" t="n">
        <f aca="false">IFERROR(J62/$B$4-1,"n/a")</f>
        <v>-0.500479449581206</v>
      </c>
      <c r="K63" s="6" t="n">
        <f aca="false">IFERROR(K62/$B$4-1,"n/a")</f>
        <v>-0.555357586217611</v>
      </c>
    </row>
    <row r="65" customFormat="false" ht="15" hidden="false" customHeight="false" outlineLevel="0" collapsed="false">
      <c r="A65" s="8" t="s">
        <v>81</v>
      </c>
      <c r="B65" s="21" t="n">
        <f aca="false">IFERROR(IF(MATCH($B$4,$B$62:$K$62,-1)=10,"above 14%",INDEX($B$61:$K$61,MATCH($B$4,$B$62:$K$62,-1))+(INDEX($B$62:$K$62,MATCH($B$4,$B$62:$K$62,-1))-$B$4)/(INDEX($B$62:$K$62,MATCH($B$4,$B$62:$K$62,-1))-INDEX($B$62:$K$62,MATCH($B$4,$B$62:$K$62,-1)+1))*(INDEX($B$61:$K$61,MATCH($B$4,$B$62:$K$62,-1)+1)-INDEX($B$61:$K$61,MATCH($B$4,$B$62:$K$62,-1)))),"below 5%")</f>
        <v>0.0880383177736682</v>
      </c>
      <c r="C65" s="2" t="s">
        <v>82</v>
      </c>
    </row>
    <row r="66" customFormat="false" ht="15" hidden="false" customHeight="false" outlineLevel="0" collapsed="false">
      <c r="A66"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2"/>
    <col collapsed="false" customWidth="true" hidden="false" outlineLevel="0" max="3" min="3" style="0" width="46"/>
  </cols>
  <sheetData>
    <row r="1" customFormat="false" ht="16.15" hidden="false" customHeight="false" outlineLevel="0" collapsed="false">
      <c r="A1" s="1" t="s">
        <v>84</v>
      </c>
    </row>
    <row r="2" customFormat="false" ht="15" hidden="false" customHeight="false" outlineLevel="0" collapsed="false">
      <c r="A2" s="2" t="s">
        <v>85</v>
      </c>
    </row>
    <row r="5" customFormat="false" ht="15" hidden="false" customHeight="false" outlineLevel="0" collapsed="false">
      <c r="A5" s="0" t="s">
        <v>86</v>
      </c>
      <c r="B5" s="12" t="n">
        <v>2</v>
      </c>
      <c r="C5" s="2" t="s">
        <v>87</v>
      </c>
    </row>
    <row r="6" customFormat="false" ht="15" hidden="false" customHeight="false" outlineLevel="0" collapsed="false">
      <c r="A6" s="0" t="s">
        <v>88</v>
      </c>
      <c r="B6" s="12" t="n">
        <v>2</v>
      </c>
      <c r="C6" s="2" t="s">
        <v>89</v>
      </c>
    </row>
    <row r="7" customFormat="false" ht="15" hidden="false" customHeight="false" outlineLevel="0" collapsed="false">
      <c r="A7" s="0" t="s">
        <v>90</v>
      </c>
      <c r="B7" s="11" t="n">
        <v>0.0531</v>
      </c>
      <c r="C7" s="2" t="s">
        <v>91</v>
      </c>
    </row>
    <row r="8" customFormat="false" ht="15" hidden="false" customHeight="false" outlineLevel="0" collapsed="false">
      <c r="A8" s="0" t="s">
        <v>92</v>
      </c>
      <c r="B8" s="11" t="n">
        <v>0.05</v>
      </c>
      <c r="C8" s="2" t="s">
        <v>37</v>
      </c>
    </row>
    <row r="9" customFormat="false" ht="15" hidden="false" customHeight="false" outlineLevel="0" collapsed="false">
      <c r="A9" s="0" t="s">
        <v>93</v>
      </c>
      <c r="B9" s="11" t="n">
        <v>0.012</v>
      </c>
      <c r="C9" s="2" t="s">
        <v>94</v>
      </c>
    </row>
    <row r="33" customFormat="false" ht="15" hidden="false" customHeight="false" outlineLevel="0" collapsed="false">
      <c r="A33" s="13" t="s">
        <v>95</v>
      </c>
      <c r="B33" s="13" t="s">
        <v>96</v>
      </c>
      <c r="C33" s="13" t="s">
        <v>97</v>
      </c>
    </row>
    <row r="34" customFormat="false" ht="15" hidden="false" customHeight="false" outlineLevel="0" collapsed="false">
      <c r="A34" s="0" t="s">
        <v>98</v>
      </c>
      <c r="B34" s="22" t="n">
        <v>1.02</v>
      </c>
      <c r="C34" s="2" t="s">
        <v>99</v>
      </c>
    </row>
    <row r="35" customFormat="false" ht="15" hidden="false" customHeight="false" outlineLevel="0" collapsed="false">
      <c r="A35" s="0" t="s">
        <v>100</v>
      </c>
      <c r="B35" s="23" t="n">
        <f aca="false">0.67*B34+0.33</f>
        <v>1.0134</v>
      </c>
      <c r="C35" s="2" t="s">
        <v>101</v>
      </c>
    </row>
    <row r="36" customFormat="false" ht="15" hidden="false" customHeight="false" outlineLevel="0" collapsed="false">
      <c r="A36" s="0" t="s">
        <v>102</v>
      </c>
      <c r="B36" s="23" t="n">
        <f aca="false">IF($B$6=1,B34,B35)</f>
        <v>1.0134</v>
      </c>
      <c r="C36" s="2" t="s">
        <v>103</v>
      </c>
    </row>
    <row r="37" customFormat="false" ht="15" hidden="false" customHeight="false" outlineLevel="0" collapsed="false">
      <c r="A37" s="0" t="s">
        <v>104</v>
      </c>
      <c r="B37" s="15" t="n">
        <f aca="false">$B$7+B36*$B$8</f>
        <v>0.10377</v>
      </c>
      <c r="C37" s="2" t="s">
        <v>105</v>
      </c>
    </row>
    <row r="38" customFormat="false" ht="15" hidden="false" customHeight="false" outlineLevel="0" collapsed="false">
      <c r="A38" s="0" t="s">
        <v>106</v>
      </c>
      <c r="B38" s="16" t="n">
        <v>0.1</v>
      </c>
      <c r="C38" s="2" t="s">
        <v>107</v>
      </c>
    </row>
    <row r="39" customFormat="false" ht="15" hidden="false" customHeight="false" outlineLevel="0" collapsed="false">
      <c r="A39" s="0" t="s">
        <v>108</v>
      </c>
      <c r="B39" s="21" t="n">
        <f aca="false">IF($B$5=1,B37,B38)</f>
        <v>0.1</v>
      </c>
      <c r="C39" s="2" t="s">
        <v>109</v>
      </c>
    </row>
    <row r="40" customFormat="false" ht="15" hidden="false" customHeight="false" outlineLevel="0" collapsed="false">
      <c r="A40" s="0" t="s">
        <v>110</v>
      </c>
      <c r="B40" s="15" t="n">
        <f aca="false">B39</f>
        <v>0.1</v>
      </c>
      <c r="C4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2026-10-28T13:32:47Z</dcterms:created>
  <dc:creator>openpyxl</dc:creator>
  <dc:description/>
  <dc:language>en-US</dc:language>
  <cp:lastModifiedBy/>
  <dcterms:modified xsi:type="dcterms:W3CDTF">2026-10-28T13:32:47Z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