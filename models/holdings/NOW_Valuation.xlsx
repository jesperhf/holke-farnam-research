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OW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<sst xmlns="http://schemas.openxmlformats.org/spreadsheetml/2006/main" count="166" uniqueCount="128">
  <si>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ServiceNow (NOW):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</si>
  <si>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</si>
  <si>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</si>
  <si>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</si>
  <si>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</si>
  <si>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</si>
  <si>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</si>
  <si>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</si>
  <si>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</si>
  <si>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</si>
  <si>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</si>
  <si>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</si>
  <si>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ServiceNow (NOW)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</si>
  <si>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</si>
  <si>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</si>
  <si>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</si>
  <si>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</si>
  <si>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</si>
  <si>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if subscription revenue or current remaining performance obligations grow less than 15%.</t>
  </si>
  <si>
    <t xml:space="preserve">ServiceNow (NOW):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</si>
  <si>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</si>
  <si>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</si>
  <si>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23, 2026 intraday (Yahoo Finance via the site's price feed)</t>
  </si>
  <si>
    <t xml:space="preserve">Price date</t>
  </si>
  <si>
    <t xml:space="preserve">Oct 23, 2026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</si>
  <si>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</si>
  <si>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</si>
  <si>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</si>
  <si>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</si>
  <si>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</si>
  <si>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</si>
  <si>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Long-term investments excluded (conservative)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</si>
  <si>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</si>
  <si>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</si>
  <si>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</si>
  <si>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</si>
  <si>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</si>
  <si>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</si>
  <si>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</si>
  <si>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2026E consensus $16.22B (Stock Analysis). Margins are after stock pay (GAAP-like), not the 31.5% non-GAAP figure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</si>
  <si>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</si>
  <si>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</si>
  <si>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</si>
  <si>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</si>
  <si>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</si>
  <si>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</si>
  <si>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</si>
  <si>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</si>
  <si>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</si>
  <si>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</si>
  <si>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</si>
  <si>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</si>
  <si>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</si>
  <si>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</si>
  <si>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</si>
  <si>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</si>
  <si>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AI agents compress seat pricing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</si>
  <si>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</si>
  <si>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</si>
  <si>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</si>
  <si>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</si>
  <si>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</si>
  <si>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</si>
  <si>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</si>
  <si>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</si>
  <si>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</si>
  <si>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</si>
  <si>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</si>
  <si>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</si>
  <si>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</si>
  <si>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</si>
  <si>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</si>
  <si>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</si>
  <si>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growth slows from 19% to 11%</t>
  </si>
  <si>
    <t xml:space="preserve">Bull: AI agents expand the platform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</si>
  <si>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</si>
  <si>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</si>
  <si>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</si>
  <si>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</si>
  <si>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</si>
  <si>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</si>
  <si>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</si>
  <si>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</si>
  <si>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</si>
  <si>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</si>
  <si>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</si>
  <si>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</si>
  <si>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</si>
  <si>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</si>
  <si>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</si>
  <si>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</si>
  <si>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</si>
  <si>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</si>
  <si>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 (same as earlier journal models)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</si>
  <si>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</si>
  <si>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</si>
  <si>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</si>
  <si>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</si>
  <si>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NOW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</si>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</sst>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NOW!B4</f>
        <v>156.84</v>
      </c>
      <c r="D5" s="6" t="n">
        <f aca="false">NOW!B10</f>
        <v>0.095</v>
      </c>
      <c r="E5" s="5" t="n">
        <f aca="false">NOW!B75</f>
        <v>58.8528253261598</v>
      </c>
      <c r="F5" s="5" t="n">
        <f aca="false">NOW!B76</f>
        <v>103.660517846071</v>
      </c>
      <c r="G5" s="5" t="n">
        <f aca="false">NOW!B77</f>
        <v>151.933982066243</v>
      </c>
      <c r="H5" s="7" t="n">
        <f aca="false">F5/C5-1</f>
        <v>-0.339068363644023</v>
      </c>
      <c r="I5" s="6" t="n">
        <f aca="false">NOW!B86</f>
        <v>0.0779756053156868</v>
      </c>
      <c r="J5" s="8" t="n">
        <f aca="false">IF(F5&lt;10,ROUND(F5*4,0)/4,IF(F5&lt;100,ROUND(F5,0),ROUND(F5/5,0)*5))</f>
        <v>105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105</v>
      </c>
    </row>
    <row r="10" customFormat="false" ht="15" hidden="false" customHeight="true" outlineLevel="0" collapsed="false">
      <c r="A10" s="1" t="s">
        <v>15</v>
      </c>
      <c r="C10" s="8" t="n">
        <v>150</v>
      </c>
    </row>
    <row r="11" customFormat="false" ht="15" hidden="false" customHeight="true" outlineLevel="0" collapsed="false">
      <c r="A11" s="1" t="s">
        <v>16</v>
      </c>
      <c r="C11" s="8" t="n">
        <v>81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156.84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1.03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-1.75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0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0.2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0.095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-0.05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16.22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18.3</v>
      </c>
      <c r="C20" s="13" t="n">
        <v>20.3</v>
      </c>
      <c r="D20" s="13" t="n">
        <v>22.2</v>
      </c>
      <c r="E20" s="13" t="n">
        <v>24</v>
      </c>
      <c r="F20" s="13" t="n">
        <v>25.7</v>
      </c>
      <c r="G20" s="20" t="n">
        <f aca="false">F20*(1+$F21+($L21-$F21)*G$17/5)</f>
        <v>27.3362333333333</v>
      </c>
      <c r="H20" s="20" t="n">
        <f aca="false">G20*(1+$F21+($L21-$F21)*H$17/5)</f>
        <v>28.8807305166667</v>
      </c>
      <c r="I20" s="20" t="n">
        <f aca="false">H20*(1+$F21+($L21-$F21)*I$17/5)</f>
        <v>30.3055132221556</v>
      </c>
      <c r="J20" s="20" t="n">
        <f aca="false">I20*(1+$F21+($L21-$F21)*J$17/5)</f>
        <v>31.5833956963564</v>
      </c>
      <c r="K20" s="20" t="n">
        <f aca="false">J20*(1+$F21+($L21-$F21)*K$17/5)</f>
        <v>32.6888145457289</v>
      </c>
      <c r="L20" s="20" t="n">
        <f aca="false">K20*(1+L21)</f>
        <v>33.8329230548294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0.128236744759556</v>
      </c>
      <c r="C21" s="7" t="n">
        <f aca="false">C20/B20-1</f>
        <v>0.109289617486339</v>
      </c>
      <c r="D21" s="7" t="n">
        <f aca="false">D20/C20-1</f>
        <v>0.0935960591133005</v>
      </c>
      <c r="E21" s="7" t="n">
        <f aca="false">E20/D20-1</f>
        <v>0.0810810810810811</v>
      </c>
      <c r="F21" s="7" t="n">
        <f aca="false">F20/E20-1</f>
        <v>0.0708333333333333</v>
      </c>
      <c r="G21" s="7" t="n">
        <f aca="false">G20/F20-1</f>
        <v>0.0636666666666665</v>
      </c>
      <c r="H21" s="7" t="n">
        <f aca="false">H20/G20-1</f>
        <v>0.0565</v>
      </c>
      <c r="I21" s="7" t="n">
        <f aca="false">I20/H20-1</f>
        <v>0.0493333333333332</v>
      </c>
      <c r="J21" s="7" t="n">
        <f aca="false">J20/I20-1</f>
        <v>0.0421666666666667</v>
      </c>
      <c r="K21" s="7" t="n">
        <f aca="false">K20/J20-1</f>
        <v>0.0349999999999999</v>
      </c>
      <c r="L21" s="21" t="n">
        <v>0.035</v>
      </c>
    </row>
    <row r="22" customFormat="false" ht="15" hidden="false" customHeight="true" outlineLevel="0" collapsed="false">
      <c r="A22" s="1" t="s">
        <v>59</v>
      </c>
      <c r="B22" s="22" t="n">
        <v>0.17</v>
      </c>
      <c r="C22" s="22" t="n">
        <v>0.18</v>
      </c>
      <c r="D22" s="22" t="n">
        <v>0.19</v>
      </c>
      <c r="E22" s="22" t="n">
        <v>0.2</v>
      </c>
      <c r="F22" s="22" t="n">
        <v>0.21</v>
      </c>
      <c r="G22" s="7" t="n">
        <f aca="false">$F22+($L22-$F22)*G$17/5</f>
        <v>0.214</v>
      </c>
      <c r="H22" s="7" t="n">
        <f aca="false">$F22+($L22-$F22)*H$17/5</f>
        <v>0.218</v>
      </c>
      <c r="I22" s="7" t="n">
        <f aca="false">$F22+($L22-$F22)*I$17/5</f>
        <v>0.222</v>
      </c>
      <c r="J22" s="7" t="n">
        <f aca="false">$F22+($L22-$F22)*J$17/5</f>
        <v>0.226</v>
      </c>
      <c r="K22" s="7" t="n">
        <f aca="false">$F22+($L22-$F22)*K$17/5</f>
        <v>0.23</v>
      </c>
      <c r="L22" s="21" t="n">
        <v>0.23</v>
      </c>
    </row>
    <row r="23" customFormat="false" ht="15" hidden="false" customHeight="true" outlineLevel="0" collapsed="false">
      <c r="A23" s="1" t="s">
        <v>60</v>
      </c>
      <c r="B23" s="20" t="n">
        <f aca="false">B20*B22</f>
        <v>3.111</v>
      </c>
      <c r="C23" s="20" t="n">
        <f aca="false">C20*C22</f>
        <v>3.654</v>
      </c>
      <c r="D23" s="20" t="n">
        <f aca="false">D20*D22</f>
        <v>4.218</v>
      </c>
      <c r="E23" s="20" t="n">
        <f aca="false">E20*E22</f>
        <v>4.8</v>
      </c>
      <c r="F23" s="20" t="n">
        <f aca="false">F20*F22</f>
        <v>5.397</v>
      </c>
      <c r="G23" s="20" t="n">
        <f aca="false">G20*G22</f>
        <v>5.84995393333333</v>
      </c>
      <c r="H23" s="20" t="n">
        <f aca="false">H20*H22</f>
        <v>6.29599925263333</v>
      </c>
      <c r="I23" s="20" t="n">
        <f aca="false">I20*I22</f>
        <v>6.72782393531853</v>
      </c>
      <c r="J23" s="20" t="n">
        <f aca="false">J20*J22</f>
        <v>7.13784742737656</v>
      </c>
      <c r="K23" s="20" t="n">
        <f aca="false">K20*K22</f>
        <v>7.51842734551765</v>
      </c>
      <c r="L23" s="20" t="n">
        <f aca="false">L20*L22</f>
        <v>7.78157230261077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2.4888</v>
      </c>
      <c r="C24" s="20" t="n">
        <f aca="false">C23*(1-$B$9)</f>
        <v>2.9232</v>
      </c>
      <c r="D24" s="20" t="n">
        <f aca="false">D23*(1-$B$9)</f>
        <v>3.3744</v>
      </c>
      <c r="E24" s="20" t="n">
        <f aca="false">E23*(1-$B$9)</f>
        <v>3.84</v>
      </c>
      <c r="F24" s="20" t="n">
        <f aca="false">F23*(1-$B$9)</f>
        <v>4.3176</v>
      </c>
      <c r="G24" s="20" t="n">
        <f aca="false">G23*(1-$B$9)</f>
        <v>4.67996314666667</v>
      </c>
      <c r="H24" s="20" t="n">
        <f aca="false">H23*(1-$B$9)</f>
        <v>5.03679940210667</v>
      </c>
      <c r="I24" s="20" t="n">
        <f aca="false">I23*(1-$B$9)</f>
        <v>5.38225914825483</v>
      </c>
      <c r="J24" s="20" t="n">
        <f aca="false">J23*(1-$B$9)</f>
        <v>5.71027794190125</v>
      </c>
      <c r="K24" s="20" t="n">
        <f aca="false">K23*(1-$B$9)</f>
        <v>6.01474187641412</v>
      </c>
      <c r="L24" s="20" t="n">
        <f aca="false">L23*(1-$B$9)</f>
        <v>6.22525784208862</v>
      </c>
    </row>
    <row r="25" customFormat="false" ht="15" hidden="false" customHeight="true" outlineLevel="0" collapsed="false">
      <c r="A25" s="1" t="s">
        <v>62</v>
      </c>
      <c r="B25" s="22" t="n">
        <v>0.03</v>
      </c>
      <c r="C25" s="22" t="n">
        <v>0.03</v>
      </c>
      <c r="D25" s="22" t="n">
        <v>0.03</v>
      </c>
      <c r="E25" s="22" t="n">
        <v>0.03</v>
      </c>
      <c r="F25" s="22" t="n">
        <v>0.03</v>
      </c>
      <c r="G25" s="7" t="n">
        <f aca="false">$F25+($L25-$F25)*G$17/5</f>
        <v>0.028</v>
      </c>
      <c r="H25" s="7" t="n">
        <f aca="false">$F25+($L25-$F25)*H$17/5</f>
        <v>0.026</v>
      </c>
      <c r="I25" s="7" t="n">
        <f aca="false">$F25+($L25-$F25)*I$17/5</f>
        <v>0.024</v>
      </c>
      <c r="J25" s="7" t="n">
        <f aca="false">$F25+($L25-$F25)*J$17/5</f>
        <v>0.022</v>
      </c>
      <c r="K25" s="7" t="n">
        <f aca="false">$F25+($L25-$F25)*K$17/5</f>
        <v>0.02</v>
      </c>
      <c r="L25" s="21" t="n">
        <v>0.02</v>
      </c>
    </row>
    <row r="26" customFormat="false" ht="15" hidden="false" customHeight="true" outlineLevel="0" collapsed="false">
      <c r="A26" s="1" t="s">
        <v>63</v>
      </c>
      <c r="B26" s="20" t="n">
        <f aca="false">B20*B25</f>
        <v>0.549</v>
      </c>
      <c r="C26" s="20" t="n">
        <f aca="false">C20*C25</f>
        <v>0.609</v>
      </c>
      <c r="D26" s="20" t="n">
        <f aca="false">D20*D25</f>
        <v>0.666</v>
      </c>
      <c r="E26" s="20" t="n">
        <f aca="false">E20*E25</f>
        <v>0.72</v>
      </c>
      <c r="F26" s="20" t="n">
        <f aca="false">F20*F25</f>
        <v>0.771</v>
      </c>
      <c r="G26" s="20" t="n">
        <f aca="false">G20*G25</f>
        <v>0.765414533333333</v>
      </c>
      <c r="H26" s="20" t="n">
        <f aca="false">H20*H25</f>
        <v>0.750898993433333</v>
      </c>
      <c r="I26" s="20" t="n">
        <f aca="false">I20*I25</f>
        <v>0.727332317331733</v>
      </c>
      <c r="J26" s="20" t="n">
        <f aca="false">J20*J25</f>
        <v>0.694834705319842</v>
      </c>
      <c r="K26" s="20" t="n">
        <f aca="false">K20*K25</f>
        <v>0.653776290914578</v>
      </c>
      <c r="L26" s="20" t="n">
        <f aca="false">L20*L25</f>
        <v>0.676658461096589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-0.104</v>
      </c>
      <c r="C27" s="20" t="n">
        <f aca="false">$B$11*(C20-B20)</f>
        <v>-0.1</v>
      </c>
      <c r="D27" s="20" t="n">
        <f aca="false">$B$11*(D20-C20)</f>
        <v>-0.0949999999999999</v>
      </c>
      <c r="E27" s="20" t="n">
        <f aca="false">$B$11*(E20-D20)</f>
        <v>-0.09</v>
      </c>
      <c r="F27" s="20" t="n">
        <f aca="false">$B$11*(F20-E20)</f>
        <v>-0.085</v>
      </c>
      <c r="G27" s="20" t="n">
        <f aca="false">$B$11*(G20-F20)</f>
        <v>-0.0818116666666665</v>
      </c>
      <c r="H27" s="20" t="n">
        <f aca="false">$B$11*(H20-G20)</f>
        <v>-0.0772248591666667</v>
      </c>
      <c r="I27" s="20" t="n">
        <f aca="false">$B$11*(I20-H20)</f>
        <v>-0.0712391352744444</v>
      </c>
      <c r="J27" s="20" t="n">
        <f aca="false">$B$11*(J20-I20)</f>
        <v>-0.0638941237100447</v>
      </c>
      <c r="K27" s="20" t="n">
        <f aca="false">$B$11*(K20-J20)</f>
        <v>-0.0552709424686237</v>
      </c>
      <c r="L27" s="20" t="n">
        <f aca="false">$B$11*(L20-K20)</f>
        <v>-0.0572054254550256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2.0438</v>
      </c>
      <c r="C28" s="20" t="n">
        <f aca="false">C24-C26-C27</f>
        <v>2.4142</v>
      </c>
      <c r="D28" s="20" t="n">
        <f aca="false">D24-D26-D27</f>
        <v>2.8034</v>
      </c>
      <c r="E28" s="20" t="n">
        <f aca="false">E24-E26-E27</f>
        <v>3.21</v>
      </c>
      <c r="F28" s="20" t="n">
        <f aca="false">F24-F26-F27</f>
        <v>3.6316</v>
      </c>
      <c r="G28" s="20" t="n">
        <f aca="false">G24-G26-G27</f>
        <v>3.99636028</v>
      </c>
      <c r="H28" s="20" t="n">
        <f aca="false">H24-H26-H27</f>
        <v>4.36312526784</v>
      </c>
      <c r="I28" s="20" t="n">
        <f aca="false">I24-I26-I27</f>
        <v>4.72616596619754</v>
      </c>
      <c r="J28" s="20" t="n">
        <f aca="false">J24-J26-J27</f>
        <v>5.07933736029145</v>
      </c>
      <c r="K28" s="20" t="n">
        <f aca="false">K24-K26-K27</f>
        <v>5.41623652796817</v>
      </c>
      <c r="L28" s="20" t="n">
        <f aca="false">L24-L26-L27</f>
        <v>5.60580480644705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0.955636965134993</v>
      </c>
      <c r="C29" s="23" t="n">
        <f aca="false">1/(1+$B$10)^C$16</f>
        <v>0.87272782204109</v>
      </c>
      <c r="D29" s="23" t="n">
        <f aca="false">1/(1+$B$10)^D$16</f>
        <v>0.797011709626566</v>
      </c>
      <c r="E29" s="23" t="n">
        <f aca="false">1/(1+$B$10)^E$16</f>
        <v>0.72786457500143</v>
      </c>
      <c r="F29" s="23" t="n">
        <f aca="false">1/(1+$B$10)^F$16</f>
        <v>0.664716506850621</v>
      </c>
      <c r="G29" s="23" t="n">
        <f aca="false">1/(1+$B$10)^G$16</f>
        <v>0.607047038219745</v>
      </c>
      <c r="H29" s="23" t="n">
        <f aca="false">1/(1+$B$10)^H$16</f>
        <v>0.554380856821685</v>
      </c>
      <c r="I29" s="23" t="n">
        <f aca="false">1/(1+$B$10)^I$16</f>
        <v>0.506283887508388</v>
      </c>
      <c r="J29" s="23" t="n">
        <f aca="false">1/(1+$B$10)^J$16</f>
        <v>0.462359714619533</v>
      </c>
      <c r="K29" s="23" t="n">
        <f aca="false">1/(1+$B$10)^K$16</f>
        <v>0.422246314721034</v>
      </c>
    </row>
    <row r="30" customFormat="false" ht="15" hidden="false" customHeight="true" outlineLevel="0" collapsed="false">
      <c r="A30" s="1" t="s">
        <v>67</v>
      </c>
      <c r="B30" s="20" t="n">
        <f aca="false">B28*B29</f>
        <v>1.9531308293429</v>
      </c>
      <c r="C30" s="20" t="n">
        <f aca="false">C28*C29</f>
        <v>2.1069395079716</v>
      </c>
      <c r="D30" s="20" t="n">
        <f aca="false">D28*D29</f>
        <v>2.23434262676712</v>
      </c>
      <c r="E30" s="20" t="n">
        <f aca="false">E28*E29</f>
        <v>2.33644528575459</v>
      </c>
      <c r="F30" s="20" t="n">
        <f aca="false">F28*F29</f>
        <v>2.41398446627872</v>
      </c>
      <c r="G30" s="20" t="n">
        <f aca="false">G28*G29</f>
        <v>2.42597867163303</v>
      </c>
      <c r="H30" s="20" t="n">
        <f aca="false">H28*H29</f>
        <v>2.41883312440548</v>
      </c>
      <c r="I30" s="20" t="n">
        <f aca="false">I28*I29</f>
        <v>2.39278167837633</v>
      </c>
      <c r="J30" s="20" t="n">
        <f aca="false">J28*J29</f>
        <v>2.34848097236068</v>
      </c>
      <c r="K30" s="20" t="n">
        <f aca="false">K28*K29</f>
        <v>2.28698591359201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93.4300801074509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39.4505070094622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60.6184100859446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58.8528253261598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-0.624758828575875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19.2</v>
      </c>
      <c r="C38" s="13" t="n">
        <v>22.4</v>
      </c>
      <c r="D38" s="13" t="n">
        <v>25.8</v>
      </c>
      <c r="E38" s="13" t="n">
        <v>29.2</v>
      </c>
      <c r="F38" s="13" t="n">
        <v>32.6</v>
      </c>
      <c r="G38" s="20" t="n">
        <f aca="false">F38*(1+$F39+($L39-$F39)*G$17/5)</f>
        <v>35.8975123287671</v>
      </c>
      <c r="H38" s="20" t="n">
        <f aca="false">G38*(1+$F39+($L39-$F39)*H$17/5)</f>
        <v>38.9797809215988</v>
      </c>
      <c r="I38" s="20" t="n">
        <f aca="false">H38*(1+$F39+($L39-$F39)*I$17/5)</f>
        <v>41.7307923093807</v>
      </c>
      <c r="J38" s="20" t="n">
        <f aca="false">I38*(1+$F39+($L39-$F39)*J$17/5)</f>
        <v>44.0379906348692</v>
      </c>
      <c r="K38" s="20" t="n">
        <f aca="false">J38*(1+$F39+($L39-$F39)*K$17/5)</f>
        <v>45.799510260264</v>
      </c>
      <c r="L38" s="20" t="n">
        <f aca="false">K38*(1+L39)</f>
        <v>47.6314906706745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0.183723797780518</v>
      </c>
      <c r="C39" s="7" t="n">
        <f aca="false">C38/B38-1</f>
        <v>0.166666666666667</v>
      </c>
      <c r="D39" s="7" t="n">
        <f aca="false">D38/C38-1</f>
        <v>0.151785714285714</v>
      </c>
      <c r="E39" s="7" t="n">
        <f aca="false">E38/D38-1</f>
        <v>0.131782945736434</v>
      </c>
      <c r="F39" s="7" t="n">
        <f aca="false">F38/E38-1</f>
        <v>0.116438356164384</v>
      </c>
      <c r="G39" s="7" t="n">
        <f aca="false">G38/F38-1</f>
        <v>0.101150684931507</v>
      </c>
      <c r="H39" s="7" t="n">
        <f aca="false">H38/G38-1</f>
        <v>0.0858630136986303</v>
      </c>
      <c r="I39" s="7" t="n">
        <f aca="false">I38/H38-1</f>
        <v>0.0705753424657534</v>
      </c>
      <c r="J39" s="7" t="n">
        <f aca="false">J38/I38-1</f>
        <v>0.0552876712328767</v>
      </c>
      <c r="K39" s="7" t="n">
        <f aca="false">K38/J38-1</f>
        <v>0.04</v>
      </c>
      <c r="L39" s="21" t="n">
        <v>0.04</v>
      </c>
    </row>
    <row r="40" customFormat="false" ht="15" hidden="false" customHeight="true" outlineLevel="0" collapsed="false">
      <c r="A40" s="1" t="s">
        <v>59</v>
      </c>
      <c r="B40" s="22" t="n">
        <v>0.19</v>
      </c>
      <c r="C40" s="22" t="n">
        <v>0.21</v>
      </c>
      <c r="D40" s="22" t="n">
        <v>0.23</v>
      </c>
      <c r="E40" s="22" t="n">
        <v>0.245</v>
      </c>
      <c r="F40" s="22" t="n">
        <v>0.26</v>
      </c>
      <c r="G40" s="7" t="n">
        <f aca="false">$F40+($L40-$F40)*G$17/5</f>
        <v>0.262</v>
      </c>
      <c r="H40" s="7" t="n">
        <f aca="false">$F40+($L40-$F40)*H$17/5</f>
        <v>0.264</v>
      </c>
      <c r="I40" s="7" t="n">
        <f aca="false">$F40+($L40-$F40)*I$17/5</f>
        <v>0.266</v>
      </c>
      <c r="J40" s="7" t="n">
        <f aca="false">$F40+($L40-$F40)*J$17/5</f>
        <v>0.268</v>
      </c>
      <c r="K40" s="7" t="n">
        <f aca="false">$F40+($L40-$F40)*K$17/5</f>
        <v>0.27</v>
      </c>
      <c r="L40" s="21" t="n">
        <v>0.27</v>
      </c>
    </row>
    <row r="41" customFormat="false" ht="15" hidden="false" customHeight="true" outlineLevel="0" collapsed="false">
      <c r="A41" s="1" t="s">
        <v>60</v>
      </c>
      <c r="B41" s="20" t="n">
        <f aca="false">B38*B40</f>
        <v>3.648</v>
      </c>
      <c r="C41" s="20" t="n">
        <f aca="false">C38*C40</f>
        <v>4.704</v>
      </c>
      <c r="D41" s="20" t="n">
        <f aca="false">D38*D40</f>
        <v>5.934</v>
      </c>
      <c r="E41" s="20" t="n">
        <f aca="false">E38*E40</f>
        <v>7.154</v>
      </c>
      <c r="F41" s="20" t="n">
        <f aca="false">F38*F40</f>
        <v>8.476</v>
      </c>
      <c r="G41" s="20" t="n">
        <f aca="false">G38*G40</f>
        <v>9.40514823013699</v>
      </c>
      <c r="H41" s="20" t="n">
        <f aca="false">H38*H40</f>
        <v>10.2906621633021</v>
      </c>
      <c r="I41" s="20" t="n">
        <f aca="false">I38*I40</f>
        <v>11.1003907542953</v>
      </c>
      <c r="J41" s="20" t="n">
        <f aca="false">J38*J40</f>
        <v>11.8021814901449</v>
      </c>
      <c r="K41" s="20" t="n">
        <f aca="false">K38*K40</f>
        <v>12.3658677702713</v>
      </c>
      <c r="L41" s="20" t="n">
        <f aca="false">L38*L40</f>
        <v>12.8605024810821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2.9184</v>
      </c>
      <c r="C42" s="20" t="n">
        <f aca="false">C41*(1-$B$9)</f>
        <v>3.7632</v>
      </c>
      <c r="D42" s="20" t="n">
        <f aca="false">D41*(1-$B$9)</f>
        <v>4.7472</v>
      </c>
      <c r="E42" s="20" t="n">
        <f aca="false">E41*(1-$B$9)</f>
        <v>5.7232</v>
      </c>
      <c r="F42" s="20" t="n">
        <f aca="false">F41*(1-$B$9)</f>
        <v>6.7808</v>
      </c>
      <c r="G42" s="20" t="n">
        <f aca="false">G41*(1-$B$9)</f>
        <v>7.52411858410959</v>
      </c>
      <c r="H42" s="20" t="n">
        <f aca="false">H41*(1-$B$9)</f>
        <v>8.23252973064167</v>
      </c>
      <c r="I42" s="20" t="n">
        <f aca="false">I41*(1-$B$9)</f>
        <v>8.88031260343621</v>
      </c>
      <c r="J42" s="20" t="n">
        <f aca="false">J41*(1-$B$9)</f>
        <v>9.44174519211595</v>
      </c>
      <c r="K42" s="20" t="n">
        <f aca="false">K41*(1-$B$9)</f>
        <v>9.89269421621702</v>
      </c>
      <c r="L42" s="20" t="n">
        <f aca="false">L41*(1-$B$9)</f>
        <v>10.2884019848657</v>
      </c>
    </row>
    <row r="43" customFormat="false" ht="15" hidden="false" customHeight="true" outlineLevel="0" collapsed="false">
      <c r="A43" s="1" t="s">
        <v>62</v>
      </c>
      <c r="B43" s="22" t="n">
        <v>0.03</v>
      </c>
      <c r="C43" s="22" t="n">
        <v>0.03</v>
      </c>
      <c r="D43" s="22" t="n">
        <v>0.03</v>
      </c>
      <c r="E43" s="22" t="n">
        <v>0.03</v>
      </c>
      <c r="F43" s="22" t="n">
        <v>0.03</v>
      </c>
      <c r="G43" s="7" t="n">
        <f aca="false">$F43+($L43-$F43)*G$17/5</f>
        <v>0.028</v>
      </c>
      <c r="H43" s="7" t="n">
        <f aca="false">$F43+($L43-$F43)*H$17/5</f>
        <v>0.026</v>
      </c>
      <c r="I43" s="7" t="n">
        <f aca="false">$F43+($L43-$F43)*I$17/5</f>
        <v>0.024</v>
      </c>
      <c r="J43" s="7" t="n">
        <f aca="false">$F43+($L43-$F43)*J$17/5</f>
        <v>0.022</v>
      </c>
      <c r="K43" s="7" t="n">
        <f aca="false">$F43+($L43-$F43)*K$17/5</f>
        <v>0.02</v>
      </c>
      <c r="L43" s="21" t="n">
        <v>0.02</v>
      </c>
    </row>
    <row r="44" customFormat="false" ht="15" hidden="false" customHeight="true" outlineLevel="0" collapsed="false">
      <c r="A44" s="1" t="s">
        <v>63</v>
      </c>
      <c r="B44" s="20" t="n">
        <f aca="false">B38*B43</f>
        <v>0.576</v>
      </c>
      <c r="C44" s="20" t="n">
        <f aca="false">C38*C43</f>
        <v>0.672</v>
      </c>
      <c r="D44" s="20" t="n">
        <f aca="false">D38*D43</f>
        <v>0.774</v>
      </c>
      <c r="E44" s="20" t="n">
        <f aca="false">E38*E43</f>
        <v>0.876</v>
      </c>
      <c r="F44" s="20" t="n">
        <f aca="false">F38*F43</f>
        <v>0.978</v>
      </c>
      <c r="G44" s="20" t="n">
        <f aca="false">G38*G43</f>
        <v>1.00513034520548</v>
      </c>
      <c r="H44" s="20" t="n">
        <f aca="false">H38*H43</f>
        <v>1.01347430396157</v>
      </c>
      <c r="I44" s="20" t="n">
        <f aca="false">I38*I43</f>
        <v>1.00153901542514</v>
      </c>
      <c r="J44" s="20" t="n">
        <f aca="false">J38*J43</f>
        <v>0.968835793967122</v>
      </c>
      <c r="K44" s="20" t="n">
        <f aca="false">K38*K43</f>
        <v>0.915990205205279</v>
      </c>
      <c r="L44" s="20" t="n">
        <f aca="false">L38*L43</f>
        <v>0.95262981341349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-0.149</v>
      </c>
      <c r="C45" s="20" t="n">
        <f aca="false">$B$11*(C38-B38)</f>
        <v>-0.16</v>
      </c>
      <c r="D45" s="20" t="n">
        <f aca="false">$B$11*(D38-C38)</f>
        <v>-0.17</v>
      </c>
      <c r="E45" s="20" t="n">
        <f aca="false">$B$11*(E38-D38)</f>
        <v>-0.17</v>
      </c>
      <c r="F45" s="20" t="n">
        <f aca="false">$B$11*(F38-E38)</f>
        <v>-0.17</v>
      </c>
      <c r="G45" s="20" t="n">
        <f aca="false">$B$11*(G38-F38)</f>
        <v>-0.164875616438356</v>
      </c>
      <c r="H45" s="20" t="n">
        <f aca="false">$B$11*(H38-G38)</f>
        <v>-0.154113429641584</v>
      </c>
      <c r="I45" s="20" t="n">
        <f aca="false">$B$11*(I38-H38)</f>
        <v>-0.137550569389094</v>
      </c>
      <c r="J45" s="20" t="n">
        <f aca="false">$B$11*(J38-I38)</f>
        <v>-0.115359916274425</v>
      </c>
      <c r="K45" s="20" t="n">
        <f aca="false">$B$11*(K38-J38)</f>
        <v>-0.0880759812697384</v>
      </c>
      <c r="L45" s="20" t="n">
        <f aca="false">$B$11*(L38-K38)</f>
        <v>-0.0915990205205279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2.4914</v>
      </c>
      <c r="C46" s="20" t="n">
        <f aca="false">C42-C44-C45</f>
        <v>3.2512</v>
      </c>
      <c r="D46" s="20" t="n">
        <f aca="false">D42-D44-D45</f>
        <v>4.1432</v>
      </c>
      <c r="E46" s="20" t="n">
        <f aca="false">E42-E44-E45</f>
        <v>5.0172</v>
      </c>
      <c r="F46" s="20" t="n">
        <f aca="false">F42-F44-F45</f>
        <v>5.9728</v>
      </c>
      <c r="G46" s="20" t="n">
        <f aca="false">G42-G44-G45</f>
        <v>6.68386385534247</v>
      </c>
      <c r="H46" s="20" t="n">
        <f aca="false">H42-H44-H45</f>
        <v>7.37316885632168</v>
      </c>
      <c r="I46" s="20" t="n">
        <f aca="false">I42-I44-I45</f>
        <v>8.01632415740017</v>
      </c>
      <c r="J46" s="20" t="n">
        <f aca="false">J42-J44-J45</f>
        <v>8.58826931442326</v>
      </c>
      <c r="K46" s="20" t="n">
        <f aca="false">K42-K44-K45</f>
        <v>9.06477999228147</v>
      </c>
      <c r="L46" s="20" t="n">
        <f aca="false">L42-L44-L45</f>
        <v>9.42737119197273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0.955636965134993</v>
      </c>
      <c r="C47" s="23" t="n">
        <f aca="false">1/(1+$B$10)^C$16</f>
        <v>0.87272782204109</v>
      </c>
      <c r="D47" s="23" t="n">
        <f aca="false">1/(1+$B$10)^D$16</f>
        <v>0.797011709626566</v>
      </c>
      <c r="E47" s="23" t="n">
        <f aca="false">1/(1+$B$10)^E$16</f>
        <v>0.72786457500143</v>
      </c>
      <c r="F47" s="23" t="n">
        <f aca="false">1/(1+$B$10)^F$16</f>
        <v>0.664716506850621</v>
      </c>
      <c r="G47" s="23" t="n">
        <f aca="false">1/(1+$B$10)^G$16</f>
        <v>0.607047038219745</v>
      </c>
      <c r="H47" s="23" t="n">
        <f aca="false">1/(1+$B$10)^H$16</f>
        <v>0.554380856821685</v>
      </c>
      <c r="I47" s="23" t="n">
        <f aca="false">1/(1+$B$10)^I$16</f>
        <v>0.506283887508388</v>
      </c>
      <c r="J47" s="23" t="n">
        <f aca="false">1/(1+$B$10)^J$16</f>
        <v>0.462359714619533</v>
      </c>
      <c r="K47" s="23" t="n">
        <f aca="false">1/(1+$B$10)^K$16</f>
        <v>0.422246314721034</v>
      </c>
    </row>
    <row r="48" customFormat="false" ht="15" hidden="false" customHeight="true" outlineLevel="0" collapsed="false">
      <c r="A48" s="1" t="s">
        <v>67</v>
      </c>
      <c r="B48" s="20" t="n">
        <f aca="false">B46*B47</f>
        <v>2.38087393493732</v>
      </c>
      <c r="C48" s="20" t="n">
        <f aca="false">C46*C47</f>
        <v>2.83741269501999</v>
      </c>
      <c r="D48" s="20" t="n">
        <f aca="false">D46*D47</f>
        <v>3.30217891532479</v>
      </c>
      <c r="E48" s="20" t="n">
        <f aca="false">E46*E47</f>
        <v>3.65184214569718</v>
      </c>
      <c r="F48" s="20" t="n">
        <f aca="false">F46*F47</f>
        <v>3.97021875211739</v>
      </c>
      <c r="G48" s="20" t="n">
        <f aca="false">G46*G47</f>
        <v>4.05741975724965</v>
      </c>
      <c r="H48" s="20" t="n">
        <f aca="false">H46*H47</f>
        <v>4.08754366805858</v>
      </c>
      <c r="I48" s="20" t="n">
        <f aca="false">I46*I47</f>
        <v>4.05853575793596</v>
      </c>
      <c r="J48" s="20" t="n">
        <f aca="false">J46*J47</f>
        <v>3.97086974929243</v>
      </c>
      <c r="K48" s="20" t="n">
        <f aca="false">K46*K47</f>
        <v>3.82756994549782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171.406748944959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72.3758680603224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106.770333381454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103.660517846071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-0.339068363644023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19.6</v>
      </c>
      <c r="C56" s="13" t="n">
        <v>23.6</v>
      </c>
      <c r="D56" s="13" t="n">
        <v>28</v>
      </c>
      <c r="E56" s="13" t="n">
        <v>32.7</v>
      </c>
      <c r="F56" s="13" t="n">
        <v>37.6</v>
      </c>
      <c r="G56" s="20" t="n">
        <f aca="false">F56*(1+$F57+($L57-$F57)*G$17/5)</f>
        <v>42.4458006116208</v>
      </c>
      <c r="H56" s="20" t="n">
        <f aca="false">G56*(1+$F57+($L57-$F57)*H$17/5)</f>
        <v>47.026052967528</v>
      </c>
      <c r="I56" s="20" t="n">
        <f aca="false">H56*(1+$F57+($L57-$F57)*I$17/5)</f>
        <v>51.1144433645122</v>
      </c>
      <c r="J56" s="20" t="n">
        <f aca="false">I56*(1+$F57+($L57-$F57)*J$17/5)</f>
        <v>54.4864334937454</v>
      </c>
      <c r="K56" s="20" t="n">
        <f aca="false">J56*(1+$F57+($L57-$F57)*K$17/5)</f>
        <v>56.938323000964</v>
      </c>
      <c r="L56" s="20" t="n">
        <f aca="false">K56*(1+L57)</f>
        <v>59.5005475360074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0.208384710234279</v>
      </c>
      <c r="C57" s="7" t="n">
        <f aca="false">C56/B56-1</f>
        <v>0.204081632653061</v>
      </c>
      <c r="D57" s="7" t="n">
        <f aca="false">D56/C56-1</f>
        <v>0.186440677966102</v>
      </c>
      <c r="E57" s="7" t="n">
        <f aca="false">E56/D56-1</f>
        <v>0.167857142857143</v>
      </c>
      <c r="F57" s="7" t="n">
        <f aca="false">F56/E56-1</f>
        <v>0.149847094801223</v>
      </c>
      <c r="G57" s="7" t="n">
        <f aca="false">G56/F56-1</f>
        <v>0.128877675840978</v>
      </c>
      <c r="H57" s="7" t="n">
        <f aca="false">H56/G56-1</f>
        <v>0.107908256880734</v>
      </c>
      <c r="I57" s="7" t="n">
        <f aca="false">I56/H56-1</f>
        <v>0.0869388379204892</v>
      </c>
      <c r="J57" s="7" t="n">
        <f aca="false">J56/I56-1</f>
        <v>0.0659694189602447</v>
      </c>
      <c r="K57" s="7" t="n">
        <f aca="false">K56/J56-1</f>
        <v>0.0449999999999999</v>
      </c>
      <c r="L57" s="21" t="n">
        <v>0.045</v>
      </c>
    </row>
    <row r="58" customFormat="false" ht="15" hidden="false" customHeight="true" outlineLevel="0" collapsed="false">
      <c r="A58" s="1" t="s">
        <v>59</v>
      </c>
      <c r="B58" s="22" t="n">
        <v>0.2</v>
      </c>
      <c r="C58" s="22" t="n">
        <v>0.23</v>
      </c>
      <c r="D58" s="22" t="n">
        <v>0.25</v>
      </c>
      <c r="E58" s="22" t="n">
        <v>0.27</v>
      </c>
      <c r="F58" s="22" t="n">
        <v>0.28</v>
      </c>
      <c r="G58" s="7" t="n">
        <f aca="false">$F58+($L58-$F58)*G$17/5</f>
        <v>0.284</v>
      </c>
      <c r="H58" s="7" t="n">
        <f aca="false">$F58+($L58-$F58)*H$17/5</f>
        <v>0.288</v>
      </c>
      <c r="I58" s="7" t="n">
        <f aca="false">$F58+($L58-$F58)*I$17/5</f>
        <v>0.292</v>
      </c>
      <c r="J58" s="7" t="n">
        <f aca="false">$F58+($L58-$F58)*J$17/5</f>
        <v>0.296</v>
      </c>
      <c r="K58" s="7" t="n">
        <f aca="false">$F58+($L58-$F58)*K$17/5</f>
        <v>0.3</v>
      </c>
      <c r="L58" s="21" t="n">
        <v>0.3</v>
      </c>
    </row>
    <row r="59" customFormat="false" ht="15" hidden="false" customHeight="true" outlineLevel="0" collapsed="false">
      <c r="A59" s="1" t="s">
        <v>60</v>
      </c>
      <c r="B59" s="20" t="n">
        <f aca="false">B56*B58</f>
        <v>3.92</v>
      </c>
      <c r="C59" s="20" t="n">
        <f aca="false">C56*C58</f>
        <v>5.428</v>
      </c>
      <c r="D59" s="20" t="n">
        <f aca="false">D56*D58</f>
        <v>7</v>
      </c>
      <c r="E59" s="20" t="n">
        <f aca="false">E56*E58</f>
        <v>8.829</v>
      </c>
      <c r="F59" s="20" t="n">
        <f aca="false">F56*F58</f>
        <v>10.528</v>
      </c>
      <c r="G59" s="20" t="n">
        <f aca="false">G56*G58</f>
        <v>12.0546073737003</v>
      </c>
      <c r="H59" s="20" t="n">
        <f aca="false">H56*H58</f>
        <v>13.5435032546481</v>
      </c>
      <c r="I59" s="20" t="n">
        <f aca="false">I56*I58</f>
        <v>14.9254174624376</v>
      </c>
      <c r="J59" s="20" t="n">
        <f aca="false">J56*J58</f>
        <v>16.1279843141486</v>
      </c>
      <c r="K59" s="20" t="n">
        <f aca="false">K56*K58</f>
        <v>17.0814969002892</v>
      </c>
      <c r="L59" s="20" t="n">
        <f aca="false">L56*L58</f>
        <v>17.8501642608022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3.136</v>
      </c>
      <c r="C60" s="20" t="n">
        <f aca="false">C59*(1-$B$9)</f>
        <v>4.3424</v>
      </c>
      <c r="D60" s="20" t="n">
        <f aca="false">D59*(1-$B$9)</f>
        <v>5.6</v>
      </c>
      <c r="E60" s="20" t="n">
        <f aca="false">E59*(1-$B$9)</f>
        <v>7.0632</v>
      </c>
      <c r="F60" s="20" t="n">
        <f aca="false">F59*(1-$B$9)</f>
        <v>8.4224</v>
      </c>
      <c r="G60" s="20" t="n">
        <f aca="false">G59*(1-$B$9)</f>
        <v>9.64368589896025</v>
      </c>
      <c r="H60" s="20" t="n">
        <f aca="false">H59*(1-$B$9)</f>
        <v>10.8348026037185</v>
      </c>
      <c r="I60" s="20" t="n">
        <f aca="false">I59*(1-$B$9)</f>
        <v>11.9403339699501</v>
      </c>
      <c r="J60" s="20" t="n">
        <f aca="false">J59*(1-$B$9)</f>
        <v>12.9023874513189</v>
      </c>
      <c r="K60" s="20" t="n">
        <f aca="false">K59*(1-$B$9)</f>
        <v>13.6651975202314</v>
      </c>
      <c r="L60" s="20" t="n">
        <f aca="false">L59*(1-$B$9)</f>
        <v>14.2801314086418</v>
      </c>
    </row>
    <row r="61" customFormat="false" ht="15" hidden="false" customHeight="true" outlineLevel="0" collapsed="false">
      <c r="A61" s="1" t="s">
        <v>62</v>
      </c>
      <c r="B61" s="22" t="n">
        <v>0.03</v>
      </c>
      <c r="C61" s="22" t="n">
        <v>0.03</v>
      </c>
      <c r="D61" s="22" t="n">
        <v>0.03</v>
      </c>
      <c r="E61" s="22" t="n">
        <v>0.03</v>
      </c>
      <c r="F61" s="22" t="n">
        <v>0.03</v>
      </c>
      <c r="G61" s="7" t="n">
        <f aca="false">$F61+($L61-$F61)*G$17/5</f>
        <v>0.028</v>
      </c>
      <c r="H61" s="7" t="n">
        <f aca="false">$F61+($L61-$F61)*H$17/5</f>
        <v>0.026</v>
      </c>
      <c r="I61" s="7" t="n">
        <f aca="false">$F61+($L61-$F61)*I$17/5</f>
        <v>0.024</v>
      </c>
      <c r="J61" s="7" t="n">
        <f aca="false">$F61+($L61-$F61)*J$17/5</f>
        <v>0.022</v>
      </c>
      <c r="K61" s="7" t="n">
        <f aca="false">$F61+($L61-$F61)*K$17/5</f>
        <v>0.02</v>
      </c>
      <c r="L61" s="21" t="n">
        <v>0.02</v>
      </c>
    </row>
    <row r="62" customFormat="false" ht="15" hidden="false" customHeight="true" outlineLevel="0" collapsed="false">
      <c r="A62" s="1" t="s">
        <v>63</v>
      </c>
      <c r="B62" s="20" t="n">
        <f aca="false">B56*B61</f>
        <v>0.588</v>
      </c>
      <c r="C62" s="20" t="n">
        <f aca="false">C56*C61</f>
        <v>0.708</v>
      </c>
      <c r="D62" s="20" t="n">
        <f aca="false">D56*D61</f>
        <v>0.84</v>
      </c>
      <c r="E62" s="20" t="n">
        <f aca="false">E56*E61</f>
        <v>0.981</v>
      </c>
      <c r="F62" s="20" t="n">
        <f aca="false">F56*F61</f>
        <v>1.128</v>
      </c>
      <c r="G62" s="20" t="n">
        <f aca="false">G56*G61</f>
        <v>1.18848241712538</v>
      </c>
      <c r="H62" s="20" t="n">
        <f aca="false">H56*H61</f>
        <v>1.22267737715573</v>
      </c>
      <c r="I62" s="20" t="n">
        <f aca="false">I56*I61</f>
        <v>1.22674664074829</v>
      </c>
      <c r="J62" s="20" t="n">
        <f aca="false">J56*J61</f>
        <v>1.1987015368624</v>
      </c>
      <c r="K62" s="20" t="n">
        <f aca="false">K56*K61</f>
        <v>1.13876646001928</v>
      </c>
      <c r="L62" s="20" t="n">
        <f aca="false">L56*L61</f>
        <v>1.19001095072015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-0.169</v>
      </c>
      <c r="C63" s="20" t="n">
        <f aca="false">$B$11*(C56-B56)</f>
        <v>-0.2</v>
      </c>
      <c r="D63" s="20" t="n">
        <f aca="false">$B$11*(D56-C56)</f>
        <v>-0.22</v>
      </c>
      <c r="E63" s="20" t="n">
        <f aca="false">$B$11*(E56-D56)</f>
        <v>-0.235</v>
      </c>
      <c r="F63" s="20" t="n">
        <f aca="false">$B$11*(F56-E56)</f>
        <v>-0.245</v>
      </c>
      <c r="G63" s="20" t="n">
        <f aca="false">$B$11*(G56-F56)</f>
        <v>-0.242290030581039</v>
      </c>
      <c r="H63" s="20" t="n">
        <f aca="false">$B$11*(H56-G56)</f>
        <v>-0.22901261779536</v>
      </c>
      <c r="I63" s="20" t="n">
        <f aca="false">$B$11*(I56-H56)</f>
        <v>-0.204419519849213</v>
      </c>
      <c r="J63" s="20" t="n">
        <f aca="false">$B$11*(J56-I56)</f>
        <v>-0.16859950646166</v>
      </c>
      <c r="K63" s="20" t="n">
        <f aca="false">$B$11*(K56-J56)</f>
        <v>-0.122594475360927</v>
      </c>
      <c r="L63" s="20" t="n">
        <f aca="false">$B$11*(L56-K56)</f>
        <v>-0.128111226752169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2.717</v>
      </c>
      <c r="C64" s="20" t="n">
        <f aca="false">C60-C62-C63</f>
        <v>3.8344</v>
      </c>
      <c r="D64" s="20" t="n">
        <f aca="false">D60-D62-D63</f>
        <v>4.98</v>
      </c>
      <c r="E64" s="20" t="n">
        <f aca="false">E60-E62-E63</f>
        <v>6.3172</v>
      </c>
      <c r="F64" s="20" t="n">
        <f aca="false">F60-F62-F63</f>
        <v>7.5394</v>
      </c>
      <c r="G64" s="20" t="n">
        <f aca="false">G60-G62-G63</f>
        <v>8.6974935124159</v>
      </c>
      <c r="H64" s="20" t="n">
        <f aca="false">H60-H62-H63</f>
        <v>9.84113784435808</v>
      </c>
      <c r="I64" s="20" t="n">
        <f aca="false">I60-I62-I63</f>
        <v>10.918006849051</v>
      </c>
      <c r="J64" s="20" t="n">
        <f aca="false">J60-J62-J63</f>
        <v>11.8722854209182</v>
      </c>
      <c r="K64" s="20" t="n">
        <f aca="false">K60-K62-K63</f>
        <v>12.649025535573</v>
      </c>
      <c r="L64" s="20" t="n">
        <f aca="false">L60-L62-L63</f>
        <v>13.2182316846738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0.955636965134993</v>
      </c>
      <c r="C65" s="23" t="n">
        <f aca="false">1/(1+$B$10)^C$16</f>
        <v>0.87272782204109</v>
      </c>
      <c r="D65" s="23" t="n">
        <f aca="false">1/(1+$B$10)^D$16</f>
        <v>0.797011709626566</v>
      </c>
      <c r="E65" s="23" t="n">
        <f aca="false">1/(1+$B$10)^E$16</f>
        <v>0.72786457500143</v>
      </c>
      <c r="F65" s="23" t="n">
        <f aca="false">1/(1+$B$10)^F$16</f>
        <v>0.664716506850621</v>
      </c>
      <c r="G65" s="23" t="n">
        <f aca="false">1/(1+$B$10)^G$16</f>
        <v>0.607047038219745</v>
      </c>
      <c r="H65" s="23" t="n">
        <f aca="false">1/(1+$B$10)^H$16</f>
        <v>0.554380856821685</v>
      </c>
      <c r="I65" s="23" t="n">
        <f aca="false">1/(1+$B$10)^I$16</f>
        <v>0.506283887508388</v>
      </c>
      <c r="J65" s="23" t="n">
        <f aca="false">1/(1+$B$10)^J$16</f>
        <v>0.462359714619533</v>
      </c>
      <c r="K65" s="23" t="n">
        <f aca="false">1/(1+$B$10)^K$16</f>
        <v>0.422246314721034</v>
      </c>
    </row>
    <row r="66" customFormat="false" ht="15" hidden="false" customHeight="true" outlineLevel="0" collapsed="false">
      <c r="A66" s="1" t="s">
        <v>67</v>
      </c>
      <c r="B66" s="20" t="n">
        <f aca="false">B64*B65</f>
        <v>2.59646563427178</v>
      </c>
      <c r="C66" s="20" t="n">
        <f aca="false">C64*C65</f>
        <v>3.34638756083435</v>
      </c>
      <c r="D66" s="20" t="n">
        <f aca="false">D64*D65</f>
        <v>3.9691183139403</v>
      </c>
      <c r="E66" s="20" t="n">
        <f aca="false">E64*E65</f>
        <v>4.59806609319904</v>
      </c>
      <c r="F66" s="20" t="n">
        <f aca="false">F64*F65</f>
        <v>5.01156363174957</v>
      </c>
      <c r="G66" s="20" t="n">
        <f aca="false">G64*G65</f>
        <v>5.27978767664752</v>
      </c>
      <c r="H66" s="20" t="n">
        <f aca="false">H64*H65</f>
        <v>5.45573843025555</v>
      </c>
      <c r="I66" s="20" t="n">
        <f aca="false">I64*I65</f>
        <v>5.52761095138074</v>
      </c>
      <c r="J66" s="20" t="n">
        <f aca="false">J64*J65</f>
        <v>5.48926649909737</v>
      </c>
      <c r="K66" s="20" t="n">
        <f aca="false">K64*K65</f>
        <v>5.34100441720796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264.364633693476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111.626992319646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156.492001528231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151.933982066243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-0.0312803999856973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58.8528253261598</v>
      </c>
      <c r="C75" s="7" t="n">
        <f aca="false">B75/$B$4-1</f>
        <v>-0.624758828575875</v>
      </c>
    </row>
    <row r="76" customFormat="false" ht="15" hidden="false" customHeight="true" outlineLevel="0" collapsed="false">
      <c r="A76" s="1" t="s">
        <v>78</v>
      </c>
      <c r="B76" s="8" t="n">
        <f aca="false">B52</f>
        <v>103.660517846071</v>
      </c>
      <c r="C76" s="7" t="n">
        <f aca="false">B76/$B$4-1</f>
        <v>-0.339068363644023</v>
      </c>
    </row>
    <row r="77" customFormat="false" ht="15" hidden="false" customHeight="true" outlineLevel="0" collapsed="false">
      <c r="A77" s="1" t="s">
        <v>79</v>
      </c>
      <c r="B77" s="8" t="n">
        <f aca="false">B70</f>
        <v>151.933982066243</v>
      </c>
      <c r="C77" s="7" t="n">
        <f aca="false">B77/$B$4-1</f>
        <v>-0.0312803999856973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103.660517846071</v>
      </c>
      <c r="C78" s="7" t="n">
        <f aca="false">B78/$B$4-1</f>
        <v>-0.339068363644023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0.666933705464378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618.312595065672</v>
      </c>
      <c r="C83" s="8" t="n">
        <f aca="false">IF(C82&gt;$L39,(SUMPRODUCT($B46:$K46/(1+C82)^$B$16:$K$16)+$L46/(C82-$L39)/(1+C82)^$K$16+$B$7+$B$8)/$B$6,"n/a")</f>
        <v>303.331295200872</v>
      </c>
      <c r="D83" s="8" t="n">
        <f aca="false">IF(D82&gt;$L39,(SUMPRODUCT($B46:$K46/(1+D82)^$B$16:$K$16)+$L46/(D82-$L39)/(1+D82)^$K$16+$B$7+$B$8)/$B$6,"n/a")</f>
        <v>198.527621986931</v>
      </c>
      <c r="E83" s="8" t="n">
        <f aca="false">IF(E82&gt;$L39,(SUMPRODUCT($B46:$K46/(1+E82)^$B$16:$K$16)+$L46/(E82-$L39)/(1+E82)^$K$16+$B$7+$B$8)/$B$6,"n/a")</f>
        <v>146.258709049454</v>
      </c>
      <c r="F83" s="8" t="n">
        <f aca="false">IF(F82&gt;$L39,(SUMPRODUCT($B46:$K46/(1+F82)^$B$16:$K$16)+$L46/(F82-$L39)/(1+F82)^$K$16+$B$7+$B$8)/$B$6,"n/a")</f>
        <v>114.996601171465</v>
      </c>
      <c r="G83" s="8" t="n">
        <f aca="false">IF(G82&gt;$L39,(SUMPRODUCT($B46:$K46/(1+G82)^$B$16:$K$16)+$L46/(G82-$L39)/(1+G82)^$K$16+$B$7+$B$8)/$B$6,"n/a")</f>
        <v>94.2324479617951</v>
      </c>
      <c r="H83" s="8" t="n">
        <f aca="false">IF(H82&gt;$L39,(SUMPRODUCT($B46:$K46/(1+H82)^$B$16:$K$16)+$L46/(H82-$L39)/(1+H82)^$K$16+$B$7+$B$8)/$B$6,"n/a")</f>
        <v>79.4628213320494</v>
      </c>
      <c r="I83" s="8" t="n">
        <f aca="false">IF(I82&gt;$L39,(SUMPRODUCT($B46:$K46/(1+I82)^$B$16:$K$16)+$L46/(I82-$L39)/(1+I82)^$K$16+$B$7+$B$8)/$B$6,"n/a")</f>
        <v>68.4362980512501</v>
      </c>
      <c r="J83" s="8" t="n">
        <f aca="false">IF(J82&gt;$L39,(SUMPRODUCT($B46:$K46/(1+J82)^$B$16:$K$16)+$L46/(J82-$L39)/(1+J82)^$K$16+$B$7+$B$8)/$B$6,"n/a")</f>
        <v>59.9023231172952</v>
      </c>
      <c r="K83" s="8" t="n">
        <f aca="false">IF(K82&gt;$L39,(SUMPRODUCT($B46:$K46/(1+K82)^$B$16:$K$16)+$L46/(K82-$L39)/(1+K82)^$K$16+$B$7+$B$8)/$B$6,"n/a")</f>
        <v>53.1107571264277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2.94231442913588</v>
      </c>
      <c r="C84" s="7" t="n">
        <f aca="false">IFERROR(C83/$B$4-1,"n/a")</f>
        <v>0.934017439434276</v>
      </c>
      <c r="D84" s="7" t="n">
        <f aca="false">IFERROR(D83/$B$4-1,"n/a")</f>
        <v>0.265797130750646</v>
      </c>
      <c r="E84" s="7" t="n">
        <f aca="false">IFERROR(E83/$B$4-1,"n/a")</f>
        <v>-0.0674655123090162</v>
      </c>
      <c r="F84" s="7" t="n">
        <f aca="false">IFERROR(F83/$B$4-1,"n/a")</f>
        <v>-0.266790352132973</v>
      </c>
      <c r="G84" s="7" t="n">
        <f aca="false">IFERROR(G83/$B$4-1,"n/a")</f>
        <v>-0.399181025492253</v>
      </c>
      <c r="H84" s="7" t="n">
        <f aca="false">IFERROR(H83/$B$4-1,"n/a")</f>
        <v>-0.493351049910422</v>
      </c>
      <c r="I84" s="7" t="n">
        <f aca="false">IFERROR(I83/$B$4-1,"n/a")</f>
        <v>-0.563655329946123</v>
      </c>
      <c r="J84" s="7" t="n">
        <f aca="false">IFERROR(J83/$B$4-1,"n/a")</f>
        <v>-0.618067309887177</v>
      </c>
      <c r="K84" s="7" t="n">
        <f aca="false">IFERROR(K83/$B$4-1,"n/a")</f>
        <v>-0.661369821943205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0.0779756053156868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0.0531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0.99</v>
      </c>
      <c r="C13" s="3" t="s">
        <v>27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0.9933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0.9933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0.102765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0.0651</v>
      </c>
      <c r="C18" s="3" t="s">
        <v>110</v>
      </c>
    </row>
    <row r="19" customFormat="false" ht="15" hidden="false" customHeight="true" outlineLevel="0" collapsed="false">
      <c r="A19" s="1" t="s">
        <v>32</v>
      </c>
      <c r="B19" s="6" t="n">
        <f aca="false">NOW!B9</f>
        <v>0.2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0.05208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NOW!B4*NOW!B6</f>
        <v>161.5452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8.45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0.950292714147223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0.049707285852777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0.100245586216552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0.095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0.095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IF(B27&gt;MAX(NOW!L21,NOW!L39,NOW!L57),"OK","WACC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0.095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2026-10-28T13:32:41Z</dcterms:created>
  <dc:creator>openpyxl</dc:creator>
  <dc:description/>
  <dc:language>en-US</dc:language>
  <cp:lastModifiedBy/>
  <dcterms:modified xsi:type="dcterms:W3CDTF">2026-10-28T16:14:15Z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