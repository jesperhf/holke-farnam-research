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KO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<sst xmlns="http://schemas.openxmlformats.org/spreadsheetml/2006/main" count="166" uniqueCount="128">
  <si>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Coca-Cola (KO):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</si>
  <si>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</si>
  <si>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</si>
  <si>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</si>
  <si>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</si>
  <si>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</si>
  <si>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</si>
  <si>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</si>
  <si>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</si>
  <si>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</si>
  <si>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</si>
  <si>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</si>
  <si>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Coca-Cola (KO)</t>
  </si>
  <si>
    <t xml:space="preserve">10-year DCF</t>
  </si>
  <si>
    <t xml:space="preserve">Exit plan on the positions page</t>
  </si>
  <si>
    <t xml:space="preserve">Trim above (bull value, rounded)</t>
  </si>
  <si>
    <t xml:space="preserve">Exit below (halfway, bear to base)</t>
  </si>
  <si>
    <t xml:space="preserve">Thesis-break signal</t>
  </si>
  <si>
    <t xml:space="preserve">Sell if organic growth is below 3% for two quarters in a row, or if North American volumes decline.</t>
  </si>
  <si>
    <t xml:space="preserve">Coca-Cola (KO):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</si>
  <si>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</si>
  <si>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</si>
  <si>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Oct 23, 2026 intraday (Yahoo Finance via the site's price feed)</t>
  </si>
  <si>
    <t xml:space="preserve">Price date</t>
  </si>
  <si>
    <t xml:space="preserve">Oct 23, 2026</t>
  </si>
  <si>
    <t xml:space="preserve">Text</t>
  </si>
  <si>
    <t xml:space="preserve">Shares outstanding (billions)</t>
  </si>
  <si>
    <t xml:space="preserve">Stock Analysis statistics, Oct 23, 2026</t>
  </si>
  <si>
    <t xml:space="preserve">Net cash, negative = net debt</t>
  </si>
  <si>
    <t xml:space="preserve">Stock Analysis statistics, Oct 23, 2026: cash less total debt</t>
  </si>
  <si>
    <t xml:space="preserve">Other non-operating assets, less outside claims</t>
  </si>
  <si>
    <t xml:space="preserve">Equity-method investments (bottlers) at book, $20.78B (10-Q, Jul 3, 2026); fair value likely higher</t>
  </si>
  <si>
    <t xml:space="preserve">Tax rate</t>
  </si>
  <si>
    <t xml:space="preserve">Analyst assumption (normalized, near the reported effective rate)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</si>
  <si>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</si>
  <si>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</si>
  <si>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</si>
  <si>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</si>
  <si>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(2026E)</t>
  </si>
  <si>
    <t xml:space="preserve">2026E consensus $49.8B (Stock Analysis)</t>
  </si>
  <si>
    <t xml:space="preserve">Selected scenario (1 Bear, 2 Base, 3 Bull)</t>
  </si>
  <si>
    <t xml:space="preserve">Lever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</si>
  <si>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</si>
  <si>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</si>
  <si>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</si>
  <si>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</si>
  <si>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</si>
  <si>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</si>
  <si>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</si>
  <si>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</si>
  <si>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</si>
  <si>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</si>
  <si>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</si>
  <si>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Terminal</t>
  </si>
  <si>
    <t xml:space="preserve">Discount period (years, mid-year)</t>
  </si>
  <si>
    <t xml:space="preserve">Fade step (years 6 to 10)</t>
  </si>
  <si>
    <t xml:space="preserve">Bear: volumes stall, currency drag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</si>
  <si>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</si>
  <si>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</si>
  <si>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</si>
  <si>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</si>
  <si>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</si>
  <si>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</si>
  <si>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</si>
  <si>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</si>
  <si>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</si>
  <si>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</si>
  <si>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</si>
  <si>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</si>
  <si>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</si>
  <si>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</si>
  <si>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</si>
  <si>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</si>
  <si>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mid-single-digit organic growth</t>
  </si>
  <si>
    <t xml:space="preserve">Bull: pricing and mix keep compounding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</si>
  <si>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</si>
  <si>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</si>
  <si>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</si>
  <si>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</si>
  <si>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</si>
  <si>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</si>
  <si>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</si>
  <si>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</si>
  <si>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</si>
  <si>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</si>
  <si>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</si>
  <si>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</si>
  <si>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set the rate used on the model sheet.</t>
  </si>
  <si>
    <t xml:space="preserve">Rate used in valuations (1 = Calculated, 2 = Assumed)</t>
  </si>
  <si>
    <t xml:space="preserve">Switch. 2 reproduces the doc's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</si>
  <si>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</si>
  <si>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</si>
  <si>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</si>
  <si>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10-year Treasury yield at the close on 2026-10-28; assumed rates below move with it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</si>
  <si>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</si>
  <si>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</si>
  <si>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</si>
  <si>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</si>
  <si>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KO</t>
  </si>
  <si>
    <t xml:space="preserve">Source / note</t>
  </si>
  <si>
    <t xml:space="preserve">Raw beta (5-year)</t>
  </si>
  <si>
    <t xml:space="preserve">Beta override (blank = none)</t>
  </si>
  <si>
    <t xml:space="preserve">Cheniere's 0.06 raw beta reflects its own history, not its risk; 0.80 used instead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</si>
  <si>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</si>
  <si>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</si>
  <si>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</si>
  <si>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</si>
  <si>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</si>
  <si>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</si>
  <si>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</si>
  <si>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</si>
  <si>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</si>
  <si>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</si>
  <si>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</si>
  <si>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</si>
  <si>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</si>
  <si>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</si>
  <si>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</si>
  <si>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</si>
  <si>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</si>
  <si>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</si>
  <si>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</si>
  <si>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Analyst assumption used in the doc</t>
  </si>
  <si>
    <t xml:space="preserve">WACC used</t>
  </si>
  <si>
    <t xml:space="preserve">Per switch in B5; feeds each sheet's B10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</si>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</sst>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KO!B4</f>
        <v>93.27</v>
      </c>
      <c r="D5" s="6" t="n">
        <f aca="false">KO!B10</f>
        <v>0.0722</v>
      </c>
      <c r="E5" s="5" t="n">
        <f aca="false">KO!B75</f>
        <v>56.7416727258919</v>
      </c>
      <c r="F5" s="5" t="n">
        <f aca="false">KO!B76</f>
        <v>76.8150386933952</v>
      </c>
      <c r="G5" s="5" t="n">
        <f aca="false">KO!B77</f>
        <v>99.394133391591</v>
      </c>
      <c r="H5" s="7" t="n">
        <f aca="false">F5/C5-1</f>
        <v>-0.176422872377022</v>
      </c>
      <c r="I5" s="6" t="n">
        <f aca="false">KO!B86</f>
        <v>0.0655209454918232</v>
      </c>
      <c r="J5" s="8" t="n">
        <f aca="false">IF(F5&lt;10,ROUND(F5*4,0)/4,IF(F5&lt;100,ROUND(F5,0),ROUND(F5/5,0)*5))</f>
        <v>77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v>72</v>
      </c>
    </row>
    <row r="10" customFormat="false" ht="15" hidden="false" customHeight="true" outlineLevel="0" collapsed="false">
      <c r="A10" s="1" t="s">
        <v>15</v>
      </c>
      <c r="C10" s="8" t="n">
        <v>92</v>
      </c>
    </row>
    <row r="11" customFormat="false" ht="15" hidden="false" customHeight="true" outlineLevel="0" collapsed="false">
      <c r="A11" s="1" t="s">
        <v>16</v>
      </c>
      <c r="C11" s="8" t="n">
        <v>63</v>
      </c>
    </row>
    <row r="12" customFormat="false" ht="15" hidden="false" customHeight="true" outlineLevel="0" collapsed="false">
      <c r="A12" s="1" t="s">
        <v>17</v>
      </c>
      <c r="C12" s="1" t="s">
        <v>18</v>
      </c>
    </row>
    <row r="13" customFormat="false" ht="15" hidden="false" customHeight="true" outlineLevel="0" collapsed="false">
      <c r="A13" s="3"/>
    </row>
    <row r="15" customFormat="false" ht="15" hidden="false" customHeight="true" outlineLevel="0" collapsed="false">
      <c r="A15" s="9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12" min="4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93.27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24</v>
      </c>
      <c r="C5" s="3" t="s">
        <v>25</v>
      </c>
    </row>
    <row r="6" customFormat="false" ht="15" hidden="false" customHeight="true" outlineLevel="0" collapsed="false">
      <c r="A6" s="1" t="s">
        <v>26</v>
      </c>
      <c r="B6" s="12" t="n">
        <v>4.3</v>
      </c>
      <c r="C6" s="3" t="s">
        <v>27</v>
      </c>
    </row>
    <row r="7" customFormat="false" ht="15" hidden="false" customHeight="true" outlineLevel="0" collapsed="false">
      <c r="A7" s="1" t="s">
        <v>28</v>
      </c>
      <c r="B7" s="13" t="n">
        <v>-27.89</v>
      </c>
      <c r="C7" s="3" t="s">
        <v>29</v>
      </c>
    </row>
    <row r="8" customFormat="false" ht="15" hidden="false" customHeight="true" outlineLevel="0" collapsed="false">
      <c r="A8" s="1" t="s">
        <v>30</v>
      </c>
      <c r="B8" s="13" t="n">
        <v>20.78</v>
      </c>
      <c r="C8" s="3" t="s">
        <v>31</v>
      </c>
    </row>
    <row r="9" customFormat="false" ht="15" hidden="false" customHeight="true" outlineLevel="0" collapsed="false">
      <c r="A9" s="1" t="s">
        <v>32</v>
      </c>
      <c r="B9" s="14" t="n">
        <v>0.19</v>
      </c>
      <c r="C9" s="3" t="s">
        <v>33</v>
      </c>
    </row>
    <row r="10" customFormat="false" ht="15" hidden="false" customHeight="true" outlineLevel="0" collapsed="false">
      <c r="A10" s="1" t="s">
        <v>34</v>
      </c>
      <c r="B10" s="15" t="n">
        <f aca="false">WACC!B29</f>
        <v>0.0722</v>
      </c>
      <c r="C10" s="3" t="s">
        <v>35</v>
      </c>
    </row>
    <row r="11" customFormat="false" ht="15" hidden="false" customHeight="true" outlineLevel="0" collapsed="false">
      <c r="A11" s="1" t="s">
        <v>36</v>
      </c>
      <c r="B11" s="14" t="n">
        <v>0</v>
      </c>
      <c r="C11" s="3" t="s">
        <v>37</v>
      </c>
    </row>
    <row r="12" customFormat="false" ht="15" hidden="false" customHeight="true" outlineLevel="0" collapsed="false">
      <c r="A12" s="1" t="s">
        <v>38</v>
      </c>
      <c r="B12" s="13" t="n">
        <v>49.8</v>
      </c>
      <c r="C12" s="3" t="s">
        <v>39</v>
      </c>
    </row>
    <row r="13" customFormat="false" ht="15" hidden="false" customHeight="true" outlineLevel="0" collapsed="false">
      <c r="A13" s="1" t="s">
        <v>40</v>
      </c>
      <c r="B13" s="16" t="n">
        <v>2</v>
      </c>
      <c r="C13" s="3" t="s">
        <v>41</v>
      </c>
    </row>
    <row r="15" customFormat="false" ht="15" hidden="false" customHeight="true" outlineLevel="0" collapsed="false">
      <c r="A15" s="9" t="s">
        <v>42</v>
      </c>
      <c r="B15" s="17" t="s">
        <v>43</v>
      </c>
      <c r="C15" s="17" t="s">
        <v>44</v>
      </c>
      <c r="D15" s="17" t="s">
        <v>45</v>
      </c>
      <c r="E15" s="17" t="s">
        <v>46</v>
      </c>
      <c r="F15" s="17" t="s">
        <v>47</v>
      </c>
      <c r="G15" s="17" t="s">
        <v>48</v>
      </c>
      <c r="H15" s="17" t="s">
        <v>49</v>
      </c>
      <c r="I15" s="17" t="s">
        <v>50</v>
      </c>
      <c r="J15" s="17" t="s">
        <v>51</v>
      </c>
      <c r="K15" s="17" t="s">
        <v>52</v>
      </c>
      <c r="L15" s="9" t="s">
        <v>53</v>
      </c>
    </row>
    <row r="16" customFormat="false" ht="15" hidden="false" customHeight="true" outlineLevel="0" collapsed="false">
      <c r="A16" s="1" t="s">
        <v>54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57</v>
      </c>
      <c r="B20" s="13" t="n">
        <v>51</v>
      </c>
      <c r="C20" s="13" t="n">
        <v>52.3</v>
      </c>
      <c r="D20" s="13" t="n">
        <v>53.6</v>
      </c>
      <c r="E20" s="13" t="n">
        <v>54.9</v>
      </c>
      <c r="F20" s="13" t="n">
        <v>56.2</v>
      </c>
      <c r="G20" s="20" t="n">
        <f aca="false">F20*(1+$F21+($L21-$F21)*G$17/5)</f>
        <v>57.5456265938069</v>
      </c>
      <c r="H20" s="20" t="n">
        <f aca="false">G20*(1+$F21+($L21-$F21)*H$17/5)</f>
        <v>58.9386709971434</v>
      </c>
      <c r="I20" s="20" t="n">
        <f aca="false">H20*(1+$F21+($L21-$F21)*I$17/5)</f>
        <v>60.3810044121645</v>
      </c>
      <c r="J20" s="20" t="n">
        <f aca="false">I20*(1+$F21+($L21-$F21)*J$17/5)</f>
        <v>61.8745818983525</v>
      </c>
      <c r="K20" s="20" t="n">
        <f aca="false">J20*(1+$F21+($L21-$F21)*K$17/5)</f>
        <v>63.4214464458113</v>
      </c>
      <c r="L20" s="20" t="n">
        <f aca="false">K20*(1+L21)</f>
        <v>65.0069826069566</v>
      </c>
    </row>
    <row r="21" customFormat="false" ht="15" hidden="false" customHeight="true" outlineLevel="0" collapsed="false">
      <c r="A21" s="1" t="s">
        <v>58</v>
      </c>
      <c r="B21" s="7" t="n">
        <f aca="false">B20/$B$12-1</f>
        <v>0.0240963855421688</v>
      </c>
      <c r="C21" s="7" t="n">
        <f aca="false">C20/B20-1</f>
        <v>0.0254901960784313</v>
      </c>
      <c r="D21" s="7" t="n">
        <f aca="false">D20/C20-1</f>
        <v>0.0248565965583174</v>
      </c>
      <c r="E21" s="7" t="n">
        <f aca="false">E20/D20-1</f>
        <v>0.0242537313432836</v>
      </c>
      <c r="F21" s="7" t="n">
        <f aca="false">F20/E20-1</f>
        <v>0.0236794171220402</v>
      </c>
      <c r="G21" s="7" t="n">
        <f aca="false">G20/F20-1</f>
        <v>0.0239435336976321</v>
      </c>
      <c r="H21" s="7" t="n">
        <f aca="false">H20/G20-1</f>
        <v>0.0242076502732242</v>
      </c>
      <c r="I21" s="7" t="n">
        <f aca="false">I20/H20-1</f>
        <v>0.0244717668488161</v>
      </c>
      <c r="J21" s="7" t="n">
        <f aca="false">J20/I20-1</f>
        <v>0.024735883424408</v>
      </c>
      <c r="K21" s="7" t="n">
        <f aca="false">K20/J20-1</f>
        <v>0.0249999999999999</v>
      </c>
      <c r="L21" s="21" t="n">
        <v>0.025</v>
      </c>
    </row>
    <row r="22" customFormat="false" ht="15" hidden="false" customHeight="true" outlineLevel="0" collapsed="false">
      <c r="A22" s="1" t="s">
        <v>59</v>
      </c>
      <c r="B22" s="22" t="n">
        <v>0.31</v>
      </c>
      <c r="C22" s="22" t="n">
        <v>0.31</v>
      </c>
      <c r="D22" s="22" t="n">
        <v>0.31</v>
      </c>
      <c r="E22" s="22" t="n">
        <v>0.31</v>
      </c>
      <c r="F22" s="22" t="n">
        <v>0.31</v>
      </c>
      <c r="G22" s="7" t="n">
        <f aca="false">$F22+($L22-$F22)*G$17/5</f>
        <v>0.308</v>
      </c>
      <c r="H22" s="7" t="n">
        <f aca="false">$F22+($L22-$F22)*H$17/5</f>
        <v>0.306</v>
      </c>
      <c r="I22" s="7" t="n">
        <f aca="false">$F22+($L22-$F22)*I$17/5</f>
        <v>0.304</v>
      </c>
      <c r="J22" s="7" t="n">
        <f aca="false">$F22+($L22-$F22)*J$17/5</f>
        <v>0.302</v>
      </c>
      <c r="K22" s="7" t="n">
        <f aca="false">$F22+($L22-$F22)*K$17/5</f>
        <v>0.3</v>
      </c>
      <c r="L22" s="21" t="n">
        <v>0.3</v>
      </c>
    </row>
    <row r="23" customFormat="false" ht="15" hidden="false" customHeight="true" outlineLevel="0" collapsed="false">
      <c r="A23" s="1" t="s">
        <v>60</v>
      </c>
      <c r="B23" s="20" t="n">
        <f aca="false">B20*B22</f>
        <v>15.81</v>
      </c>
      <c r="C23" s="20" t="n">
        <f aca="false">C20*C22</f>
        <v>16.213</v>
      </c>
      <c r="D23" s="20" t="n">
        <f aca="false">D20*D22</f>
        <v>16.616</v>
      </c>
      <c r="E23" s="20" t="n">
        <f aca="false">E20*E22</f>
        <v>17.019</v>
      </c>
      <c r="F23" s="20" t="n">
        <f aca="false">F20*F22</f>
        <v>17.422</v>
      </c>
      <c r="G23" s="20" t="n">
        <f aca="false">G20*G22</f>
        <v>17.7240529908925</v>
      </c>
      <c r="H23" s="20" t="n">
        <f aca="false">H20*H22</f>
        <v>18.0352333251259</v>
      </c>
      <c r="I23" s="20" t="n">
        <f aca="false">I20*I22</f>
        <v>18.355825341298</v>
      </c>
      <c r="J23" s="20" t="n">
        <f aca="false">J20*J22</f>
        <v>18.6861237333025</v>
      </c>
      <c r="K23" s="20" t="n">
        <f aca="false">K20*K22</f>
        <v>19.0264339337434</v>
      </c>
      <c r="L23" s="20" t="n">
        <f aca="false">L20*L22</f>
        <v>19.502094782087</v>
      </c>
    </row>
    <row r="24" customFormat="false" ht="15" hidden="false" customHeight="true" outlineLevel="0" collapsed="false">
      <c r="A24" s="1" t="s">
        <v>61</v>
      </c>
      <c r="B24" s="20" t="n">
        <f aca="false">B23*(1-$B$9)</f>
        <v>12.8061</v>
      </c>
      <c r="C24" s="20" t="n">
        <f aca="false">C23*(1-$B$9)</f>
        <v>13.13253</v>
      </c>
      <c r="D24" s="20" t="n">
        <f aca="false">D23*(1-$B$9)</f>
        <v>13.45896</v>
      </c>
      <c r="E24" s="20" t="n">
        <f aca="false">E23*(1-$B$9)</f>
        <v>13.78539</v>
      </c>
      <c r="F24" s="20" t="n">
        <f aca="false">F23*(1-$B$9)</f>
        <v>14.11182</v>
      </c>
      <c r="G24" s="20" t="n">
        <f aca="false">G23*(1-$B$9)</f>
        <v>14.356482922623</v>
      </c>
      <c r="H24" s="20" t="n">
        <f aca="false">H23*(1-$B$9)</f>
        <v>14.608538993352</v>
      </c>
      <c r="I24" s="20" t="n">
        <f aca="false">I23*(1-$B$9)</f>
        <v>14.8682185264514</v>
      </c>
      <c r="J24" s="20" t="n">
        <f aca="false">J23*(1-$B$9)</f>
        <v>15.135760223975</v>
      </c>
      <c r="K24" s="20" t="n">
        <f aca="false">K23*(1-$B$9)</f>
        <v>15.4114114863322</v>
      </c>
      <c r="L24" s="20" t="n">
        <f aca="false">L23*(1-$B$9)</f>
        <v>15.7966967734905</v>
      </c>
    </row>
    <row r="25" customFormat="false" ht="15" hidden="false" customHeight="true" outlineLevel="0" collapsed="false">
      <c r="A25" s="1" t="s">
        <v>62</v>
      </c>
      <c r="B25" s="22" t="n">
        <v>0.02</v>
      </c>
      <c r="C25" s="22" t="n">
        <v>0.02</v>
      </c>
      <c r="D25" s="22" t="n">
        <v>0.02</v>
      </c>
      <c r="E25" s="22" t="n">
        <v>0.02</v>
      </c>
      <c r="F25" s="22" t="n">
        <v>0.02</v>
      </c>
      <c r="G25" s="7" t="n">
        <f aca="false">$F25+($L25-$F25)*G$17/5</f>
        <v>0.02</v>
      </c>
      <c r="H25" s="7" t="n">
        <f aca="false">$F25+($L25-$F25)*H$17/5</f>
        <v>0.02</v>
      </c>
      <c r="I25" s="7" t="n">
        <f aca="false">$F25+($L25-$F25)*I$17/5</f>
        <v>0.02</v>
      </c>
      <c r="J25" s="7" t="n">
        <f aca="false">$F25+($L25-$F25)*J$17/5</f>
        <v>0.02</v>
      </c>
      <c r="K25" s="7" t="n">
        <f aca="false">$F25+($L25-$F25)*K$17/5</f>
        <v>0.02</v>
      </c>
      <c r="L25" s="21" t="n">
        <v>0.02</v>
      </c>
    </row>
    <row r="26" customFormat="false" ht="15" hidden="false" customHeight="true" outlineLevel="0" collapsed="false">
      <c r="A26" s="1" t="s">
        <v>63</v>
      </c>
      <c r="B26" s="20" t="n">
        <f aca="false">B20*B25</f>
        <v>1.02</v>
      </c>
      <c r="C26" s="20" t="n">
        <f aca="false">C20*C25</f>
        <v>1.046</v>
      </c>
      <c r="D26" s="20" t="n">
        <f aca="false">D20*D25</f>
        <v>1.072</v>
      </c>
      <c r="E26" s="20" t="n">
        <f aca="false">E20*E25</f>
        <v>1.098</v>
      </c>
      <c r="F26" s="20" t="n">
        <f aca="false">F20*F25</f>
        <v>1.124</v>
      </c>
      <c r="G26" s="20" t="n">
        <f aca="false">G20*G25</f>
        <v>1.15091253187614</v>
      </c>
      <c r="H26" s="20" t="n">
        <f aca="false">H20*H25</f>
        <v>1.17877341994287</v>
      </c>
      <c r="I26" s="20" t="n">
        <f aca="false">I20*I25</f>
        <v>1.20762008824329</v>
      </c>
      <c r="J26" s="20" t="n">
        <f aca="false">J20*J25</f>
        <v>1.23749163796705</v>
      </c>
      <c r="K26" s="20" t="n">
        <f aca="false">K20*K25</f>
        <v>1.26842892891623</v>
      </c>
      <c r="L26" s="20" t="n">
        <f aca="false">L20*L25</f>
        <v>1.30013965213913</v>
      </c>
    </row>
    <row r="27" customFormat="false" ht="15" hidden="false" customHeight="true" outlineLevel="0" collapsed="false">
      <c r="A27" s="1" t="s">
        <v>64</v>
      </c>
      <c r="B27" s="20" t="n">
        <f aca="false">$B$11*(B20-$B$12)</f>
        <v>0</v>
      </c>
      <c r="C27" s="20" t="n">
        <f aca="false">$B$11*(C20-B20)</f>
        <v>0</v>
      </c>
      <c r="D27" s="20" t="n">
        <f aca="false">$B$11*(D20-C20)</f>
        <v>0</v>
      </c>
      <c r="E27" s="20" t="n">
        <f aca="false">$B$11*(E20-D20)</f>
        <v>0</v>
      </c>
      <c r="F27" s="20" t="n">
        <f aca="false">$B$11*(F20-E20)</f>
        <v>0</v>
      </c>
      <c r="G27" s="20" t="n">
        <f aca="false">$B$11*(G20-F20)</f>
        <v>0</v>
      </c>
      <c r="H27" s="20" t="n">
        <f aca="false">$B$11*(H20-G20)</f>
        <v>0</v>
      </c>
      <c r="I27" s="20" t="n">
        <f aca="false">$B$11*(I20-H20)</f>
        <v>0</v>
      </c>
      <c r="J27" s="20" t="n">
        <f aca="false">$B$11*(J20-I20)</f>
        <v>0</v>
      </c>
      <c r="K27" s="20" t="n">
        <f aca="false">$B$11*(K20-J20)</f>
        <v>0</v>
      </c>
      <c r="L27" s="20" t="n">
        <f aca="false">$B$11*(L20-K20)</f>
        <v>0</v>
      </c>
    </row>
    <row r="28" customFormat="false" ht="15" hidden="false" customHeight="true" outlineLevel="0" collapsed="false">
      <c r="A28" s="1" t="s">
        <v>65</v>
      </c>
      <c r="B28" s="20" t="n">
        <f aca="false">B24-B26-B27</f>
        <v>11.7861</v>
      </c>
      <c r="C28" s="20" t="n">
        <f aca="false">C24-C26-C27</f>
        <v>12.08653</v>
      </c>
      <c r="D28" s="20" t="n">
        <f aca="false">D24-D26-D27</f>
        <v>12.38696</v>
      </c>
      <c r="E28" s="20" t="n">
        <f aca="false">E24-E26-E27</f>
        <v>12.68739</v>
      </c>
      <c r="F28" s="20" t="n">
        <f aca="false">F24-F26-F27</f>
        <v>12.98782</v>
      </c>
      <c r="G28" s="20" t="n">
        <f aca="false">G24-G26-G27</f>
        <v>13.2055703907468</v>
      </c>
      <c r="H28" s="20" t="n">
        <f aca="false">H24-H26-H27</f>
        <v>13.4297655734091</v>
      </c>
      <c r="I28" s="20" t="n">
        <f aca="false">I24-I26-I27</f>
        <v>13.6605984382081</v>
      </c>
      <c r="J28" s="20" t="n">
        <f aca="false">J24-J26-J27</f>
        <v>13.8982685860079</v>
      </c>
      <c r="K28" s="20" t="n">
        <f aca="false">K24-K26-K27</f>
        <v>14.1429825574159</v>
      </c>
      <c r="L28" s="20" t="n">
        <f aca="false">L24-L26-L27</f>
        <v>14.4965571213513</v>
      </c>
    </row>
    <row r="29" customFormat="false" ht="15" hidden="false" customHeight="true" outlineLevel="0" collapsed="false">
      <c r="A29" s="1" t="s">
        <v>66</v>
      </c>
      <c r="B29" s="23" t="n">
        <f aca="false">1/(1+$B$10)^B$16</f>
        <v>0.965744177733016</v>
      </c>
      <c r="C29" s="23" t="n">
        <f aca="false">1/(1+$B$10)^C$16</f>
        <v>0.900712719392852</v>
      </c>
      <c r="D29" s="23" t="n">
        <f aca="false">1/(1+$B$10)^D$16</f>
        <v>0.840060361306521</v>
      </c>
      <c r="E29" s="23" t="n">
        <f aca="false">1/(1+$B$10)^E$16</f>
        <v>0.78349222281899</v>
      </c>
      <c r="F29" s="23" t="n">
        <f aca="false">1/(1+$B$10)^F$16</f>
        <v>0.730733280002789</v>
      </c>
      <c r="G29" s="23" t="n">
        <f aca="false">1/(1+$B$10)^G$16</f>
        <v>0.681527028542053</v>
      </c>
      <c r="H29" s="23" t="n">
        <f aca="false">1/(1+$B$10)^H$16</f>
        <v>0.635634236655524</v>
      </c>
      <c r="I29" s="23" t="n">
        <f aca="false">1/(1+$B$10)^I$16</f>
        <v>0.592831781995452</v>
      </c>
      <c r="J29" s="23" t="n">
        <f aca="false">1/(1+$B$10)^J$16</f>
        <v>0.55291156686761</v>
      </c>
      <c r="K29" s="23" t="n">
        <f aca="false">1/(1+$B$10)^K$16</f>
        <v>0.515679506498424</v>
      </c>
    </row>
    <row r="30" customFormat="false" ht="15" hidden="false" customHeight="true" outlineLevel="0" collapsed="false">
      <c r="A30" s="1" t="s">
        <v>67</v>
      </c>
      <c r="B30" s="20" t="n">
        <f aca="false">B28*B29</f>
        <v>11.3823574531791</v>
      </c>
      <c r="C30" s="20" t="n">
        <f aca="false">C28*C29</f>
        <v>10.8864913043233</v>
      </c>
      <c r="D30" s="20" t="n">
        <f aca="false">D28*D29</f>
        <v>10.4057940930894</v>
      </c>
      <c r="E30" s="20" t="n">
        <f aca="false">E28*E29</f>
        <v>9.94047139287143</v>
      </c>
      <c r="F30" s="20" t="n">
        <f aca="false">F28*F29</f>
        <v>9.49063230868582</v>
      </c>
      <c r="G30" s="20" t="n">
        <f aca="false">G28*G29</f>
        <v>8.99995314860859</v>
      </c>
      <c r="H30" s="20" t="n">
        <f aca="false">H28*H29</f>
        <v>8.53641878871651</v>
      </c>
      <c r="I30" s="20" t="n">
        <f aca="false">I28*I29</f>
        <v>8.0984369152472</v>
      </c>
      <c r="J30" s="20" t="n">
        <f aca="false">J28*J29</f>
        <v>7.68451346063654</v>
      </c>
      <c r="K30" s="20" t="n">
        <f aca="false">K28*K29</f>
        <v>7.29324626562407</v>
      </c>
      <c r="L30" s="20"/>
    </row>
    <row r="31" customFormat="false" ht="15" hidden="false" customHeight="true" outlineLevel="0" collapsed="false">
      <c r="A31" s="1" t="s">
        <v>68</v>
      </c>
      <c r="B31" s="20" t="n">
        <f aca="false">L28/($B$10-L21)</f>
        <v>307.130447486257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69</v>
      </c>
      <c r="B32" s="20" t="n">
        <f aca="false">B31/(1+$B$10)^$K$16</f>
        <v>158.380877590353</v>
      </c>
    </row>
    <row r="33" customFormat="false" ht="15" hidden="false" customHeight="true" outlineLevel="0" collapsed="false">
      <c r="A33" s="1" t="s">
        <v>70</v>
      </c>
      <c r="B33" s="20" t="n">
        <f aca="false">SUM(B30:K30)+B32+$B$7+$B$8</f>
        <v>243.989192721335</v>
      </c>
    </row>
    <row r="34" customFormat="false" ht="15" hidden="false" customHeight="true" outlineLevel="0" collapsed="false">
      <c r="A34" s="1" t="s">
        <v>71</v>
      </c>
      <c r="B34" s="24" t="n">
        <f aca="false">B33/$B$6</f>
        <v>56.7416727258919</v>
      </c>
    </row>
    <row r="35" customFormat="false" ht="15" hidden="false" customHeight="true" outlineLevel="0" collapsed="false">
      <c r="A35" s="1" t="s">
        <v>72</v>
      </c>
      <c r="B35" s="7" t="n">
        <f aca="false">B34/$B$4-1</f>
        <v>-0.391640691263087</v>
      </c>
    </row>
    <row r="37" customFormat="false" ht="15" hidden="false" customHeight="true" outlineLevel="0" collapsed="false">
      <c r="A37" s="18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57</v>
      </c>
      <c r="B38" s="13" t="n">
        <v>52.3</v>
      </c>
      <c r="C38" s="13" t="n">
        <v>54.9</v>
      </c>
      <c r="D38" s="13" t="n">
        <v>57.6</v>
      </c>
      <c r="E38" s="13" t="n">
        <v>60.3</v>
      </c>
      <c r="F38" s="13" t="n">
        <v>63.1</v>
      </c>
      <c r="G38" s="20" t="n">
        <f aca="false">F38*(1+$F39+($L39-$F39)*G$17/5)</f>
        <v>65.8226132669984</v>
      </c>
      <c r="H38" s="20" t="n">
        <f aca="false">G38*(1+$F39+($L39-$F39)*H$17/5)</f>
        <v>68.4463484784172</v>
      </c>
      <c r="I38" s="20" t="n">
        <f aca="false">H38*(1+$F39+($L39-$F39)*I$17/5)</f>
        <v>70.9496913794836</v>
      </c>
      <c r="J38" s="20" t="n">
        <f aca="false">I38*(1+$F39+($L39-$F39)*J$17/5)</f>
        <v>73.3113865791005</v>
      </c>
      <c r="K38" s="20" t="n">
        <f aca="false">J38*(1+$F39+($L39-$F39)*K$17/5)</f>
        <v>75.5107281764735</v>
      </c>
      <c r="L38" s="20" t="n">
        <f aca="false">K38*(1+L39)</f>
        <v>77.7760500217677</v>
      </c>
    </row>
    <row r="39" customFormat="false" ht="15" hidden="false" customHeight="true" outlineLevel="0" collapsed="false">
      <c r="A39" s="1" t="s">
        <v>58</v>
      </c>
      <c r="B39" s="7" t="n">
        <f aca="false">B38/$B$12-1</f>
        <v>0.0502008032128514</v>
      </c>
      <c r="C39" s="7" t="n">
        <f aca="false">C38/B38-1</f>
        <v>0.0497131931166348</v>
      </c>
      <c r="D39" s="7" t="n">
        <f aca="false">D38/C38-1</f>
        <v>0.0491803278688525</v>
      </c>
      <c r="E39" s="7" t="n">
        <f aca="false">E38/D38-1</f>
        <v>0.046875</v>
      </c>
      <c r="F39" s="7" t="n">
        <f aca="false">F38/E38-1</f>
        <v>0.0464344941956882</v>
      </c>
      <c r="G39" s="7" t="n">
        <f aca="false">G38/F38-1</f>
        <v>0.0431475953565506</v>
      </c>
      <c r="H39" s="7" t="n">
        <f aca="false">H38/G38-1</f>
        <v>0.0398606965174129</v>
      </c>
      <c r="I39" s="7" t="n">
        <f aca="false">I38/H38-1</f>
        <v>0.0365737976782754</v>
      </c>
      <c r="J39" s="7" t="n">
        <f aca="false">J38/I38-1</f>
        <v>0.0332868988391377</v>
      </c>
      <c r="K39" s="7" t="n">
        <f aca="false">K38/J38-1</f>
        <v>0.03</v>
      </c>
      <c r="L39" s="21" t="n">
        <v>0.03</v>
      </c>
    </row>
    <row r="40" customFormat="false" ht="15" hidden="false" customHeight="true" outlineLevel="0" collapsed="false">
      <c r="A40" s="1" t="s">
        <v>59</v>
      </c>
      <c r="B40" s="22" t="n">
        <v>0.32</v>
      </c>
      <c r="C40" s="22" t="n">
        <v>0.325</v>
      </c>
      <c r="D40" s="22" t="n">
        <v>0.33</v>
      </c>
      <c r="E40" s="22" t="n">
        <v>0.33</v>
      </c>
      <c r="F40" s="22" t="n">
        <v>0.33</v>
      </c>
      <c r="G40" s="7" t="n">
        <f aca="false">$F40+($L40-$F40)*G$17/5</f>
        <v>0.328</v>
      </c>
      <c r="H40" s="7" t="n">
        <f aca="false">$F40+($L40-$F40)*H$17/5</f>
        <v>0.326</v>
      </c>
      <c r="I40" s="7" t="n">
        <f aca="false">$F40+($L40-$F40)*I$17/5</f>
        <v>0.324</v>
      </c>
      <c r="J40" s="7" t="n">
        <f aca="false">$F40+($L40-$F40)*J$17/5</f>
        <v>0.322</v>
      </c>
      <c r="K40" s="7" t="n">
        <f aca="false">$F40+($L40-$F40)*K$17/5</f>
        <v>0.32</v>
      </c>
      <c r="L40" s="21" t="n">
        <v>0.32</v>
      </c>
    </row>
    <row r="41" customFormat="false" ht="15" hidden="false" customHeight="true" outlineLevel="0" collapsed="false">
      <c r="A41" s="1" t="s">
        <v>60</v>
      </c>
      <c r="B41" s="20" t="n">
        <f aca="false">B38*B40</f>
        <v>16.736</v>
      </c>
      <c r="C41" s="20" t="n">
        <f aca="false">C38*C40</f>
        <v>17.8425</v>
      </c>
      <c r="D41" s="20" t="n">
        <f aca="false">D38*D40</f>
        <v>19.008</v>
      </c>
      <c r="E41" s="20" t="n">
        <f aca="false">E38*E40</f>
        <v>19.899</v>
      </c>
      <c r="F41" s="20" t="n">
        <f aca="false">F38*F40</f>
        <v>20.823</v>
      </c>
      <c r="G41" s="20" t="n">
        <f aca="false">G38*G40</f>
        <v>21.5898171515755</v>
      </c>
      <c r="H41" s="20" t="n">
        <f aca="false">H38*H40</f>
        <v>22.313509603964</v>
      </c>
      <c r="I41" s="20" t="n">
        <f aca="false">I38*I40</f>
        <v>22.9877000069527</v>
      </c>
      <c r="J41" s="20" t="n">
        <f aca="false">J38*J40</f>
        <v>23.6062664784704</v>
      </c>
      <c r="K41" s="20" t="n">
        <f aca="false">K38*K40</f>
        <v>24.1634330164715</v>
      </c>
      <c r="L41" s="20" t="n">
        <f aca="false">L38*L40</f>
        <v>24.8883360069657</v>
      </c>
    </row>
    <row r="42" customFormat="false" ht="15" hidden="false" customHeight="true" outlineLevel="0" collapsed="false">
      <c r="A42" s="1" t="s">
        <v>61</v>
      </c>
      <c r="B42" s="20" t="n">
        <f aca="false">B41*(1-$B$9)</f>
        <v>13.55616</v>
      </c>
      <c r="C42" s="20" t="n">
        <f aca="false">C41*(1-$B$9)</f>
        <v>14.452425</v>
      </c>
      <c r="D42" s="20" t="n">
        <f aca="false">D41*(1-$B$9)</f>
        <v>15.39648</v>
      </c>
      <c r="E42" s="20" t="n">
        <f aca="false">E41*(1-$B$9)</f>
        <v>16.11819</v>
      </c>
      <c r="F42" s="20" t="n">
        <f aca="false">F41*(1-$B$9)</f>
        <v>16.86663</v>
      </c>
      <c r="G42" s="20" t="n">
        <f aca="false">G41*(1-$B$9)</f>
        <v>17.4877518927761</v>
      </c>
      <c r="H42" s="20" t="n">
        <f aca="false">H41*(1-$B$9)</f>
        <v>18.0739427792109</v>
      </c>
      <c r="I42" s="20" t="n">
        <f aca="false">I41*(1-$B$9)</f>
        <v>18.6200370056317</v>
      </c>
      <c r="J42" s="20" t="n">
        <f aca="false">J41*(1-$B$9)</f>
        <v>19.121075847561</v>
      </c>
      <c r="K42" s="20" t="n">
        <f aca="false">K41*(1-$B$9)</f>
        <v>19.5723807433419</v>
      </c>
      <c r="L42" s="20" t="n">
        <f aca="false">L41*(1-$B$9)</f>
        <v>20.1595521656422</v>
      </c>
    </row>
    <row r="43" customFormat="false" ht="15" hidden="false" customHeight="true" outlineLevel="0" collapsed="false">
      <c r="A43" s="1" t="s">
        <v>62</v>
      </c>
      <c r="B43" s="22" t="n">
        <v>0.02</v>
      </c>
      <c r="C43" s="22" t="n">
        <v>0.02</v>
      </c>
      <c r="D43" s="22" t="n">
        <v>0.02</v>
      </c>
      <c r="E43" s="22" t="n">
        <v>0.02</v>
      </c>
      <c r="F43" s="22" t="n">
        <v>0.02</v>
      </c>
      <c r="G43" s="7" t="n">
        <f aca="false">$F43+($L43-$F43)*G$17/5</f>
        <v>0.02</v>
      </c>
      <c r="H43" s="7" t="n">
        <f aca="false">$F43+($L43-$F43)*H$17/5</f>
        <v>0.02</v>
      </c>
      <c r="I43" s="7" t="n">
        <f aca="false">$F43+($L43-$F43)*I$17/5</f>
        <v>0.02</v>
      </c>
      <c r="J43" s="7" t="n">
        <f aca="false">$F43+($L43-$F43)*J$17/5</f>
        <v>0.02</v>
      </c>
      <c r="K43" s="7" t="n">
        <f aca="false">$F43+($L43-$F43)*K$17/5</f>
        <v>0.02</v>
      </c>
      <c r="L43" s="21" t="n">
        <v>0.02</v>
      </c>
    </row>
    <row r="44" customFormat="false" ht="15" hidden="false" customHeight="true" outlineLevel="0" collapsed="false">
      <c r="A44" s="1" t="s">
        <v>63</v>
      </c>
      <c r="B44" s="20" t="n">
        <f aca="false">B38*B43</f>
        <v>1.046</v>
      </c>
      <c r="C44" s="20" t="n">
        <f aca="false">C38*C43</f>
        <v>1.098</v>
      </c>
      <c r="D44" s="20" t="n">
        <f aca="false">D38*D43</f>
        <v>1.152</v>
      </c>
      <c r="E44" s="20" t="n">
        <f aca="false">E38*E43</f>
        <v>1.206</v>
      </c>
      <c r="F44" s="20" t="n">
        <f aca="false">F38*F43</f>
        <v>1.262</v>
      </c>
      <c r="G44" s="20" t="n">
        <f aca="false">G38*G43</f>
        <v>1.31645226533997</v>
      </c>
      <c r="H44" s="20" t="n">
        <f aca="false">H38*H43</f>
        <v>1.36892696956834</v>
      </c>
      <c r="I44" s="20" t="n">
        <f aca="false">I38*I43</f>
        <v>1.41899382758967</v>
      </c>
      <c r="J44" s="20" t="n">
        <f aca="false">J38*J43</f>
        <v>1.46622773158201</v>
      </c>
      <c r="K44" s="20" t="n">
        <f aca="false">K38*K43</f>
        <v>1.51021456352947</v>
      </c>
      <c r="L44" s="20" t="n">
        <f aca="false">L38*L43</f>
        <v>1.55552100043535</v>
      </c>
    </row>
    <row r="45" customFormat="false" ht="15" hidden="false" customHeight="true" outlineLevel="0" collapsed="false">
      <c r="A45" s="1" t="s">
        <v>64</v>
      </c>
      <c r="B45" s="20" t="n">
        <f aca="false">$B$11*(B38-$B$12)</f>
        <v>0</v>
      </c>
      <c r="C45" s="20" t="n">
        <f aca="false">$B$11*(C38-B38)</f>
        <v>0</v>
      </c>
      <c r="D45" s="20" t="n">
        <f aca="false">$B$11*(D38-C38)</f>
        <v>0</v>
      </c>
      <c r="E45" s="20" t="n">
        <f aca="false">$B$11*(E38-D38)</f>
        <v>0</v>
      </c>
      <c r="F45" s="20" t="n">
        <f aca="false">$B$11*(F38-E38)</f>
        <v>0</v>
      </c>
      <c r="G45" s="20" t="n">
        <f aca="false">$B$11*(G38-F38)</f>
        <v>0</v>
      </c>
      <c r="H45" s="20" t="n">
        <f aca="false">$B$11*(H38-G38)</f>
        <v>0</v>
      </c>
      <c r="I45" s="20" t="n">
        <f aca="false">$B$11*(I38-H38)</f>
        <v>0</v>
      </c>
      <c r="J45" s="20" t="n">
        <f aca="false">$B$11*(J38-I38)</f>
        <v>0</v>
      </c>
      <c r="K45" s="20" t="n">
        <f aca="false">$B$11*(K38-J38)</f>
        <v>0</v>
      </c>
      <c r="L45" s="20" t="n">
        <f aca="false">$B$11*(L38-K38)</f>
        <v>0</v>
      </c>
    </row>
    <row r="46" customFormat="false" ht="15" hidden="false" customHeight="true" outlineLevel="0" collapsed="false">
      <c r="A46" s="1" t="s">
        <v>65</v>
      </c>
      <c r="B46" s="20" t="n">
        <f aca="false">B42-B44-B45</f>
        <v>12.51016</v>
      </c>
      <c r="C46" s="20" t="n">
        <f aca="false">C42-C44-C45</f>
        <v>13.354425</v>
      </c>
      <c r="D46" s="20" t="n">
        <f aca="false">D42-D44-D45</f>
        <v>14.24448</v>
      </c>
      <c r="E46" s="20" t="n">
        <f aca="false">E42-E44-E45</f>
        <v>14.91219</v>
      </c>
      <c r="F46" s="20" t="n">
        <f aca="false">F42-F44-F45</f>
        <v>15.60463</v>
      </c>
      <c r="G46" s="20" t="n">
        <f aca="false">G42-G44-G45</f>
        <v>16.1712996274362</v>
      </c>
      <c r="H46" s="20" t="n">
        <f aca="false">H42-H44-H45</f>
        <v>16.7050158096425</v>
      </c>
      <c r="I46" s="20" t="n">
        <f aca="false">I42-I44-I45</f>
        <v>17.201043178042</v>
      </c>
      <c r="J46" s="20" t="n">
        <f aca="false">J42-J44-J45</f>
        <v>17.654848115979</v>
      </c>
      <c r="K46" s="20" t="n">
        <f aca="false">K42-K44-K45</f>
        <v>18.0621661798125</v>
      </c>
      <c r="L46" s="20" t="n">
        <f aca="false">L42-L44-L45</f>
        <v>18.6040311652068</v>
      </c>
    </row>
    <row r="47" customFormat="false" ht="15" hidden="false" customHeight="true" outlineLevel="0" collapsed="false">
      <c r="A47" s="1" t="s">
        <v>66</v>
      </c>
      <c r="B47" s="23" t="n">
        <f aca="false">1/(1+$B$10)^B$16</f>
        <v>0.965744177733016</v>
      </c>
      <c r="C47" s="23" t="n">
        <f aca="false">1/(1+$B$10)^C$16</f>
        <v>0.900712719392852</v>
      </c>
      <c r="D47" s="23" t="n">
        <f aca="false">1/(1+$B$10)^D$16</f>
        <v>0.840060361306521</v>
      </c>
      <c r="E47" s="23" t="n">
        <f aca="false">1/(1+$B$10)^E$16</f>
        <v>0.78349222281899</v>
      </c>
      <c r="F47" s="23" t="n">
        <f aca="false">1/(1+$B$10)^F$16</f>
        <v>0.730733280002789</v>
      </c>
      <c r="G47" s="23" t="n">
        <f aca="false">1/(1+$B$10)^G$16</f>
        <v>0.681527028542053</v>
      </c>
      <c r="H47" s="23" t="n">
        <f aca="false">1/(1+$B$10)^H$16</f>
        <v>0.635634236655524</v>
      </c>
      <c r="I47" s="23" t="n">
        <f aca="false">1/(1+$B$10)^I$16</f>
        <v>0.592831781995452</v>
      </c>
      <c r="J47" s="23" t="n">
        <f aca="false">1/(1+$B$10)^J$16</f>
        <v>0.55291156686761</v>
      </c>
      <c r="K47" s="23" t="n">
        <f aca="false">1/(1+$B$10)^K$16</f>
        <v>0.515679506498424</v>
      </c>
    </row>
    <row r="48" customFormat="false" ht="15" hidden="false" customHeight="true" outlineLevel="0" collapsed="false">
      <c r="A48" s="1" t="s">
        <v>67</v>
      </c>
      <c r="B48" s="20" t="n">
        <f aca="false">B46*B47</f>
        <v>12.0816141825085</v>
      </c>
      <c r="C48" s="20" t="n">
        <f aca="false">C46*C47</f>
        <v>12.0285004576779</v>
      </c>
      <c r="D48" s="20" t="n">
        <f aca="false">D46*D47</f>
        <v>11.9662230154235</v>
      </c>
      <c r="E48" s="20" t="n">
        <f aca="false">E46*E47</f>
        <v>11.6835848901991</v>
      </c>
      <c r="F48" s="20" t="n">
        <f aca="false">F46*F47</f>
        <v>11.4028224631299</v>
      </c>
      <c r="G48" s="20" t="n">
        <f aca="false">G46*G47</f>
        <v>11.0211777827498</v>
      </c>
      <c r="H48" s="20" t="n">
        <f aca="false">H46*H47</f>
        <v>10.6182799724806</v>
      </c>
      <c r="I48" s="20" t="n">
        <f aca="false">I46*I47</f>
        <v>10.1973250794194</v>
      </c>
      <c r="J48" s="20" t="n">
        <f aca="false">J46*J47</f>
        <v>9.76156973461562</v>
      </c>
      <c r="K48" s="20" t="n">
        <f aca="false">K46*K47</f>
        <v>9.31428894189822</v>
      </c>
      <c r="L48" s="20"/>
    </row>
    <row r="49" customFormat="false" ht="15" hidden="false" customHeight="true" outlineLevel="0" collapsed="false">
      <c r="A49" s="1" t="s">
        <v>68</v>
      </c>
      <c r="B49" s="20" t="n">
        <f aca="false">L46/($B$10-L39)</f>
        <v>440.853819080731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69</v>
      </c>
      <c r="B50" s="20" t="n">
        <f aca="false">B49/(1+$B$10)^$K$16</f>
        <v>227.339279861497</v>
      </c>
    </row>
    <row r="51" customFormat="false" ht="15" hidden="false" customHeight="true" outlineLevel="0" collapsed="false">
      <c r="A51" s="1" t="s">
        <v>70</v>
      </c>
      <c r="B51" s="20" t="n">
        <f aca="false">SUM(B48:K48)+B50+$B$7+$B$8</f>
        <v>330.304666381599</v>
      </c>
    </row>
    <row r="52" customFormat="false" ht="15" hidden="false" customHeight="true" outlineLevel="0" collapsed="false">
      <c r="A52" s="1" t="s">
        <v>71</v>
      </c>
      <c r="B52" s="24" t="n">
        <f aca="false">B51/$B$6</f>
        <v>76.8150386933952</v>
      </c>
    </row>
    <row r="53" customFormat="false" ht="15" hidden="false" customHeight="true" outlineLevel="0" collapsed="false">
      <c r="A53" s="1" t="s">
        <v>72</v>
      </c>
      <c r="B53" s="7" t="n">
        <f aca="false">B52/$B$4-1</f>
        <v>-0.176422872377022</v>
      </c>
    </row>
    <row r="55" customFormat="false" ht="15" hidden="false" customHeight="true" outlineLevel="0" collapsed="false">
      <c r="A55" s="18" t="s">
        <v>74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57</v>
      </c>
      <c r="B56" s="13" t="n">
        <v>52.8</v>
      </c>
      <c r="C56" s="13" t="n">
        <v>56.2</v>
      </c>
      <c r="D56" s="13" t="n">
        <v>59.8</v>
      </c>
      <c r="E56" s="13" t="n">
        <v>63.6</v>
      </c>
      <c r="F56" s="13" t="n">
        <v>67.6</v>
      </c>
      <c r="G56" s="20" t="n">
        <f aca="false">F56*(1+$F57+($L57-$F57)*G$17/5)</f>
        <v>71.4744578616352</v>
      </c>
      <c r="H56" s="20" t="n">
        <f aca="false">G56*(1+$F57+($L57-$F57)*H$17/5)</f>
        <v>75.1722496249674</v>
      </c>
      <c r="I56" s="20" t="n">
        <f aca="false">H56*(1+$F57+($L57-$F57)*I$17/5)</f>
        <v>78.6419926438204</v>
      </c>
      <c r="J56" s="20" t="n">
        <f aca="false">I56*(1+$F57+($L57-$F57)*J$17/5)</f>
        <v>81.8331758924866</v>
      </c>
      <c r="K56" s="20" t="n">
        <f aca="false">J56*(1+$F57+($L57-$F57)*K$17/5)</f>
        <v>84.6973370487237</v>
      </c>
      <c r="L56" s="20" t="n">
        <f aca="false">K56*(1+L57)</f>
        <v>87.661743845429</v>
      </c>
    </row>
    <row r="57" customFormat="false" ht="15" hidden="false" customHeight="true" outlineLevel="0" collapsed="false">
      <c r="A57" s="1" t="s">
        <v>58</v>
      </c>
      <c r="B57" s="7" t="n">
        <f aca="false">B56/$B$12-1</f>
        <v>0.0602409638554218</v>
      </c>
      <c r="C57" s="7" t="n">
        <f aca="false">C56/B56-1</f>
        <v>0.0643939393939395</v>
      </c>
      <c r="D57" s="7" t="n">
        <f aca="false">D56/C56-1</f>
        <v>0.0640569395017792</v>
      </c>
      <c r="E57" s="7" t="n">
        <f aca="false">E56/D56-1</f>
        <v>0.0635451505016724</v>
      </c>
      <c r="F57" s="7" t="n">
        <f aca="false">F56/E56-1</f>
        <v>0.0628930817610063</v>
      </c>
      <c r="G57" s="7" t="n">
        <f aca="false">G56/F56-1</f>
        <v>0.0573144654088049</v>
      </c>
      <c r="H57" s="7" t="n">
        <f aca="false">H56/G56-1</f>
        <v>0.0517358490566038</v>
      </c>
      <c r="I57" s="7" t="n">
        <f aca="false">I56/H56-1</f>
        <v>0.0461572327044024</v>
      </c>
      <c r="J57" s="7" t="n">
        <f aca="false">J56/I56-1</f>
        <v>0.0405786163522013</v>
      </c>
      <c r="K57" s="7" t="n">
        <f aca="false">K56/J56-1</f>
        <v>0.0349999999999999</v>
      </c>
      <c r="L57" s="21" t="n">
        <v>0.035</v>
      </c>
    </row>
    <row r="58" customFormat="false" ht="15" hidden="false" customHeight="true" outlineLevel="0" collapsed="false">
      <c r="A58" s="1" t="s">
        <v>59</v>
      </c>
      <c r="B58" s="22" t="n">
        <v>0.33</v>
      </c>
      <c r="C58" s="22" t="n">
        <v>0.335</v>
      </c>
      <c r="D58" s="22" t="n">
        <v>0.34</v>
      </c>
      <c r="E58" s="22" t="n">
        <v>0.345</v>
      </c>
      <c r="F58" s="22" t="n">
        <v>0.35</v>
      </c>
      <c r="G58" s="7" t="n">
        <f aca="false">$F58+($L58-$F58)*G$17/5</f>
        <v>0.348</v>
      </c>
      <c r="H58" s="7" t="n">
        <f aca="false">$F58+($L58-$F58)*H$17/5</f>
        <v>0.346</v>
      </c>
      <c r="I58" s="7" t="n">
        <f aca="false">$F58+($L58-$F58)*I$17/5</f>
        <v>0.344</v>
      </c>
      <c r="J58" s="7" t="n">
        <f aca="false">$F58+($L58-$F58)*J$17/5</f>
        <v>0.342</v>
      </c>
      <c r="K58" s="7" t="n">
        <f aca="false">$F58+($L58-$F58)*K$17/5</f>
        <v>0.34</v>
      </c>
      <c r="L58" s="21" t="n">
        <v>0.34</v>
      </c>
    </row>
    <row r="59" customFormat="false" ht="15" hidden="false" customHeight="true" outlineLevel="0" collapsed="false">
      <c r="A59" s="1" t="s">
        <v>60</v>
      </c>
      <c r="B59" s="20" t="n">
        <f aca="false">B56*B58</f>
        <v>17.424</v>
      </c>
      <c r="C59" s="20" t="n">
        <f aca="false">C56*C58</f>
        <v>18.827</v>
      </c>
      <c r="D59" s="20" t="n">
        <f aca="false">D56*D58</f>
        <v>20.332</v>
      </c>
      <c r="E59" s="20" t="n">
        <f aca="false">E56*E58</f>
        <v>21.942</v>
      </c>
      <c r="F59" s="20" t="n">
        <f aca="false">F56*F58</f>
        <v>23.66</v>
      </c>
      <c r="G59" s="20" t="n">
        <f aca="false">G56*G58</f>
        <v>24.8731113358491</v>
      </c>
      <c r="H59" s="20" t="n">
        <f aca="false">H56*H58</f>
        <v>26.0095983702387</v>
      </c>
      <c r="I59" s="20" t="n">
        <f aca="false">I56*I58</f>
        <v>27.0528454694742</v>
      </c>
      <c r="J59" s="20" t="n">
        <f aca="false">J56*J58</f>
        <v>27.9869461552304</v>
      </c>
      <c r="K59" s="20" t="n">
        <f aca="false">K56*K58</f>
        <v>28.797094596566</v>
      </c>
      <c r="L59" s="20" t="n">
        <f aca="false">L56*L58</f>
        <v>29.8049929074459</v>
      </c>
    </row>
    <row r="60" customFormat="false" ht="15" hidden="false" customHeight="true" outlineLevel="0" collapsed="false">
      <c r="A60" s="1" t="s">
        <v>61</v>
      </c>
      <c r="B60" s="20" t="n">
        <f aca="false">B59*(1-$B$9)</f>
        <v>14.11344</v>
      </c>
      <c r="C60" s="20" t="n">
        <f aca="false">C59*(1-$B$9)</f>
        <v>15.24987</v>
      </c>
      <c r="D60" s="20" t="n">
        <f aca="false">D59*(1-$B$9)</f>
        <v>16.46892</v>
      </c>
      <c r="E60" s="20" t="n">
        <f aca="false">E59*(1-$B$9)</f>
        <v>17.77302</v>
      </c>
      <c r="F60" s="20" t="n">
        <f aca="false">F59*(1-$B$9)</f>
        <v>19.1646</v>
      </c>
      <c r="G60" s="20" t="n">
        <f aca="false">G59*(1-$B$9)</f>
        <v>20.1472201820377</v>
      </c>
      <c r="H60" s="20" t="n">
        <f aca="false">H59*(1-$B$9)</f>
        <v>21.0677746798934</v>
      </c>
      <c r="I60" s="20" t="n">
        <f aca="false">I59*(1-$B$9)</f>
        <v>21.9128048302741</v>
      </c>
      <c r="J60" s="20" t="n">
        <f aca="false">J59*(1-$B$9)</f>
        <v>22.6694263857366</v>
      </c>
      <c r="K60" s="20" t="n">
        <f aca="false">K59*(1-$B$9)</f>
        <v>23.3256466232185</v>
      </c>
      <c r="L60" s="20" t="n">
        <f aca="false">L59*(1-$B$9)</f>
        <v>24.1420442550311</v>
      </c>
    </row>
    <row r="61" customFormat="false" ht="15" hidden="false" customHeight="true" outlineLevel="0" collapsed="false">
      <c r="A61" s="1" t="s">
        <v>62</v>
      </c>
      <c r="B61" s="22" t="n">
        <v>0.02</v>
      </c>
      <c r="C61" s="22" t="n">
        <v>0.02</v>
      </c>
      <c r="D61" s="22" t="n">
        <v>0.02</v>
      </c>
      <c r="E61" s="22" t="n">
        <v>0.02</v>
      </c>
      <c r="F61" s="22" t="n">
        <v>0.02</v>
      </c>
      <c r="G61" s="7" t="n">
        <f aca="false">$F61+($L61-$F61)*G$17/5</f>
        <v>0.02</v>
      </c>
      <c r="H61" s="7" t="n">
        <f aca="false">$F61+($L61-$F61)*H$17/5</f>
        <v>0.02</v>
      </c>
      <c r="I61" s="7" t="n">
        <f aca="false">$F61+($L61-$F61)*I$17/5</f>
        <v>0.02</v>
      </c>
      <c r="J61" s="7" t="n">
        <f aca="false">$F61+($L61-$F61)*J$17/5</f>
        <v>0.02</v>
      </c>
      <c r="K61" s="7" t="n">
        <f aca="false">$F61+($L61-$F61)*K$17/5</f>
        <v>0.02</v>
      </c>
      <c r="L61" s="21" t="n">
        <v>0.02</v>
      </c>
    </row>
    <row r="62" customFormat="false" ht="15" hidden="false" customHeight="true" outlineLevel="0" collapsed="false">
      <c r="A62" s="1" t="s">
        <v>63</v>
      </c>
      <c r="B62" s="20" t="n">
        <f aca="false">B56*B61</f>
        <v>1.056</v>
      </c>
      <c r="C62" s="20" t="n">
        <f aca="false">C56*C61</f>
        <v>1.124</v>
      </c>
      <c r="D62" s="20" t="n">
        <f aca="false">D56*D61</f>
        <v>1.196</v>
      </c>
      <c r="E62" s="20" t="n">
        <f aca="false">E56*E61</f>
        <v>1.272</v>
      </c>
      <c r="F62" s="20" t="n">
        <f aca="false">F56*F61</f>
        <v>1.352</v>
      </c>
      <c r="G62" s="20" t="n">
        <f aca="false">G56*G61</f>
        <v>1.4294891572327</v>
      </c>
      <c r="H62" s="20" t="n">
        <f aca="false">H56*H61</f>
        <v>1.50344499249935</v>
      </c>
      <c r="I62" s="20" t="n">
        <f aca="false">I56*I61</f>
        <v>1.57283985287641</v>
      </c>
      <c r="J62" s="20" t="n">
        <f aca="false">J56*J61</f>
        <v>1.63666351784973</v>
      </c>
      <c r="K62" s="20" t="n">
        <f aca="false">K56*K61</f>
        <v>1.69394674097447</v>
      </c>
      <c r="L62" s="20" t="n">
        <f aca="false">L56*L61</f>
        <v>1.75323487690858</v>
      </c>
    </row>
    <row r="63" customFormat="false" ht="15" hidden="false" customHeight="true" outlineLevel="0" collapsed="false">
      <c r="A63" s="1" t="s">
        <v>64</v>
      </c>
      <c r="B63" s="20" t="n">
        <f aca="false">$B$11*(B56-$B$12)</f>
        <v>0</v>
      </c>
      <c r="C63" s="20" t="n">
        <f aca="false">$B$11*(C56-B56)</f>
        <v>0</v>
      </c>
      <c r="D63" s="20" t="n">
        <f aca="false">$B$11*(D56-C56)</f>
        <v>0</v>
      </c>
      <c r="E63" s="20" t="n">
        <f aca="false">$B$11*(E56-D56)</f>
        <v>0</v>
      </c>
      <c r="F63" s="20" t="n">
        <f aca="false">$B$11*(F56-E56)</f>
        <v>0</v>
      </c>
      <c r="G63" s="20" t="n">
        <f aca="false">$B$11*(G56-F56)</f>
        <v>0</v>
      </c>
      <c r="H63" s="20" t="n">
        <f aca="false">$B$11*(H56-G56)</f>
        <v>0</v>
      </c>
      <c r="I63" s="20" t="n">
        <f aca="false">$B$11*(I56-H56)</f>
        <v>0</v>
      </c>
      <c r="J63" s="20" t="n">
        <f aca="false">$B$11*(J56-I56)</f>
        <v>0</v>
      </c>
      <c r="K63" s="20" t="n">
        <f aca="false">$B$11*(K56-J56)</f>
        <v>0</v>
      </c>
      <c r="L63" s="20" t="n">
        <f aca="false">$B$11*(L56-K56)</f>
        <v>0</v>
      </c>
    </row>
    <row r="64" customFormat="false" ht="15" hidden="false" customHeight="true" outlineLevel="0" collapsed="false">
      <c r="A64" s="1" t="s">
        <v>65</v>
      </c>
      <c r="B64" s="20" t="n">
        <f aca="false">B60-B62-B63</f>
        <v>13.05744</v>
      </c>
      <c r="C64" s="20" t="n">
        <f aca="false">C60-C62-C63</f>
        <v>14.12587</v>
      </c>
      <c r="D64" s="20" t="n">
        <f aca="false">D60-D62-D63</f>
        <v>15.27292</v>
      </c>
      <c r="E64" s="20" t="n">
        <f aca="false">E60-E62-E63</f>
        <v>16.50102</v>
      </c>
      <c r="F64" s="20" t="n">
        <f aca="false">F60-F62-F63</f>
        <v>17.8126</v>
      </c>
      <c r="G64" s="20" t="n">
        <f aca="false">G60-G62-G63</f>
        <v>18.717731024805</v>
      </c>
      <c r="H64" s="20" t="n">
        <f aca="false">H60-H62-H63</f>
        <v>19.564329687394</v>
      </c>
      <c r="I64" s="20" t="n">
        <f aca="false">I60-I62-I63</f>
        <v>20.3399649773977</v>
      </c>
      <c r="J64" s="20" t="n">
        <f aca="false">J60-J62-J63</f>
        <v>21.0327628678869</v>
      </c>
      <c r="K64" s="20" t="n">
        <f aca="false">K60-K62-K63</f>
        <v>21.631699882244</v>
      </c>
      <c r="L64" s="20" t="n">
        <f aca="false">L60-L62-L63</f>
        <v>22.3888093781226</v>
      </c>
    </row>
    <row r="65" customFormat="false" ht="15" hidden="false" customHeight="true" outlineLevel="0" collapsed="false">
      <c r="A65" s="1" t="s">
        <v>66</v>
      </c>
      <c r="B65" s="23" t="n">
        <f aca="false">1/(1+$B$10)^B$16</f>
        <v>0.965744177733016</v>
      </c>
      <c r="C65" s="23" t="n">
        <f aca="false">1/(1+$B$10)^C$16</f>
        <v>0.900712719392852</v>
      </c>
      <c r="D65" s="23" t="n">
        <f aca="false">1/(1+$B$10)^D$16</f>
        <v>0.840060361306521</v>
      </c>
      <c r="E65" s="23" t="n">
        <f aca="false">1/(1+$B$10)^E$16</f>
        <v>0.78349222281899</v>
      </c>
      <c r="F65" s="23" t="n">
        <f aca="false">1/(1+$B$10)^F$16</f>
        <v>0.730733280002789</v>
      </c>
      <c r="G65" s="23" t="n">
        <f aca="false">1/(1+$B$10)^G$16</f>
        <v>0.681527028542053</v>
      </c>
      <c r="H65" s="23" t="n">
        <f aca="false">1/(1+$B$10)^H$16</f>
        <v>0.635634236655524</v>
      </c>
      <c r="I65" s="23" t="n">
        <f aca="false">1/(1+$B$10)^I$16</f>
        <v>0.592831781995452</v>
      </c>
      <c r="J65" s="23" t="n">
        <f aca="false">1/(1+$B$10)^J$16</f>
        <v>0.55291156686761</v>
      </c>
      <c r="K65" s="23" t="n">
        <f aca="false">1/(1+$B$10)^K$16</f>
        <v>0.515679506498424</v>
      </c>
    </row>
    <row r="66" customFormat="false" ht="15" hidden="false" customHeight="true" outlineLevel="0" collapsed="false">
      <c r="A66" s="1" t="s">
        <v>67</v>
      </c>
      <c r="B66" s="20" t="n">
        <f aca="false">B64*B65</f>
        <v>12.6101466560982</v>
      </c>
      <c r="C66" s="20" t="n">
        <f aca="false">C64*C65</f>
        <v>12.7233507814899</v>
      </c>
      <c r="D66" s="20" t="n">
        <f aca="false">D64*D65</f>
        <v>12.8301746934056</v>
      </c>
      <c r="E66" s="20" t="n">
        <f aca="false">E64*E65</f>
        <v>12.9284208385806</v>
      </c>
      <c r="F66" s="20" t="n">
        <f aca="false">F64*F65</f>
        <v>13.0162596233777</v>
      </c>
      <c r="G66" s="20" t="n">
        <f aca="false">G64*G65</f>
        <v>12.7566396063848</v>
      </c>
      <c r="H66" s="20" t="n">
        <f aca="false">H64*H65</f>
        <v>12.4357577665237</v>
      </c>
      <c r="I66" s="20" t="n">
        <f aca="false">I64*I65</f>
        <v>12.0581776832758</v>
      </c>
      <c r="J66" s="20" t="n">
        <f aca="false">J64*J65</f>
        <v>11.6292578728382</v>
      </c>
      <c r="K66" s="20" t="n">
        <f aca="false">K64*K65</f>
        <v>11.1550243199976</v>
      </c>
      <c r="L66" s="20"/>
    </row>
    <row r="67" customFormat="false" ht="15" hidden="false" customHeight="true" outlineLevel="0" collapsed="false">
      <c r="A67" s="1" t="s">
        <v>68</v>
      </c>
      <c r="B67" s="20" t="n">
        <f aca="false">L64/($B$10-L57)</f>
        <v>601.84971446566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69</v>
      </c>
      <c r="B68" s="20" t="n">
        <f aca="false">B67/(1+$B$10)^$K$16</f>
        <v>310.361563741869</v>
      </c>
    </row>
    <row r="69" customFormat="false" ht="15" hidden="false" customHeight="true" outlineLevel="0" collapsed="false">
      <c r="A69" s="1" t="s">
        <v>70</v>
      </c>
      <c r="B69" s="20" t="n">
        <f aca="false">SUM(B66:K66)+B68+$B$7+$B$8</f>
        <v>427.394773583841</v>
      </c>
    </row>
    <row r="70" customFormat="false" ht="15" hidden="false" customHeight="true" outlineLevel="0" collapsed="false">
      <c r="A70" s="1" t="s">
        <v>71</v>
      </c>
      <c r="B70" s="24" t="n">
        <f aca="false">B69/$B$6</f>
        <v>99.394133391591</v>
      </c>
    </row>
    <row r="71" customFormat="false" ht="15" hidden="false" customHeight="true" outlineLevel="0" collapsed="false">
      <c r="A71" s="1" t="s">
        <v>72</v>
      </c>
      <c r="B71" s="7" t="n">
        <f aca="false">B70/$B$4-1</f>
        <v>0.0656602700931812</v>
      </c>
    </row>
    <row r="74" customFormat="false" ht="15" hidden="false" customHeight="true" outlineLevel="0" collapsed="false">
      <c r="A74" s="18" t="s">
        <v>75</v>
      </c>
      <c r="B74" s="19"/>
      <c r="C74" s="18" t="s">
        <v>76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77</v>
      </c>
      <c r="B75" s="8" t="n">
        <f aca="false">B34</f>
        <v>56.7416727258919</v>
      </c>
      <c r="C75" s="7" t="n">
        <f aca="false">B75/$B$4-1</f>
        <v>-0.391640691263087</v>
      </c>
    </row>
    <row r="76" customFormat="false" ht="15" hidden="false" customHeight="true" outlineLevel="0" collapsed="false">
      <c r="A76" s="1" t="s">
        <v>78</v>
      </c>
      <c r="B76" s="8" t="n">
        <f aca="false">B52</f>
        <v>76.8150386933952</v>
      </c>
      <c r="C76" s="7" t="n">
        <f aca="false">B76/$B$4-1</f>
        <v>-0.176422872377022</v>
      </c>
    </row>
    <row r="77" customFormat="false" ht="15" hidden="false" customHeight="true" outlineLevel="0" collapsed="false">
      <c r="A77" s="1" t="s">
        <v>79</v>
      </c>
      <c r="B77" s="8" t="n">
        <f aca="false">B70</f>
        <v>99.394133391591</v>
      </c>
      <c r="C77" s="7" t="n">
        <f aca="false">B77/$B$4-1</f>
        <v>0.0656602700931812</v>
      </c>
    </row>
    <row r="78" customFormat="false" ht="15" hidden="false" customHeight="true" outlineLevel="0" collapsed="false">
      <c r="A78" s="1" t="s">
        <v>80</v>
      </c>
      <c r="B78" s="8" t="n">
        <f aca="false">INDEX(B34:B70,1+($B$13-1)*18)</f>
        <v>76.8150386933952</v>
      </c>
      <c r="C78" s="7" t="n">
        <f aca="false">B78/$B$4-1</f>
        <v>-0.176422872377022</v>
      </c>
    </row>
    <row r="79" customFormat="false" ht="15" hidden="false" customHeight="true" outlineLevel="0" collapsed="false">
      <c r="A79" s="1" t="s">
        <v>81</v>
      </c>
      <c r="B79" s="25" t="n">
        <f aca="false">B50/(SUM(B48:K48)+B50)</f>
        <v>0.673768222049919</v>
      </c>
    </row>
    <row r="81" customFormat="false" ht="15" hidden="false" customHeight="true" outlineLevel="0" collapsed="false">
      <c r="A81" s="9" t="s">
        <v>82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78</v>
      </c>
      <c r="B83" s="8" t="n">
        <f aca="false">IF(B82&gt;$L39,(SUMPRODUCT($B46:$K46/(1+B82)^$B$16:$K$16)+$L46/(B82-$L39)/(1+B82)^$K$16+$B$7+$B$8)/$B$6,"n/a")</f>
        <v>162.760229224031</v>
      </c>
      <c r="C83" s="8" t="n">
        <f aca="false">IF(C82&gt;$L39,(SUMPRODUCT($B46:$K46/(1+C82)^$B$16:$K$16)+$L46/(C82-$L39)/(1+C82)^$K$16+$B$7+$B$8)/$B$6,"n/a")</f>
        <v>108.303234135257</v>
      </c>
      <c r="D83" s="8" t="n">
        <f aca="false">IF(D82&gt;$L39,(SUMPRODUCT($B46:$K46/(1+D82)^$B$16:$K$16)+$L46/(D82-$L39)/(1+D82)^$K$16+$B$7+$B$8)/$B$6,"n/a")</f>
        <v>81.0737783155576</v>
      </c>
      <c r="E83" s="8" t="n">
        <f aca="false">IF(E82&gt;$L39,(SUMPRODUCT($B46:$K46/(1+E82)^$B$16:$K$16)+$L46/(E82-$L39)/(1+E82)^$K$16+$B$7+$B$8)/$B$6,"n/a")</f>
        <v>64.7354830289816</v>
      </c>
      <c r="F83" s="8" t="n">
        <f aca="false">IF(F82&gt;$L39,(SUMPRODUCT($B46:$K46/(1+F82)^$B$16:$K$16)+$L46/(F82-$L39)/(1+F82)^$K$16+$B$7+$B$8)/$B$6,"n/a")</f>
        <v>53.842871240812</v>
      </c>
      <c r="G83" s="8" t="n">
        <f aca="false">IF(G82&gt;$L39,(SUMPRODUCT($B46:$K46/(1+G82)^$B$16:$K$16)+$L46/(G82-$L39)/(1+G82)^$K$16+$B$7+$B$8)/$B$6,"n/a")</f>
        <v>46.0621540229501</v>
      </c>
      <c r="H83" s="8" t="n">
        <f aca="false">IF(H82&gt;$L39,(SUMPRODUCT($B46:$K46/(1+H82)^$B$16:$K$16)+$L46/(H82-$L39)/(1+H82)^$K$16+$B$7+$B$8)/$B$6,"n/a")</f>
        <v>40.2264269445897</v>
      </c>
      <c r="I83" s="8" t="n">
        <f aca="false">IF(I82&gt;$L39,(SUMPRODUCT($B46:$K46/(1+I82)^$B$16:$K$16)+$L46/(I82-$L39)/(1+I82)^$K$16+$B$7+$B$8)/$B$6,"n/a")</f>
        <v>35.6874020395061</v>
      </c>
      <c r="J83" s="8" t="n">
        <f aca="false">IF(J82&gt;$L39,(SUMPRODUCT($B46:$K46/(1+J82)^$B$16:$K$16)+$L46/(J82-$L39)/(1+J82)^$K$16+$B$7+$B$8)/$B$6,"n/a")</f>
        <v>32.0561004652622</v>
      </c>
      <c r="K83" s="8" t="n">
        <f aca="false">IF(K82&gt;$L39,(SUMPRODUCT($B46:$K46/(1+K82)^$B$16:$K$16)+$L46/(K82-$L39)/(1+K82)^$K$16+$B$7+$B$8)/$B$6,"n/a")</f>
        <v>29.0849854289181</v>
      </c>
    </row>
    <row r="84" customFormat="false" ht="15" hidden="false" customHeight="true" outlineLevel="0" collapsed="false">
      <c r="A84" s="1" t="s">
        <v>83</v>
      </c>
      <c r="B84" s="7" t="n">
        <f aca="false">IFERROR(B83/$B$4-1,"n/a")</f>
        <v>0.745043735649521</v>
      </c>
      <c r="C84" s="7" t="n">
        <f aca="false">IFERROR(C83/$B$4-1,"n/a")</f>
        <v>0.161179737699761</v>
      </c>
      <c r="D84" s="7" t="n">
        <f aca="false">IFERROR(D83/$B$4-1,"n/a")</f>
        <v>-0.130762535482389</v>
      </c>
      <c r="E84" s="7" t="n">
        <f aca="false">IFERROR(E83/$B$4-1,"n/a")</f>
        <v>-0.305934566002128</v>
      </c>
      <c r="F84" s="7" t="n">
        <f aca="false">IFERROR(F83/$B$4-1,"n/a")</f>
        <v>-0.422720368384132</v>
      </c>
      <c r="G84" s="7" t="n">
        <f aca="false">IFERROR(G83/$B$4-1,"n/a")</f>
        <v>-0.506141803120509</v>
      </c>
      <c r="H84" s="7" t="n">
        <f aca="false">IFERROR(H83/$B$4-1,"n/a")</f>
        <v>-0.568709907316504</v>
      </c>
      <c r="I84" s="7" t="n">
        <f aca="false">IFERROR(I83/$B$4-1,"n/a")</f>
        <v>-0.617375339985996</v>
      </c>
      <c r="J84" s="7" t="n">
        <f aca="false">IFERROR(J83/$B$4-1,"n/a")</f>
        <v>-0.65630856153895</v>
      </c>
      <c r="K84" s="7" t="n">
        <f aca="false">IFERROR(K83/$B$4-1,"n/a")</f>
        <v>-0.688163552815288</v>
      </c>
    </row>
    <row r="86" customFormat="false" ht="15" hidden="false" customHeight="true" outlineLevel="0" collapsed="false">
      <c r="A86" s="9" t="s">
        <v>84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0.0655209454918232</v>
      </c>
      <c r="C86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5" customFormat="false" ht="15" hidden="false" customHeight="true" outlineLevel="0" collapsed="false">
      <c r="A5" s="1" t="s">
        <v>88</v>
      </c>
      <c r="B5" s="16" t="n">
        <v>2</v>
      </c>
      <c r="C5" s="3" t="s">
        <v>89</v>
      </c>
    </row>
    <row r="6" customFormat="false" ht="15" hidden="false" customHeight="true" outlineLevel="0" collapsed="false">
      <c r="A6" s="1" t="s">
        <v>90</v>
      </c>
      <c r="B6" s="16" t="n">
        <v>2</v>
      </c>
      <c r="C6" s="3" t="s">
        <v>91</v>
      </c>
    </row>
    <row r="7" customFormat="false" ht="15" hidden="false" customHeight="true" outlineLevel="0" collapsed="false">
      <c r="A7" s="1" t="s">
        <v>92</v>
      </c>
      <c r="B7" s="14" t="n">
        <v>0.0503</v>
      </c>
      <c r="C7" s="3" t="s">
        <v>93</v>
      </c>
    </row>
    <row r="8" customFormat="false" ht="15" hidden="false" customHeight="true" outlineLevel="0" collapsed="false">
      <c r="A8" s="1" t="s">
        <v>94</v>
      </c>
      <c r="B8" s="14" t="n">
        <v>0.05</v>
      </c>
      <c r="C8" s="3" t="s">
        <v>37</v>
      </c>
    </row>
    <row r="9" customFormat="false" ht="15" hidden="false" customHeight="true" outlineLevel="0" collapsed="false">
      <c r="A9" s="1" t="s">
        <v>95</v>
      </c>
      <c r="B9" s="14" t="n">
        <v>0.012</v>
      </c>
      <c r="C9" s="3" t="s">
        <v>96</v>
      </c>
    </row>
    <row r="12" customFormat="false" ht="15" hidden="false" customHeight="true" outlineLevel="0" collapsed="false">
      <c r="A12" s="18" t="s">
        <v>97</v>
      </c>
      <c r="B12" s="18" t="s">
        <v>98</v>
      </c>
      <c r="C12" s="18" t="s">
        <v>99</v>
      </c>
    </row>
    <row r="13" customFormat="false" ht="15" hidden="false" customHeight="true" outlineLevel="0" collapsed="false">
      <c r="A13" s="1" t="s">
        <v>100</v>
      </c>
      <c r="B13" s="27" t="n">
        <v>0.32</v>
      </c>
      <c r="C13" s="3" t="s">
        <v>27</v>
      </c>
    </row>
    <row r="14" customFormat="false" ht="15" hidden="false" customHeight="true" outlineLevel="0" collapsed="false">
      <c r="A14" s="1" t="s">
        <v>101</v>
      </c>
      <c r="B14" s="28"/>
      <c r="C14" s="3" t="s">
        <v>102</v>
      </c>
    </row>
    <row r="15" customFormat="false" ht="15" hidden="false" customHeight="true" outlineLevel="0" collapsed="false">
      <c r="A15" s="1" t="s">
        <v>103</v>
      </c>
      <c r="B15" s="28" t="n">
        <f aca="false">0.67*IF(ISNUMBER(B14),B14,B13)+0.33</f>
        <v>0.5444</v>
      </c>
      <c r="C15" s="3" t="s">
        <v>104</v>
      </c>
    </row>
    <row r="16" customFormat="false" ht="15" hidden="false" customHeight="true" outlineLevel="0" collapsed="false">
      <c r="A16" s="1" t="s">
        <v>105</v>
      </c>
      <c r="B16" s="28" t="n">
        <f aca="false">IF($B$6=1,IF(ISNUMBER(B14),B14,B13),B15)</f>
        <v>0.5444</v>
      </c>
      <c r="C16" s="3" t="s">
        <v>106</v>
      </c>
    </row>
    <row r="17" customFormat="false" ht="15" hidden="false" customHeight="true" outlineLevel="0" collapsed="false">
      <c r="A17" s="1" t="s">
        <v>107</v>
      </c>
      <c r="B17" s="25" t="n">
        <f aca="false">$B$7+B16*$B$8</f>
        <v>0.07752</v>
      </c>
      <c r="C17" s="3" t="s">
        <v>108</v>
      </c>
    </row>
    <row r="18" customFormat="false" ht="15" hidden="false" customHeight="true" outlineLevel="0" collapsed="false">
      <c r="A18" s="1" t="s">
        <v>109</v>
      </c>
      <c r="B18" s="25" t="n">
        <f aca="false">$B$7+$B$9</f>
        <v>0.0623</v>
      </c>
      <c r="C18" s="3" t="s">
        <v>110</v>
      </c>
    </row>
    <row r="19" customFormat="false" ht="15" hidden="false" customHeight="true" outlineLevel="0" collapsed="false">
      <c r="A19" s="1" t="s">
        <v>32</v>
      </c>
      <c r="B19" s="6" t="n">
        <f aca="false">KO!B9</f>
        <v>0.19</v>
      </c>
      <c r="C19" s="3" t="s">
        <v>111</v>
      </c>
    </row>
    <row r="20" customFormat="false" ht="15" hidden="false" customHeight="true" outlineLevel="0" collapsed="false">
      <c r="A20" s="1" t="s">
        <v>112</v>
      </c>
      <c r="B20" s="25" t="n">
        <f aca="false">B18*(1-B19)</f>
        <v>0.050463</v>
      </c>
      <c r="C20" s="3"/>
    </row>
    <row r="21" customFormat="false" ht="15" hidden="false" customHeight="true" outlineLevel="0" collapsed="false">
      <c r="A21" s="1" t="s">
        <v>113</v>
      </c>
      <c r="B21" s="29" t="n">
        <f aca="false">KO!B4*KO!B6</f>
        <v>401.061</v>
      </c>
      <c r="C21" s="3" t="s">
        <v>114</v>
      </c>
    </row>
    <row r="22" customFormat="false" ht="15" hidden="false" customHeight="true" outlineLevel="0" collapsed="false">
      <c r="A22" s="1" t="s">
        <v>115</v>
      </c>
      <c r="B22" s="30" t="n">
        <v>44.26</v>
      </c>
      <c r="C22" s="3" t="s">
        <v>116</v>
      </c>
    </row>
    <row r="23" customFormat="false" ht="15" hidden="false" customHeight="true" outlineLevel="0" collapsed="false">
      <c r="A23" s="1" t="s">
        <v>117</v>
      </c>
      <c r="B23" s="25" t="n">
        <f aca="false">B21/(B21+B22)</f>
        <v>0.900611019915971</v>
      </c>
      <c r="C23" s="3"/>
    </row>
    <row r="24" customFormat="false" ht="15" hidden="false" customHeight="true" outlineLevel="0" collapsed="false">
      <c r="A24" s="1" t="s">
        <v>118</v>
      </c>
      <c r="B24" s="25" t="n">
        <f aca="false">B22/(B21+B22)</f>
        <v>0.0993889800840293</v>
      </c>
      <c r="C24" s="3"/>
    </row>
    <row r="25" customFormat="false" ht="15" hidden="false" customHeight="true" outlineLevel="0" collapsed="false">
      <c r="A25" s="1" t="s">
        <v>119</v>
      </c>
      <c r="B25" s="25" t="n">
        <f aca="false">B23*B17+B24*B20</f>
        <v>0.0748308323658664</v>
      </c>
      <c r="C25" s="3" t="s">
        <v>120</v>
      </c>
    </row>
    <row r="26" customFormat="false" ht="15" hidden="false" customHeight="true" outlineLevel="0" collapsed="false">
      <c r="A26" s="1" t="s">
        <v>121</v>
      </c>
      <c r="B26" s="31" t="n">
        <v>0.0722</v>
      </c>
      <c r="C26" s="3" t="s">
        <v>122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0.0722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IF(B27&gt;MAX(KO!L21,KO!L39,KO!L57),"OK","WACC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0.0722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2026-10-28T13:32:36Z</dcterms:created>
  <dc:creator>openpyxl</dc:creator>
  <dc:description/>
  <dc:language>en-US</dc:language>
  <cp:lastModifiedBy/>
  <dcterms:modified xsi:type="dcterms:W3CDTF">2026-10-28T20:30:34Z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