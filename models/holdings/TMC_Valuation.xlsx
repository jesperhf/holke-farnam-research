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M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<sst xmlns="http://schemas.openxmlformats.org/spreadsheetml/2006/main" count="56" uniqueCount="54">
  <si>
    <t xml:space="preserve">TMC the metals company (TMC): valuation summary</t>
  </si>
  <si>
    <t xml:space="preserve">Values link to the model sheet (green). TMC uses its own risk rate on its sheet.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</si>
  <si>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</si>
  <si>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</si>
  <si>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</si>
  <si>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</si>
  <si>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</si>
  <si>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</si>
  <si>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</si>
  <si>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</si>
  <si>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</si>
  <si>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</si>
  <si>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TMC the metals company (TMC)</t>
  </si>
  <si>
    <t xml:space="preserve">Probability-weighted</t>
  </si>
  <si>
    <t xml:space="preserve">n/a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</si>
  <si>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</si>
  <si>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</si>
  <si>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</si>
  <si>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</si>
  <si>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it all on a permit denial or a ruling that blocks US seabed mining. Keep it under 2% of the portfolio.</t>
  </si>
  <si>
    <t xml:space="preserve">TMC the metals company (TMC): probability-weighted scenario value</t>
  </si>
  <si>
    <t xml:space="preserve">A DCF does not fit a pre-revenue company waiting on one permit. Each scenario values the NORI-D project from the company's own study, haircut for cost, price and dilution, then weights by probability.</t>
  </si>
  <si>
    <t xml:space="preserve">Share price ($)</t>
  </si>
  <si>
    <t xml:space="preserve">Oct 23, 2026 intraday (Yahoo Finance via the site's price feed)</t>
  </si>
  <si>
    <t xml:space="preserve">Shares outstanding today (billions)</t>
  </si>
  <si>
    <t xml:space="preserve">Stock Analysis statistics, Oct 23, 2026</t>
  </si>
  <si>
    <t xml:space="preserve">Cash, $B (no debt)</t>
  </si>
  <si>
    <t xml:space="preserve">NORI-D project NPV, $B (after tax, 8% rate, PFS)</t>
  </si>
  <si>
    <t xml:space="preserve">TMC press release, Aug 4, 2025: PFS NPV $5.5B; initial capex $4.9B; first production targeted Q4 2027</t>
  </si>
  <si>
    <t xml:space="preserve">Expansion NPV, $B (Initial Assessment, rest of NORI area)</t>
  </si>
  <si>
    <t xml:space="preserve">TMC press release, Aug 4, 2025: Initial Assessment NPV $18.1B (combined $23.6B)</t>
  </si>
  <si>
    <t xml:space="preserve">Risk discount rate for timing</t>
  </si>
  <si>
    <t xml:space="preserve">Analyst assumption: venture-style rate for a project not yet permitted or financed</t>
  </si>
  <si>
    <t xml:space="preserve">Scenario</t>
  </si>
  <si>
    <t xml:space="preserve">Probability</t>
  </si>
  <si>
    <t xml:space="preserve">Share of project NPV realized</t>
  </si>
  <si>
    <t xml:space="preserve">Share of expansion NPV realized</t>
  </si>
  <si>
    <t xml:space="preserve">Diluted shares (billions)</t>
  </si>
  <si>
    <t xml:space="preserve">Years until value is realized</t>
  </si>
  <si>
    <t xml:space="preserve">Value per share today</t>
  </si>
  <si>
    <t xml:space="preserve">Weighted</t>
  </si>
  <si>
    <t xml:space="preserve">Bear: permit denied or stalled for years</t>
  </si>
  <si>
    <t xml:space="preserve">Base: permit granted, delays, cost overruns, heavy dilution</t>
  </si>
  <si>
    <t xml:space="preserve">Bull: permit granted, near schedule, expansion credible</t>
  </si>
  <si>
    <t xml:space="preserve">Probability-weighted value</t>
  </si>
  <si>
    <t xml:space="preserve">Check: probabilities sum to 100%</t>
  </si>
  <si>
    <t xml:space="preserve">Outputs</t>
  </si>
  <si>
    <t xml:space="preserve">vs price</t>
  </si>
  <si>
    <t xml:space="preserve">Bear value per share</t>
  </si>
  <si>
    <t xml:space="preserve">Probability-weighted value per share</t>
  </si>
  <si>
    <t xml:space="preserve">Bull value per share</t>
  </si>
  <si>
    <t xml:space="preserve">Permit probability the price implies, holding the other inputs fixed</t>
  </si>
  <si>
    <t xml:space="preserve">Solves for the combined weight on the two permit scenarios that makes the weighted value equal the price</t>
  </si>
  <si>
    <t xml:space="preserve">Notes: the company's study figures are its own and assume its metal price deck; the haircuts are the analyst's. Dilution reflects the roughly $4.9B of capex the project still needs to fund.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</si>
</sst>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TMC!B4</f>
        <v>2.43</v>
      </c>
      <c r="D5" s="6" t="n">
        <f aca="false">TMC!B9</f>
        <v>0.15</v>
      </c>
      <c r="E5" s="5" t="n">
        <f aca="false">TMC!B19</f>
        <v>0.194476366568042</v>
      </c>
      <c r="F5" s="5" t="n">
        <f aca="false">TMC!B20</f>
        <v>2.21373781382538</v>
      </c>
      <c r="G5" s="5" t="n">
        <f aca="false">TMC!B21</f>
        <v>7.91396093257719</v>
      </c>
      <c r="H5" s="7" t="n">
        <f aca="false">F5/C5-1</f>
        <v>-0.0889967844340017</v>
      </c>
      <c r="I5" s="8" t="s">
        <v>14</v>
      </c>
      <c r="J5" s="9" t="n">
        <f aca="false">IF(F5&lt;10,ROUND(F5*4,0)/4,IF(F5&lt;100,ROUND(F5,0),ROUND(F5/5,0)*5))</f>
        <v>2.25</v>
      </c>
    </row>
    <row r="8" customFormat="false" ht="15" hidden="false" customHeight="true" outlineLevel="0" collapsed="false">
      <c r="A8" s="10" t="s">
        <v>15</v>
      </c>
    </row>
    <row r="9" customFormat="false" ht="15" hidden="false" customHeight="true" outlineLevel="0" collapsed="false">
      <c r="A9" s="1" t="s">
        <v>11</v>
      </c>
      <c r="C9" s="9" t="n">
        <v>2.25</v>
      </c>
    </row>
    <row r="10" customFormat="false" ht="15" hidden="false" customHeight="true" outlineLevel="0" collapsed="false">
      <c r="A10" s="1" t="s">
        <v>16</v>
      </c>
      <c r="C10" s="9" t="n">
        <v>4</v>
      </c>
    </row>
    <row r="11" customFormat="false" ht="15" hidden="false" customHeight="true" outlineLevel="0" collapsed="false">
      <c r="A11" s="1" t="s">
        <v>17</v>
      </c>
      <c r="C11" s="9" t="n">
        <v>1.5</v>
      </c>
    </row>
    <row r="12" customFormat="false" ht="15" hidden="false" customHeight="true" outlineLevel="0" collapsed="false">
      <c r="A12" s="1" t="s">
        <v>18</v>
      </c>
      <c r="C12" s="1" t="s">
        <v>19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10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8" min="2" style="1" width="14"/>
  </cols>
  <sheetData>
    <row r="1" customFormat="false" ht="15.75" hidden="false" customHeight="true" outlineLevel="0" collapsed="false">
      <c r="A1" s="2" t="s">
        <v>20</v>
      </c>
    </row>
    <row r="2" customFormat="false" ht="15" hidden="false" customHeight="true" outlineLevel="0" collapsed="false">
      <c r="A2" s="3" t="s">
        <v>21</v>
      </c>
    </row>
    <row r="4" customFormat="false" ht="15" hidden="false" customHeight="true" outlineLevel="0" collapsed="false">
      <c r="A4" s="1" t="s">
        <v>22</v>
      </c>
      <c r="B4" s="11" t="n">
        <v>2.43</v>
      </c>
      <c r="C4" s="3" t="s">
        <v>23</v>
      </c>
    </row>
    <row r="5" customFormat="false" ht="15" hidden="false" customHeight="true" outlineLevel="0" collapsed="false">
      <c r="A5" s="1" t="s">
        <v>24</v>
      </c>
      <c r="B5" s="12" t="n">
        <v>0.44114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0.09866</v>
      </c>
      <c r="C6" s="3" t="s">
        <v>25</v>
      </c>
    </row>
    <row r="7" customFormat="false" ht="15" hidden="false" customHeight="true" outlineLevel="0" collapsed="false">
      <c r="A7" s="1" t="s">
        <v>27</v>
      </c>
      <c r="B7" s="13" t="n">
        <v>5.508</v>
      </c>
      <c r="C7" s="3" t="s">
        <v>28</v>
      </c>
    </row>
    <row r="8" customFormat="false" ht="15" hidden="false" customHeight="true" outlineLevel="0" collapsed="false">
      <c r="A8" s="1" t="s">
        <v>29</v>
      </c>
      <c r="B8" s="13" t="n">
        <v>18.1</v>
      </c>
      <c r="C8" s="3" t="s">
        <v>30</v>
      </c>
    </row>
    <row r="9" customFormat="false" ht="15" hidden="false" customHeight="true" outlineLevel="0" collapsed="false">
      <c r="A9" s="1" t="s">
        <v>31</v>
      </c>
      <c r="B9" s="14" t="n">
        <v>0.15</v>
      </c>
      <c r="C9" s="3" t="s">
        <v>32</v>
      </c>
    </row>
    <row r="11" customFormat="false" ht="42" hidden="false" customHeight="true" outlineLevel="0" collapsed="false">
      <c r="A11" s="15" t="s">
        <v>33</v>
      </c>
      <c r="B11" s="15" t="s">
        <v>34</v>
      </c>
      <c r="C11" s="15" t="s">
        <v>35</v>
      </c>
      <c r="D11" s="15" t="s">
        <v>36</v>
      </c>
      <c r="E11" s="15" t="s">
        <v>37</v>
      </c>
      <c r="F11" s="15" t="s">
        <v>38</v>
      </c>
      <c r="G11" s="15" t="s">
        <v>39</v>
      </c>
      <c r="H11" s="15" t="s">
        <v>40</v>
      </c>
    </row>
    <row r="12" customFormat="false" ht="15" hidden="false" customHeight="true" outlineLevel="0" collapsed="false">
      <c r="A12" s="1" t="s">
        <v>41</v>
      </c>
      <c r="B12" s="14" t="n">
        <v>0.4</v>
      </c>
      <c r="C12" s="16" t="n">
        <v>0</v>
      </c>
      <c r="D12" s="16" t="n">
        <v>0</v>
      </c>
      <c r="E12" s="12" t="n">
        <v>0.44114</v>
      </c>
      <c r="F12" s="17" t="n">
        <v>1</v>
      </c>
      <c r="G12" s="9" t="n">
        <f aca="false">($B$7*C12+$B$8*D12+$B$6)/E12/(1+$B$9)^F12</f>
        <v>0.194476366568042</v>
      </c>
      <c r="H12" s="9" t="n">
        <f aca="false">B12*G12</f>
        <v>0.0777905466272169</v>
      </c>
    </row>
    <row r="13" customFormat="false" ht="15" hidden="false" customHeight="true" outlineLevel="0" collapsed="false">
      <c r="A13" s="1" t="s">
        <v>42</v>
      </c>
      <c r="B13" s="14" t="n">
        <v>0.45</v>
      </c>
      <c r="C13" s="16" t="n">
        <v>0.4</v>
      </c>
      <c r="D13" s="16" t="n">
        <v>0.05</v>
      </c>
      <c r="E13" s="12" t="n">
        <v>1</v>
      </c>
      <c r="F13" s="17" t="n">
        <v>3</v>
      </c>
      <c r="G13" s="9" t="n">
        <f aca="false">($B$7*C13+$B$8*D13+$B$6)/E13/(1+$B$9)^F13</f>
        <v>2.10856250513685</v>
      </c>
      <c r="H13" s="9" t="n">
        <f aca="false">B13*G13</f>
        <v>0.948853127311581</v>
      </c>
    </row>
    <row r="14" customFormat="false" ht="15" hidden="false" customHeight="true" outlineLevel="0" collapsed="false">
      <c r="A14" s="1" t="s">
        <v>43</v>
      </c>
      <c r="B14" s="14" t="n">
        <v>0.15</v>
      </c>
      <c r="C14" s="16" t="n">
        <v>0.75</v>
      </c>
      <c r="D14" s="16" t="n">
        <v>0.2</v>
      </c>
      <c r="E14" s="12" t="n">
        <v>0.75</v>
      </c>
      <c r="F14" s="17" t="n">
        <v>2</v>
      </c>
      <c r="G14" s="9" t="n">
        <f aca="false">($B$7*C14+$B$8*D14+$B$6)/E14/(1+$B$9)^F14</f>
        <v>7.91396093257719</v>
      </c>
      <c r="H14" s="9" t="n">
        <f aca="false">B14*G14</f>
        <v>1.18709413988658</v>
      </c>
    </row>
    <row r="15" customFormat="false" ht="15" hidden="false" customHeight="true" outlineLevel="0" collapsed="false">
      <c r="A15" s="10" t="s">
        <v>44</v>
      </c>
      <c r="B15" s="8" t="n">
        <f aca="false">SUM(B12:B14)</f>
        <v>1</v>
      </c>
      <c r="H15" s="18" t="n">
        <f aca="false">SUM(H12:H14)</f>
        <v>2.21373781382538</v>
      </c>
    </row>
    <row r="16" customFormat="false" ht="15" hidden="false" customHeight="true" outlineLevel="0" collapsed="false">
      <c r="A16" s="1" t="s">
        <v>45</v>
      </c>
      <c r="B16" s="1" t="str">
        <f aca="false">IF(ABS(B15-1)&lt;0.0001,"OK","Probabilities must sum to 100%")</f>
        <v>OK</v>
      </c>
    </row>
    <row r="18" customFormat="false" ht="15" hidden="false" customHeight="true" outlineLevel="0" collapsed="false">
      <c r="A18" s="19" t="s">
        <v>46</v>
      </c>
      <c r="B18" s="20"/>
      <c r="C18" s="19" t="s">
        <v>47</v>
      </c>
      <c r="D18" s="20"/>
      <c r="E18" s="20"/>
      <c r="F18" s="20"/>
      <c r="G18" s="20"/>
      <c r="H18" s="20"/>
    </row>
    <row r="19" customFormat="false" ht="15" hidden="false" customHeight="true" outlineLevel="0" collapsed="false">
      <c r="A19" s="1" t="s">
        <v>48</v>
      </c>
      <c r="B19" s="9" t="n">
        <f aca="false">G12</f>
        <v>0.194476366568042</v>
      </c>
      <c r="C19" s="7" t="n">
        <f aca="false">B19/$B$4-1</f>
        <v>-0.919968573428789</v>
      </c>
    </row>
    <row r="20" customFormat="false" ht="15" hidden="false" customHeight="true" outlineLevel="0" collapsed="false">
      <c r="A20" s="1" t="s">
        <v>49</v>
      </c>
      <c r="B20" s="9" t="n">
        <f aca="false">H15</f>
        <v>2.21373781382538</v>
      </c>
      <c r="C20" s="7" t="n">
        <f aca="false">B20/$B$4-1</f>
        <v>-0.0889967844340017</v>
      </c>
    </row>
    <row r="21" customFormat="false" ht="15" hidden="false" customHeight="true" outlineLevel="0" collapsed="false">
      <c r="A21" s="1" t="s">
        <v>50</v>
      </c>
      <c r="B21" s="9" t="n">
        <f aca="false">G14</f>
        <v>7.91396093257719</v>
      </c>
      <c r="C21" s="7" t="n">
        <f aca="false">B21/$B$4-1</f>
        <v>2.25677404632806</v>
      </c>
    </row>
    <row r="23" customFormat="false" ht="15" hidden="false" customHeight="true" outlineLevel="0" collapsed="false">
      <c r="A23" s="10" t="s">
        <v>51</v>
      </c>
      <c r="B23" s="8" t="n">
        <f aca="false">(B4-G12)/((B13*G13+B14*G14)/(B13+B14)-G12)</f>
        <v>0.664259787597598</v>
      </c>
      <c r="C23" s="3" t="s">
        <v>52</v>
      </c>
    </row>
    <row r="25" customFormat="false" ht="15" hidden="false" customHeight="true" outlineLevel="0" collapsed="false">
      <c r="A25" s="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2026-10-28T13:32:51Z</dcterms:created>
  <dc:creator>openpyxl</dc:creator>
  <dc:description/>
  <dc:language>en-US</dc:language>
  <cp:lastModifiedBy/>
  <dcterms:modified xsi:type="dcterms:W3CDTF">2026-10-28T16:14:17Z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