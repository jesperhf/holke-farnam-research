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MC"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<sst xmlns="http://schemas.openxmlformats.org/spreadsheetml/2006/main" count="64" uniqueCount="62">
  <si>
    <t xml:space="preserve">TMC the metals company (TMC): valuation summary</t>
  </si>
  <si>
    <t xml:space="preserve">Values link to the model sheet (green). TMC uses its own risk rate on its sheet.</t>
  </si>
  <si>
    <t xml:space="preserve">Company</t>
  </si>
  <si>
    <t xml:space="preserve">Method</t>
  </si>
  <si>
    <t xml:space="preserve">Share price</t>
  </si>
  <si>
    <t xml:space="preserve">Discount rate</t>
  </si>
  <si>
    <t xml:space="preserve">Bear value</t>
  </si>
  <si>
    <t xml:space="preserve">Base value</t>
  </si>
  <si>
    <t xml:space="preserve">Bull value</t>
  </si>
  <si>
    <t xml:space="preserve">Base vs price</t>
  </si>
  <si>
    <t xml:space="preserve">Implied return at price (base case)</t>
  </si>
  <si>
    <t xml:space="preserve">Base value (rounded)</t>
  </si>
  <si>
    <t xml:space="preserve">TMC the metals company (TMC)</t>
  </si>
  <si>
    <t xml:space="preserve">Probability-weighted</t>
  </si>
  <si>
    <t xml:space="preserve">n/a</t>
  </si>
  <si>
    <t xml:space="preserve">Exit plan on the positions page</t>
  </si>
  <si>
    <t xml:space="preserve">Trim above (bull value, rounded)</t>
  </si>
  <si>
    <t xml:space="preserve">Exit below (halfway, bear to base)</t>
  </si>
  <si>
    <t xml:space="preserve">Thesis-break signal</t>
  </si>
  <si>
    <t xml:space="preserve">Sell it all on a permit denial or a ruling that blocks US seabed mining. Keep it under 2% of the portfolio.</t>
  </si>
  <si>
    <t xml:space="preserve">Levels follow the rules on the positions page and are reset when the model changes.</t>
  </si>
  <si>
    <t xml:space="preserve">Notes</t>
  </si>
  <si>
    <t xml:space="preserve">Base value is what the business is worth if the base case plays out and you want to earn the discount rate. Implied return is what the base case earns at today's price.</t>
  </si>
  <si>
    <t xml:space="preserve">DCF: five explicit years, then five years fading growth, margin and reinvestment to terminal levels. FCF = operating income x (1 - tax) - net reinvestment - working capital x revenue change. Mid-year discounting from October 2026.</t>
  </si>
  <si>
    <t xml:space="preserve">Margins are after stock-based pay. For ServiceNow that is about 19% today, not the 31.5% non-GAAP figure, which is the main reason its value is lower than a multiple of adjusted earnings suggests.</t>
  </si>
  <si>
    <t xml:space="preserve">Banks: tangible book plus the present value of returns above the cost of equity (residual income). TMC: probability-weighted, from the company's 2025 study with analyst haircuts.</t>
  </si>
  <si>
    <t xml:space="preserve">Discount rates use a 5.31% risk-free rate and a 5% equity risk premium, the same as the earlier journal models. At these rates most quality stocks look fully priced; the implied return column shows by how much.</t>
  </si>
  <si>
    <t xml:space="preserve">Price and data dates are on the model sheet. Company data: Stock Analysis, company filings and releases. Research for my own records, not investment advice.</t>
  </si>
  <si>
    <t xml:space="preserve">TMC the metals company (TMC): probability-weighted scenario value</t>
  </si>
  <si>
    <t xml:space="preserve">A DCF does not fit a pre-revenue company waiting on one permit. Each scenario values the NORI-D project from the company's own study, haircut for cost, price and dilution, then weights by probability.</t>
  </si>
  <si>
    <t xml:space="preserve">Share price ($)</t>
  </si>
  <si>
    <t xml:space="preserve">Oct 23, 2026 intraday (Yahoo Finance via the site's price feed)</t>
  </si>
  <si>
    <t xml:space="preserve">Shares outstanding today (billions)</t>
  </si>
  <si>
    <t xml:space="preserve">Stock Analysis statistics, Oct 23, 2026</t>
  </si>
  <si>
    <t xml:space="preserve">Cash, $B (no debt)</t>
  </si>
  <si>
    <t xml:space="preserve">NORI-D project NPV, $B (after tax, 8% rate, PFS)</t>
  </si>
  <si>
    <t xml:space="preserve">TMC press release, Aug 4, 2025: PFS NPV $5.5B; initial capex $4.9B; first production targeted Q4 2027</t>
  </si>
  <si>
    <t xml:space="preserve">Expansion NPV, $B (Initial Assessment, rest of NORI area)</t>
  </si>
  <si>
    <t xml:space="preserve">TMC press release, Aug 4, 2025: Initial Assessment NPV $18.1B (combined $23.6B)</t>
  </si>
  <si>
    <t xml:space="preserve">Risk discount rate for timing</t>
  </si>
  <si>
    <t xml:space="preserve">Analyst assumption: venture-style rate for a project not yet permitted or financed</t>
  </si>
  <si>
    <t xml:space="preserve">Scenario</t>
  </si>
  <si>
    <t xml:space="preserve">Probability</t>
  </si>
  <si>
    <t xml:space="preserve">Share of project NPV realized</t>
  </si>
  <si>
    <t xml:space="preserve">Share of expansion NPV realized</t>
  </si>
  <si>
    <t xml:space="preserve">Diluted shares (billions)</t>
  </si>
  <si>
    <t xml:space="preserve">Years until value is realized</t>
  </si>
  <si>
    <t xml:space="preserve">Value per share today</t>
  </si>
  <si>
    <t xml:space="preserve">Weighted</t>
  </si>
  <si>
    <t xml:space="preserve">Bear: permit denied or stalled for years</t>
  </si>
  <si>
    <t xml:space="preserve">Base: permit granted, delays, cost overruns, heavy dilution</t>
  </si>
  <si>
    <t xml:space="preserve">Bull: permit granted, near schedule, expansion credible</t>
  </si>
  <si>
    <t xml:space="preserve">Probability-weighted value</t>
  </si>
  <si>
    <t xml:space="preserve">Check: probabilities sum to 100%</t>
  </si>
  <si>
    <t xml:space="preserve">Outputs</t>
  </si>
  <si>
    <t xml:space="preserve">vs price</t>
  </si>
  <si>
    <t xml:space="preserve">Bear value per share</t>
  </si>
  <si>
    <t xml:space="preserve">Probability-weighted value per share</t>
  </si>
  <si>
    <t xml:space="preserve">Bull value per share</t>
  </si>
  <si>
    <t xml:space="preserve">Permit probability the price implies, holding the other inputs fixed</t>
  </si>
  <si>
    <t xml:space="preserve">Solves for the combined weight on the two permit scenarios that makes the weighted value equal the price</t>
  </si>
  <si>
    <t xml:space="preserve">Notes: the company's study figures are its own and assume its metal price deck; the haircuts are the analyst's. Dilution reflects the roughly $4.9B of capex the project still needs to fund.</t>
  </si>
</sst>
</file>

<file path=xl/styles.xml><?xml version="1.0" encoding="utf-8"?>
<styleSheet xmlns="http://schemas.openxmlformats.org/spreadsheetml/2006/main">
  <numFmts count="7">
    <numFmt numFmtId="164" formatCode="General"/>
    <numFmt numFmtId="165" formatCode="\$#,##0.00;&quot;($&quot;#,##0.00\);\-"/>
    <numFmt numFmtId="166" formatCode="0.0%;\(0.0%\);\-"/>
    <numFmt numFmtId="167" formatCode="0.0%;\-0.0%;0.0%"/>
    <numFmt numFmtId="168" formatCode="0.000"/>
    <numFmt numFmtId="169" formatCode="#,##0.0;\(#,##0.0\);\-"/>
    <numFmt numFmtId="170" formatCode="0"/>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10"/>
      <color rgb="FF555555"/>
      <name val="Arial"/>
      <family val="0"/>
      <charset val="1"/>
    </font>
    <font>
      <b val="true"/>
      <sz val="10"/>
      <color rgb="FFFFFFFF"/>
      <name val="Arial"/>
      <family val="0"/>
      <charset val="1"/>
    </font>
    <font>
      <sz val="10"/>
      <color rgb="FF008000"/>
      <name val="Arial"/>
      <family val="0"/>
      <charset val="1"/>
    </font>
    <font>
      <b val="true"/>
      <sz val="10"/>
      <name val="Arial"/>
      <family val="0"/>
      <charset val="1"/>
    </font>
    <font>
      <sz val="10"/>
      <color rgb="FF0000FF"/>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6" fontId="9" fillId="3"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8"/>
    <col collapsed="false" customWidth="true" hidden="false" outlineLevel="0" max="10" min="3" style="0" width="13"/>
  </cols>
  <sheetData>
    <row r="1" customFormat="false" ht="16.15" hidden="false" customHeight="false" outlineLevel="0" collapsed="false">
      <c r="A1" s="1" t="s">
        <v>0</v>
      </c>
    </row>
    <row r="2" customFormat="false" ht="15" hidden="false" customHeight="false" outlineLevel="0" collapsed="false">
      <c r="A2" s="2" t="s">
        <v>1</v>
      </c>
    </row>
    <row r="4" customFormat="false" ht="43.5" hidden="false" customHeight="true" outlineLevel="0" collapsed="false">
      <c r="A4" s="3" t="s">
        <v>2</v>
      </c>
      <c r="B4" s="3" t="s">
        <v>3</v>
      </c>
      <c r="C4" s="3" t="s">
        <v>4</v>
      </c>
      <c r="D4" s="3" t="s">
        <v>5</v>
      </c>
      <c r="E4" s="3" t="s">
        <v>6</v>
      </c>
      <c r="F4" s="3" t="s">
        <v>7</v>
      </c>
      <c r="G4" s="3" t="s">
        <v>8</v>
      </c>
      <c r="H4" s="3" t="s">
        <v>9</v>
      </c>
      <c r="I4" s="3" t="s">
        <v>10</v>
      </c>
      <c r="J4" s="3" t="s">
        <v>11</v>
      </c>
    </row>
    <row r="5" customFormat="false" ht="15" hidden="false" customHeight="false" outlineLevel="0" collapsed="false">
      <c r="A5" s="0" t="s">
        <v>12</v>
      </c>
      <c r="B5" s="0" t="s">
        <v>13</v>
      </c>
      <c r="C5" s="4" t="n">
        <f aca="false">TMC!B4</f>
        <v>2.43</v>
      </c>
      <c r="D5" s="5" t="n">
        <f aca="false">TMC!B9</f>
        <v>0.15</v>
      </c>
      <c r="E5" s="4" t="n">
        <f aca="false">TMC!B19</f>
        <v>0.194476366568042</v>
      </c>
      <c r="F5" s="4" t="n">
        <f aca="false">TMC!B20</f>
        <v>2.21373781382538</v>
      </c>
      <c r="G5" s="4" t="n">
        <f aca="false">TMC!B21</f>
        <v>7.91396093257719</v>
      </c>
      <c r="H5" s="6" t="n">
        <f aca="false">F5/C5-1</f>
        <v>-0.0889967844340017</v>
      </c>
      <c r="I5" s="7" t="s">
        <v>14</v>
      </c>
      <c r="J5" s="8" t="n">
        <f aca="false">IF(F5&lt;10,ROUND(F5*4,0)/4,IF(F5&lt;100,ROUND(F5,0),ROUND(F5/5,0)*5))</f>
        <v>2.25</v>
      </c>
    </row>
    <row r="8" customFormat="false" ht="15" hidden="false" customHeight="false" outlineLevel="0" collapsed="false">
      <c r="A8" s="9" t="s">
        <v>15</v>
      </c>
    </row>
    <row r="9" customFormat="false" ht="15" hidden="false" customHeight="false" outlineLevel="0" collapsed="false">
      <c r="A9" s="0" t="s">
        <v>11</v>
      </c>
      <c r="C9" s="8" t="n">
        <v>2.25</v>
      </c>
    </row>
    <row r="10" customFormat="false" ht="15" hidden="false" customHeight="false" outlineLevel="0" collapsed="false">
      <c r="A10" s="0" t="s">
        <v>16</v>
      </c>
      <c r="C10" s="8" t="n">
        <v>4</v>
      </c>
    </row>
    <row r="11" customFormat="false" ht="15" hidden="false" customHeight="false" outlineLevel="0" collapsed="false">
      <c r="A11" s="0" t="s">
        <v>17</v>
      </c>
      <c r="C11" s="8" t="n">
        <v>1.5</v>
      </c>
    </row>
    <row r="12" customFormat="false" ht="15" hidden="false" customHeight="false" outlineLevel="0" collapsed="false">
      <c r="A12" s="0" t="s">
        <v>18</v>
      </c>
      <c r="C12" s="0" t="s">
        <v>19</v>
      </c>
    </row>
    <row r="13" customFormat="false" ht="15" hidden="false" customHeight="false" outlineLevel="0" collapsed="false">
      <c r="A13" s="2" t="s">
        <v>20</v>
      </c>
    </row>
    <row r="15" customFormat="false" ht="15" hidden="false" customHeight="false" outlineLevel="0" collapsed="false">
      <c r="A15" s="9" t="s">
        <v>21</v>
      </c>
    </row>
    <row r="16" customFormat="false" ht="15" hidden="false" customHeight="false" outlineLevel="0" collapsed="false">
      <c r="A16" s="0" t="s">
        <v>22</v>
      </c>
    </row>
    <row r="17" customFormat="false" ht="15" hidden="false" customHeight="false" outlineLevel="0" collapsed="false">
      <c r="A17" s="0" t="s">
        <v>23</v>
      </c>
    </row>
    <row r="18" customFormat="false" ht="15" hidden="false" customHeight="false" outlineLevel="0" collapsed="false">
      <c r="A18" s="0" t="s">
        <v>24</v>
      </c>
    </row>
    <row r="19" customFormat="false" ht="15" hidden="false" customHeight="false" outlineLevel="0" collapsed="false">
      <c r="A19" s="0" t="s">
        <v>25</v>
      </c>
    </row>
    <row r="20" customFormat="false" ht="15" hidden="false" customHeight="false" outlineLevel="0" collapsed="false">
      <c r="A20" s="0" t="s">
        <v>26</v>
      </c>
    </row>
    <row r="21" customFormat="false" ht="15" hidden="false" customHeight="false" outlineLevel="0" collapsed="false">
      <c r="A21" s="0"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8" min="2" style="0" width="14"/>
  </cols>
  <sheetData>
    <row r="1" customFormat="false" ht="16.15" hidden="false" customHeight="false" outlineLevel="0" collapsed="false">
      <c r="A1" s="1" t="s">
        <v>28</v>
      </c>
    </row>
    <row r="2" customFormat="false" ht="15" hidden="false" customHeight="false" outlineLevel="0" collapsed="false">
      <c r="A2" s="2" t="s">
        <v>29</v>
      </c>
    </row>
    <row r="4" customFormat="false" ht="15" hidden="false" customHeight="false" outlineLevel="0" collapsed="false">
      <c r="A4" s="0" t="s">
        <v>30</v>
      </c>
      <c r="B4" s="10" t="n">
        <v>2.43</v>
      </c>
      <c r="C4" s="2" t="s">
        <v>31</v>
      </c>
    </row>
    <row r="5" customFormat="false" ht="15" hidden="false" customHeight="false" outlineLevel="0" collapsed="false">
      <c r="A5" s="0" t="s">
        <v>32</v>
      </c>
      <c r="B5" s="11" t="n">
        <v>0.44114</v>
      </c>
      <c r="C5" s="2" t="s">
        <v>33</v>
      </c>
    </row>
    <row r="6" customFormat="false" ht="15" hidden="false" customHeight="false" outlineLevel="0" collapsed="false">
      <c r="A6" s="0" t="s">
        <v>34</v>
      </c>
      <c r="B6" s="11" t="n">
        <v>0.09866</v>
      </c>
      <c r="C6" s="2" t="s">
        <v>33</v>
      </c>
    </row>
    <row r="7" customFormat="false" ht="15" hidden="false" customHeight="false" outlineLevel="0" collapsed="false">
      <c r="A7" s="0" t="s">
        <v>35</v>
      </c>
      <c r="B7" s="12" t="n">
        <v>5.508</v>
      </c>
      <c r="C7" s="2" t="s">
        <v>36</v>
      </c>
    </row>
    <row r="8" customFormat="false" ht="15" hidden="false" customHeight="false" outlineLevel="0" collapsed="false">
      <c r="A8" s="0" t="s">
        <v>37</v>
      </c>
      <c r="B8" s="12" t="n">
        <v>18.1</v>
      </c>
      <c r="C8" s="2" t="s">
        <v>38</v>
      </c>
    </row>
    <row r="9" customFormat="false" ht="15" hidden="false" customHeight="false" outlineLevel="0" collapsed="false">
      <c r="A9" s="0" t="s">
        <v>39</v>
      </c>
      <c r="B9" s="13" t="n">
        <v>0.15</v>
      </c>
      <c r="C9" s="2" t="s">
        <v>40</v>
      </c>
    </row>
    <row r="11" customFormat="false" ht="42" hidden="false" customHeight="true" outlineLevel="0" collapsed="false">
      <c r="A11" s="14" t="s">
        <v>41</v>
      </c>
      <c r="B11" s="14" t="s">
        <v>42</v>
      </c>
      <c r="C11" s="14" t="s">
        <v>43</v>
      </c>
      <c r="D11" s="14" t="s">
        <v>44</v>
      </c>
      <c r="E11" s="14" t="s">
        <v>45</v>
      </c>
      <c r="F11" s="14" t="s">
        <v>46</v>
      </c>
      <c r="G11" s="14" t="s">
        <v>47</v>
      </c>
      <c r="H11" s="14" t="s">
        <v>48</v>
      </c>
    </row>
    <row r="12" customFormat="false" ht="15" hidden="false" customHeight="false" outlineLevel="0" collapsed="false">
      <c r="A12" s="0" t="s">
        <v>49</v>
      </c>
      <c r="B12" s="13" t="n">
        <v>0.4</v>
      </c>
      <c r="C12" s="15" t="n">
        <v>0</v>
      </c>
      <c r="D12" s="15" t="n">
        <v>0</v>
      </c>
      <c r="E12" s="11" t="n">
        <v>0.44114</v>
      </c>
      <c r="F12" s="16" t="n">
        <v>1</v>
      </c>
      <c r="G12" s="8" t="n">
        <f aca="false">($B$7*C12+$B$8*D12+$B$6)/E12/(1+$B$9)^F12</f>
        <v>0.194476366568042</v>
      </c>
      <c r="H12" s="8" t="n">
        <f aca="false">B12*G12</f>
        <v>0.0777905466272169</v>
      </c>
    </row>
    <row r="13" customFormat="false" ht="15" hidden="false" customHeight="false" outlineLevel="0" collapsed="false">
      <c r="A13" s="0" t="s">
        <v>50</v>
      </c>
      <c r="B13" s="13" t="n">
        <v>0.45</v>
      </c>
      <c r="C13" s="15" t="n">
        <v>0.4</v>
      </c>
      <c r="D13" s="15" t="n">
        <v>0.05</v>
      </c>
      <c r="E13" s="11" t="n">
        <v>1</v>
      </c>
      <c r="F13" s="16" t="n">
        <v>3</v>
      </c>
      <c r="G13" s="8" t="n">
        <f aca="false">($B$7*C13+$B$8*D13+$B$6)/E13/(1+$B$9)^F13</f>
        <v>2.10856250513685</v>
      </c>
      <c r="H13" s="8" t="n">
        <f aca="false">B13*G13</f>
        <v>0.948853127311581</v>
      </c>
    </row>
    <row r="14" customFormat="false" ht="15" hidden="false" customHeight="false" outlineLevel="0" collapsed="false">
      <c r="A14" s="0" t="s">
        <v>51</v>
      </c>
      <c r="B14" s="13" t="n">
        <v>0.15</v>
      </c>
      <c r="C14" s="15" t="n">
        <v>0.75</v>
      </c>
      <c r="D14" s="15" t="n">
        <v>0.2</v>
      </c>
      <c r="E14" s="11" t="n">
        <v>0.75</v>
      </c>
      <c r="F14" s="16" t="n">
        <v>2</v>
      </c>
      <c r="G14" s="8" t="n">
        <f aca="false">($B$7*C14+$B$8*D14+$B$6)/E14/(1+$B$9)^F14</f>
        <v>7.91396093257719</v>
      </c>
      <c r="H14" s="8" t="n">
        <f aca="false">B14*G14</f>
        <v>1.18709413988658</v>
      </c>
    </row>
    <row r="15" customFormat="false" ht="15" hidden="false" customHeight="false" outlineLevel="0" collapsed="false">
      <c r="A15" s="9" t="s">
        <v>52</v>
      </c>
      <c r="B15" s="7" t="n">
        <f aca="false">SUM(B12:B14)</f>
        <v>1</v>
      </c>
      <c r="H15" s="17" t="n">
        <f aca="false">SUM(H12:H14)</f>
        <v>2.21373781382538</v>
      </c>
    </row>
    <row r="16" customFormat="false" ht="15" hidden="false" customHeight="false" outlineLevel="0" collapsed="false">
      <c r="A16" s="0" t="s">
        <v>53</v>
      </c>
      <c r="B16" s="0" t="str">
        <f aca="false">IF(ABS(B15-1)&lt;0.0001,"OK","Probabilities must sum to 100%")</f>
        <v>OK</v>
      </c>
    </row>
    <row r="18" customFormat="false" ht="15" hidden="false" customHeight="false" outlineLevel="0" collapsed="false">
      <c r="A18" s="18" t="s">
        <v>54</v>
      </c>
      <c r="B18" s="19"/>
      <c r="C18" s="18" t="s">
        <v>55</v>
      </c>
      <c r="D18" s="19"/>
      <c r="E18" s="19"/>
      <c r="F18" s="19"/>
      <c r="G18" s="19"/>
      <c r="H18" s="19"/>
    </row>
    <row r="19" customFormat="false" ht="15" hidden="false" customHeight="false" outlineLevel="0" collapsed="false">
      <c r="A19" s="0" t="s">
        <v>56</v>
      </c>
      <c r="B19" s="8" t="n">
        <f aca="false">G12</f>
        <v>0.194476366568042</v>
      </c>
      <c r="C19" s="6" t="n">
        <f aca="false">B19/$B$4-1</f>
        <v>-0.919968573428789</v>
      </c>
    </row>
    <row r="20" customFormat="false" ht="15" hidden="false" customHeight="false" outlineLevel="0" collapsed="false">
      <c r="A20" s="0" t="s">
        <v>57</v>
      </c>
      <c r="B20" s="8" t="n">
        <f aca="false">H15</f>
        <v>2.21373781382538</v>
      </c>
      <c r="C20" s="6" t="n">
        <f aca="false">B20/$B$4-1</f>
        <v>-0.0889967844340017</v>
      </c>
    </row>
    <row r="21" customFormat="false" ht="15" hidden="false" customHeight="false" outlineLevel="0" collapsed="false">
      <c r="A21" s="0" t="s">
        <v>58</v>
      </c>
      <c r="B21" s="8" t="n">
        <f aca="false">G14</f>
        <v>7.91396093257719</v>
      </c>
      <c r="C21" s="6" t="n">
        <f aca="false">B21/$B$4-1</f>
        <v>2.25677404632806</v>
      </c>
    </row>
    <row r="23" customFormat="false" ht="15" hidden="false" customHeight="false" outlineLevel="0" collapsed="false">
      <c r="A23" s="9" t="s">
        <v>59</v>
      </c>
      <c r="B23" s="7" t="n">
        <f aca="false">(B4-G12)/((B13*G13+B14*G14)/(B13+B14)-G12)</f>
        <v>0.664259787597598</v>
      </c>
      <c r="C23" s="2" t="s">
        <v>60</v>
      </c>
    </row>
    <row r="25" customFormat="false" ht="15" hidden="false" customHeight="false" outlineLevel="0" collapsed="false">
      <c r="A25" s="2" t="s">
        <v>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2026-10-28T13:32:51Z</dcterms:created>
  <dc:creator>openpyxl</dc:creator>
  <dc:description/>
  <dc:language>en-US</dc:language>
  <cp:lastModifiedBy/>
  <dcterms:modified xsi:type="dcterms:W3CDTF">2026-10-28T13:32:51Z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