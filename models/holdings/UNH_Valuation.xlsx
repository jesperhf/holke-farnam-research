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UNH" sheetId="2" state="visible" r:id="rId4"/>
    <sheet name="WAC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<sst xmlns="http://schemas.openxmlformats.org/spreadsheetml/2006/main" count="166" uniqueCount="128">
  <si>
    <t xml:space="preserve">UnitedHealth (UNH): valuation summary</t>
  </si>
  <si>
    <t xml:space="preserve">Values link to the model sheet (green). Switch the discount rate on the WACC tab.</t>
  </si>
  <si>
    <t xml:space="preserve">Company</t>
  </si>
  <si>
    <t xml:space="preserve">Method</t>
  </si>
  <si>
    <t xml:space="preserve">Share price</t>
  </si>
  <si>
    <t xml:space="preserve">Discount rate</t>
  </si>
  <si>
    <t xml:space="preserve">Bear value</t>
  </si>
  <si>
    <t xml:space="preserve">Base value</t>
  </si>
  <si>
    <t xml:space="preserve">Bull value</t>
  </si>
  <si>
    <t xml:space="preserve">Base vs price</t>
  </si>
  <si>
    <t xml:space="preserve">Implied return at price (base case)</t>
  </si>
  <si>
    <t xml:space="preserve">Base value (rounded)</t>
  </si>
  <si>
    <t xml:space="preserve">UnitedHealth (UNH)</t>
  </si>
  <si>
    <t xml:space="preserve">10-year DCF</t>
  </si>
  <si>
    <t xml:space="preserve">Exit plan on the positions page</t>
  </si>
  <si>
    <t xml:space="preserve">Trim above (bull value, rounded)</t>
  </si>
  <si>
    <t xml:space="preserve">Exit below (halfway, bear to base)</t>
  </si>
  <si>
    <t xml:space="preserve">Thesis-break signal</t>
  </si>
  <si>
    <t xml:space="preserve">Sell if the medical care ratio goes back above 90% excluding reserve releases, or if 2027 EPS guidance comes in below $22.</t>
  </si>
  <si>
    <t xml:space="preserve">UnitedHealth (UNH): 10-year scenario DCF</t>
  </si>
  <si>
    <t xml:space="preserve">Units: $ billions unless noted. Blue = input, black = formula, green = link, yellow = key lever. Years 6 to 10 fade growth, margin and reinvestment toward each scenario's terminal levels.</t>
  </si>
  <si>
    <t xml:space="preserve">Share price ($)</t>
  </si>
  <si>
    <t xml:space="preserve">Oct 23, 2026 intraday (Yahoo Finance via the site's price feed)</t>
  </si>
  <si>
    <t xml:space="preserve">Price date</t>
  </si>
  <si>
    <t xml:space="preserve">Oct 23, 2026</t>
  </si>
  <si>
    <t xml:space="preserve">Text</t>
  </si>
  <si>
    <t xml:space="preserve">Shares outstanding (billions)</t>
  </si>
  <si>
    <t xml:space="preserve">Stock Analysis statistics, Oct 23, 2026</t>
  </si>
  <si>
    <t xml:space="preserve">Net cash, negative = net debt</t>
  </si>
  <si>
    <t xml:space="preserve">Stock Analysis statistics, Oct 23, 2026: cash less total debt</t>
  </si>
  <si>
    <t xml:space="preserve">Other non-operating assets, less outside claims</t>
  </si>
  <si>
    <t xml:space="preserve">None</t>
  </si>
  <si>
    <t xml:space="preserve">Tax rate</t>
  </si>
  <si>
    <t xml:space="preserve">Analyst assumption (normalized, near the reported effective rate)</t>
  </si>
  <si>
    <t xml:space="preserve">Discount rate (WACC), from WACC tab</t>
  </si>
  <si>
    <t xml:space="preserve">Calculated or assumed, per the switch in WACC!B5</t>
  </si>
  <si>
    <t xml:space="preserve">Working capital, % of revenue change</t>
  </si>
  <si>
    <t xml:space="preserve">Analyst assumption</t>
  </si>
  <si>
    <t xml:space="preserve">Base-year revenue (2026E)</t>
  </si>
  <si>
    <t xml:space="preserve">2026E consensus $448.7B (Stock Analysis)</t>
  </si>
  <si>
    <t xml:space="preserve">Selected scenario (1 Bear, 2 Base, 3 Bull)</t>
  </si>
  <si>
    <t xml:space="preserve">Lever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</si>
  <si>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</si>
  <si>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</si>
  <si>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</si>
  <si>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</si>
  <si>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</si>
  <si>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</si>
  <si>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</si>
  <si>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</si>
  <si>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</si>
  <si>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</si>
  <si>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</si>
  <si>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Terminal</t>
  </si>
  <si>
    <t xml:space="preserve">Discount period (years, mid-year)</t>
  </si>
  <si>
    <t xml:space="preserve">Fade step (years 6 to 10)</t>
  </si>
  <si>
    <t xml:space="preserve">Bear: margins stay near trough, policy pressure</t>
  </si>
  <si>
    <t xml:space="preserve">Revenue</t>
  </si>
  <si>
    <t xml:space="preserve">Revenue growth (terminal column = terminal growth, input)</t>
  </si>
  <si>
    <t xml:space="preserve">Operating margin</t>
  </si>
  <si>
    <t xml:space="preserve">Operating income</t>
  </si>
  <si>
    <t xml:space="preserve">NOPAT</t>
  </si>
  <si>
    <t xml:space="preserve">Net reinvestment, % of revenue</t>
  </si>
  <si>
    <t xml:space="preserve">Net reinvestment</t>
  </si>
  <si>
    <t xml:space="preserve">Change in working capital</t>
  </si>
  <si>
    <t xml:space="preserve">Free cash flow</t>
  </si>
  <si>
    <t xml:space="preserve">Discount factor</t>
  </si>
  <si>
    <t xml:space="preserve">PV of free cash flow</t>
  </si>
  <si>
    <t xml:space="preserve">Terminal value</t>
  </si>
  <si>
    <t xml:space="preserve">PV of terminal value</t>
  </si>
  <si>
    <t xml:space="preserve">Equity value (PV FCF + PV TV + net cash + other)</t>
  </si>
  <si>
    <t xml:space="preserve">Value per share ($)</t>
  </si>
  <si>
    <t xml:space="preserve">Value vs share price</t>
  </si>
  <si>
    <t xml:space="preserve">Base: margins repair partway, to about 6.5%</t>
  </si>
  <si>
    <t xml:space="preserve">Bull: margins back to the 8% history</t>
  </si>
  <si>
    <t xml:space="preserve">Outputs</t>
  </si>
  <si>
    <t xml:space="preserve">vs price</t>
  </si>
  <si>
    <t xml:space="preserve">Bear value per share</t>
  </si>
  <si>
    <t xml:space="preserve">Base value per share</t>
  </si>
  <si>
    <t xml:space="preserve">Bull value per share</t>
  </si>
  <si>
    <t xml:space="preserve">Selected scenario value per share</t>
  </si>
  <si>
    <t xml:space="preserve">Share of base value from terminal value</t>
  </si>
  <si>
    <t xml:space="preserve">Base value per share at other discount rates</t>
  </si>
  <si>
    <t xml:space="preserve">vs share price</t>
  </si>
  <si>
    <t xml:space="preserve">Implied annual return at today's price, base case</t>
  </si>
  <si>
    <t xml:space="preserve">Discount rate at which base value equals the price (interpolated from the row above)</t>
  </si>
  <si>
    <t xml:space="preserve">Discount rates: calculated (CAPM) versus assumed</t>
  </si>
  <si>
    <t xml:space="preserve">Blue = input, black = formula, green = link. The yellow switches set the rate used on the model sheet.</t>
  </si>
  <si>
    <t xml:space="preserve">Rate used in valuations (1 = Calculated, 2 = Assumed)</t>
  </si>
  <si>
    <t xml:space="preserve">Switch. 2 reproduces the doc's figures</t>
  </si>
  <si>
    <t xml:space="preserve">Beta used (1 = Raw 5-year, 2 = Blume adjusted)</t>
  </si>
  <si>
    <t xml:space="preserve">Blume adjusted = 0.67 x raw + 0.33</t>
  </si>
  <si>
    <t xml:space="preserve">Risk-free rate (10-year Treasury)</t>
  </si>
  <si>
    <t xml:space="preserve">FRED via MacroRadar, Oct 6, 2026 (same as earlier journal models)</t>
  </si>
  <si>
    <t xml:space="preserve">Equity risk premium</t>
  </si>
  <si>
    <t xml:space="preserve">Credit spread over risk-free (pre-tax cost of debt)</t>
  </si>
  <si>
    <t xml:space="preserve">Analyst assumption: investment-grade spread</t>
  </si>
  <si>
    <t xml:space="preserve">Item</t>
  </si>
  <si>
    <t xml:space="preserve">UNH</t>
  </si>
  <si>
    <t xml:space="preserve">Source / note</t>
  </si>
  <si>
    <t xml:space="preserve">Raw beta (5-year)</t>
  </si>
  <si>
    <t xml:space="preserve">Beta override (blank = none)</t>
  </si>
  <si>
    <t xml:space="preserve">Cheniere's 0.06 raw beta reflects its own history, not its risk; 0.80 used instead</t>
  </si>
  <si>
    <t xml:space="preserve">Adjusted beta</t>
  </si>
  <si>
    <t xml:space="preserve">Blume: 0.67 x raw (or override) + 0.33</t>
  </si>
  <si>
    <t xml:space="preserve">Beta used</t>
  </si>
  <si>
    <t xml:space="preserve">Per switch in B6</t>
  </si>
  <si>
    <t xml:space="preserve">Cost of equity</t>
  </si>
  <si>
    <t xml:space="preserve">Risk-free + beta x ERP</t>
  </si>
  <si>
    <t xml:space="preserve">Pre-tax cost of debt</t>
  </si>
  <si>
    <t xml:space="preserve">Risk-free + spread</t>
  </si>
  <si>
    <t xml:space="preserve">Linked from company sheet</t>
  </si>
  <si>
    <t xml:space="preserve">After-tax cost of debt</t>
  </si>
  <si>
    <t xml:space="preserve">Market value of equity ($B)</t>
  </si>
  <si>
    <t xml:space="preserve">Price x shares</t>
  </si>
  <si>
    <t xml:space="preserve">Debt ($B)</t>
  </si>
  <si>
    <t xml:space="preserve">Stock Analysis, total debt</t>
  </si>
  <si>
    <t xml:space="preserve">Equity weight</t>
  </si>
  <si>
    <t xml:space="preserve">Debt weight</t>
  </si>
  <si>
    <t xml:space="preserve">Calculated WACC (CAPM)</t>
  </si>
  <si>
    <t xml:space="preserve">Weighted cost of capital</t>
  </si>
  <si>
    <t xml:space="preserve">Assumed WACC</t>
  </si>
  <si>
    <t xml:space="preserve">Analyst assumption used in the doc</t>
  </si>
  <si>
    <t xml:space="preserve">WACC used</t>
  </si>
  <si>
    <t xml:space="preserve">Per switch in B5; feeds each sheet's B10</t>
  </si>
  <si>
    <t xml:space="preserve">Check: WACC above every terminal growth rate</t>
  </si>
  <si>
    <t xml:space="preserve">Link row read by company sheets</t>
  </si>
  <si>
    <t xml:space="preserve">Same as WACC used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</si>
</sst>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;\(0.0%\);\-"/>
    <numFmt numFmtId="167" formatCode="0.0%;\-0.0%;0.0%"/>
    <numFmt numFmtId="168" formatCode="0.000"/>
    <numFmt numFmtId="169" formatCode="#,##0.0;\(#,##0.0\);\-"/>
    <numFmt numFmtId="170" formatCode="0"/>
    <numFmt numFmtId="171" formatCode="0.00"/>
    <numFmt numFmtId="172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10" min="3" style="1" width="13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3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1" t="s">
        <v>12</v>
      </c>
      <c r="B5" s="1" t="s">
        <v>13</v>
      </c>
      <c r="C5" s="5" t="n">
        <f aca="false">UNH!B4</f>
        <v>423.39</v>
      </c>
      <c r="D5" s="6" t="n">
        <f aca="false">UNH!B10</f>
        <v>0.09</v>
      </c>
      <c r="E5" s="5" t="n">
        <f aca="false">UNH!B75</f>
        <v>306.352454075418</v>
      </c>
      <c r="F5" s="5" t="n">
        <f aca="false">UNH!B76</f>
        <v>474.034455932517</v>
      </c>
      <c r="G5" s="5" t="n">
        <f aca="false">UNH!B77</f>
        <v>693.260877748871</v>
      </c>
      <c r="H5" s="7" t="n">
        <f aca="false">F5/C5-1</f>
        <v>0.119616561403237</v>
      </c>
      <c r="I5" s="6" t="n">
        <f aca="false">UNH!B86</f>
        <v>0.0958315803123902</v>
      </c>
      <c r="J5" s="8" t="n">
        <f aca="false">IF(F5&lt;10,ROUND(F5*4,0)/4,IF(F5&lt;100,ROUND(F5,0),ROUND(F5/5,0)*5))</f>
        <v>475</v>
      </c>
    </row>
    <row r="8" customFormat="false" ht="15" hidden="false" customHeight="true" outlineLevel="0" collapsed="false">
      <c r="A8" s="9" t="s">
        <v>14</v>
      </c>
    </row>
    <row r="9" customFormat="false" ht="15" hidden="false" customHeight="true" outlineLevel="0" collapsed="false">
      <c r="A9" s="1" t="s">
        <v>11</v>
      </c>
      <c r="C9" s="8" t="n">
        <v>475</v>
      </c>
    </row>
    <row r="10" customFormat="false" ht="15" hidden="false" customHeight="true" outlineLevel="0" collapsed="false">
      <c r="A10" s="1" t="s">
        <v>15</v>
      </c>
      <c r="C10" s="8" t="n">
        <v>695</v>
      </c>
    </row>
    <row r="11" customFormat="false" ht="15" hidden="false" customHeight="true" outlineLevel="0" collapsed="false">
      <c r="A11" s="1" t="s">
        <v>16</v>
      </c>
      <c r="C11" s="8" t="n">
        <v>390</v>
      </c>
    </row>
    <row r="12" customFormat="false" ht="15" hidden="false" customHeight="true" outlineLevel="0" collapsed="false">
      <c r="A12" s="1" t="s">
        <v>17</v>
      </c>
      <c r="C12" s="1" t="s">
        <v>18</v>
      </c>
    </row>
    <row r="13" customFormat="false" ht="15" hidden="false" customHeight="true" outlineLevel="0" collapsed="false">
      <c r="A13" s="3"/>
    </row>
    <row r="15" customFormat="false" ht="15" hidden="false" customHeight="true" outlineLevel="0" collapsed="false">
      <c r="A15" s="9"/>
    </row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12" min="4" style="1" width="11"/>
  </cols>
  <sheetData>
    <row r="1" customFormat="false" ht="15.75" hidden="false" customHeight="true" outlineLevel="0" collapsed="false">
      <c r="A1" s="2" t="s">
        <v>19</v>
      </c>
    </row>
    <row r="2" customFormat="false" ht="15" hidden="false" customHeight="true" outlineLevel="0" collapsed="false">
      <c r="A2" s="3" t="s">
        <v>20</v>
      </c>
    </row>
    <row r="4" customFormat="false" ht="15" hidden="false" customHeight="true" outlineLevel="0" collapsed="false">
      <c r="A4" s="1" t="s">
        <v>21</v>
      </c>
      <c r="B4" s="10" t="n">
        <v>423.39</v>
      </c>
      <c r="C4" s="3" t="s">
        <v>22</v>
      </c>
    </row>
    <row r="5" customFormat="false" ht="15" hidden="false" customHeight="true" outlineLevel="0" collapsed="false">
      <c r="A5" s="1" t="s">
        <v>23</v>
      </c>
      <c r="B5" s="11" t="s">
        <v>24</v>
      </c>
      <c r="C5" s="3" t="s">
        <v>25</v>
      </c>
    </row>
    <row r="6" customFormat="false" ht="15" hidden="false" customHeight="true" outlineLevel="0" collapsed="false">
      <c r="A6" s="1" t="s">
        <v>26</v>
      </c>
      <c r="B6" s="12" t="n">
        <v>0.89759</v>
      </c>
      <c r="C6" s="3" t="s">
        <v>27</v>
      </c>
    </row>
    <row r="7" customFormat="false" ht="15" hidden="false" customHeight="true" outlineLevel="0" collapsed="false">
      <c r="A7" s="1" t="s">
        <v>28</v>
      </c>
      <c r="B7" s="13" t="n">
        <v>-48.49</v>
      </c>
      <c r="C7" s="3" t="s">
        <v>29</v>
      </c>
    </row>
    <row r="8" customFormat="false" ht="15" hidden="false" customHeight="true" outlineLevel="0" collapsed="false">
      <c r="A8" s="1" t="s">
        <v>30</v>
      </c>
      <c r="B8" s="13" t="n">
        <v>0</v>
      </c>
      <c r="C8" s="3" t="s">
        <v>31</v>
      </c>
    </row>
    <row r="9" customFormat="false" ht="15" hidden="false" customHeight="true" outlineLevel="0" collapsed="false">
      <c r="A9" s="1" t="s">
        <v>32</v>
      </c>
      <c r="B9" s="14" t="n">
        <v>0.22</v>
      </c>
      <c r="C9" s="3" t="s">
        <v>33</v>
      </c>
    </row>
    <row r="10" customFormat="false" ht="15" hidden="false" customHeight="true" outlineLevel="0" collapsed="false">
      <c r="A10" s="1" t="s">
        <v>34</v>
      </c>
      <c r="B10" s="15" t="n">
        <f aca="false">WACC!B29</f>
        <v>0.09</v>
      </c>
      <c r="C10" s="3" t="s">
        <v>35</v>
      </c>
    </row>
    <row r="11" customFormat="false" ht="15" hidden="false" customHeight="true" outlineLevel="0" collapsed="false">
      <c r="A11" s="1" t="s">
        <v>36</v>
      </c>
      <c r="B11" s="14" t="n">
        <v>0</v>
      </c>
      <c r="C11" s="3" t="s">
        <v>37</v>
      </c>
    </row>
    <row r="12" customFormat="false" ht="15" hidden="false" customHeight="true" outlineLevel="0" collapsed="false">
      <c r="A12" s="1" t="s">
        <v>38</v>
      </c>
      <c r="B12" s="13" t="n">
        <v>448.7</v>
      </c>
      <c r="C12" s="3" t="s">
        <v>39</v>
      </c>
    </row>
    <row r="13" customFormat="false" ht="15" hidden="false" customHeight="true" outlineLevel="0" collapsed="false">
      <c r="A13" s="1" t="s">
        <v>40</v>
      </c>
      <c r="B13" s="16" t="n">
        <v>2</v>
      </c>
      <c r="C13" s="3" t="s">
        <v>41</v>
      </c>
    </row>
    <row r="15" customFormat="false" ht="15" hidden="false" customHeight="true" outlineLevel="0" collapsed="false">
      <c r="A15" s="9" t="s">
        <v>42</v>
      </c>
      <c r="B15" s="17" t="s">
        <v>43</v>
      </c>
      <c r="C15" s="17" t="s">
        <v>44</v>
      </c>
      <c r="D15" s="17" t="s">
        <v>45</v>
      </c>
      <c r="E15" s="17" t="s">
        <v>46</v>
      </c>
      <c r="F15" s="17" t="s">
        <v>47</v>
      </c>
      <c r="G15" s="17" t="s">
        <v>48</v>
      </c>
      <c r="H15" s="17" t="s">
        <v>49</v>
      </c>
      <c r="I15" s="17" t="s">
        <v>50</v>
      </c>
      <c r="J15" s="17" t="s">
        <v>51</v>
      </c>
      <c r="K15" s="17" t="s">
        <v>52</v>
      </c>
      <c r="L15" s="9" t="s">
        <v>53</v>
      </c>
    </row>
    <row r="16" customFormat="false" ht="15" hidden="false" customHeight="true" outlineLevel="0" collapsed="false">
      <c r="A16" s="1" t="s">
        <v>54</v>
      </c>
      <c r="B16" s="11" t="n">
        <v>0.5</v>
      </c>
      <c r="C16" s="1" t="n">
        <f aca="false">B16+1</f>
        <v>1.5</v>
      </c>
      <c r="D16" s="1" t="n">
        <f aca="false">C16+1</f>
        <v>2.5</v>
      </c>
      <c r="E16" s="1" t="n">
        <f aca="false">D16+1</f>
        <v>3.5</v>
      </c>
      <c r="F16" s="1" t="n">
        <f aca="false">E16+1</f>
        <v>4.5</v>
      </c>
      <c r="G16" s="1" t="n">
        <f aca="false">F16+1</f>
        <v>5.5</v>
      </c>
      <c r="H16" s="1" t="n">
        <f aca="false">G16+1</f>
        <v>6.5</v>
      </c>
      <c r="I16" s="1" t="n">
        <f aca="false">H16+1</f>
        <v>7.5</v>
      </c>
      <c r="J16" s="1" t="n">
        <f aca="false">I16+1</f>
        <v>8.5</v>
      </c>
      <c r="K16" s="1" t="n">
        <f aca="false">J16+1</f>
        <v>9.5</v>
      </c>
    </row>
    <row r="17" customFormat="false" ht="15" hidden="false" customHeight="true" outlineLevel="0" collapsed="false">
      <c r="A17" s="1" t="s">
        <v>55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2</v>
      </c>
      <c r="I17" s="1" t="n">
        <v>3</v>
      </c>
      <c r="J17" s="1" t="n">
        <v>4</v>
      </c>
      <c r="K17" s="1" t="n">
        <v>5</v>
      </c>
    </row>
    <row r="19" customFormat="false" ht="15" hidden="false" customHeight="true" outlineLevel="0" collapsed="false">
      <c r="A19" s="18" t="s">
        <v>56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customFormat="false" ht="15" hidden="false" customHeight="true" outlineLevel="0" collapsed="false">
      <c r="A20" s="1" t="s">
        <v>57</v>
      </c>
      <c r="B20" s="13" t="n">
        <v>455</v>
      </c>
      <c r="C20" s="13" t="n">
        <v>470</v>
      </c>
      <c r="D20" s="13" t="n">
        <v>488</v>
      </c>
      <c r="E20" s="13" t="n">
        <v>506</v>
      </c>
      <c r="F20" s="13" t="n">
        <v>525</v>
      </c>
      <c r="G20" s="20" t="n">
        <f aca="false">F20*(1+$F21+($L21-$F21)*G$17/5)</f>
        <v>543.920750988142</v>
      </c>
      <c r="H20" s="20" t="n">
        <f aca="false">G20*(1+$F21+($L21-$F21)*H$17/5)</f>
        <v>562.702141030168</v>
      </c>
      <c r="I20" s="20" t="n">
        <f aca="false">H20*(1+$F21+($L21-$F21)*I$17/5)</f>
        <v>581.282432279836</v>
      </c>
      <c r="J20" s="20" t="n">
        <f aca="false">I20*(1+$F21+($L21-$F21)*J$17/5)</f>
        <v>599.598572794203</v>
      </c>
      <c r="K20" s="20" t="n">
        <f aca="false">J20*(1+$F21+($L21-$F21)*K$17/5)</f>
        <v>617.586529978029</v>
      </c>
      <c r="L20" s="20" t="n">
        <f aca="false">K20*(1+L21)</f>
        <v>636.11412587737</v>
      </c>
    </row>
    <row r="21" customFormat="false" ht="15" hidden="false" customHeight="true" outlineLevel="0" collapsed="false">
      <c r="A21" s="1" t="s">
        <v>58</v>
      </c>
      <c r="B21" s="7" t="n">
        <f aca="false">B20/$B$12-1</f>
        <v>0.014040561622465</v>
      </c>
      <c r="C21" s="7" t="n">
        <f aca="false">C20/B20-1</f>
        <v>0.0329670329670331</v>
      </c>
      <c r="D21" s="7" t="n">
        <f aca="false">D20/C20-1</f>
        <v>0.0382978723404255</v>
      </c>
      <c r="E21" s="7" t="n">
        <f aca="false">E20/D20-1</f>
        <v>0.0368852459016393</v>
      </c>
      <c r="F21" s="7" t="n">
        <f aca="false">F20/E20-1</f>
        <v>0.0375494071146245</v>
      </c>
      <c r="G21" s="7" t="n">
        <f aca="false">G20/F20-1</f>
        <v>0.0360395256916997</v>
      </c>
      <c r="H21" s="7" t="n">
        <f aca="false">H20/G20-1</f>
        <v>0.0345296442687748</v>
      </c>
      <c r="I21" s="7" t="n">
        <f aca="false">I20/H20-1</f>
        <v>0.0330197628458497</v>
      </c>
      <c r="J21" s="7" t="n">
        <f aca="false">J20/I20-1</f>
        <v>0.0315098814229249</v>
      </c>
      <c r="K21" s="7" t="n">
        <f aca="false">K20/J20-1</f>
        <v>0.03</v>
      </c>
      <c r="L21" s="21" t="n">
        <v>0.03</v>
      </c>
    </row>
    <row r="22" customFormat="false" ht="15" hidden="false" customHeight="true" outlineLevel="0" collapsed="false">
      <c r="A22" s="1" t="s">
        <v>59</v>
      </c>
      <c r="B22" s="22" t="n">
        <v>0.054</v>
      </c>
      <c r="C22" s="22" t="n">
        <v>0.054</v>
      </c>
      <c r="D22" s="22" t="n">
        <v>0.055</v>
      </c>
      <c r="E22" s="22" t="n">
        <v>0.056</v>
      </c>
      <c r="F22" s="22" t="n">
        <v>0.057</v>
      </c>
      <c r="G22" s="7" t="n">
        <f aca="false">$F22+($L22-$F22)*G$17/5</f>
        <v>0.0568</v>
      </c>
      <c r="H22" s="7" t="n">
        <f aca="false">$F22+($L22-$F22)*H$17/5</f>
        <v>0.0566</v>
      </c>
      <c r="I22" s="7" t="n">
        <f aca="false">$F22+($L22-$F22)*I$17/5</f>
        <v>0.0564</v>
      </c>
      <c r="J22" s="7" t="n">
        <f aca="false">$F22+($L22-$F22)*J$17/5</f>
        <v>0.0562</v>
      </c>
      <c r="K22" s="7" t="n">
        <f aca="false">$F22+($L22-$F22)*K$17/5</f>
        <v>0.056</v>
      </c>
      <c r="L22" s="21" t="n">
        <v>0.056</v>
      </c>
    </row>
    <row r="23" customFormat="false" ht="15" hidden="false" customHeight="true" outlineLevel="0" collapsed="false">
      <c r="A23" s="1" t="s">
        <v>60</v>
      </c>
      <c r="B23" s="20" t="n">
        <f aca="false">B20*B22</f>
        <v>24.57</v>
      </c>
      <c r="C23" s="20" t="n">
        <f aca="false">C20*C22</f>
        <v>25.38</v>
      </c>
      <c r="D23" s="20" t="n">
        <f aca="false">D20*D22</f>
        <v>26.84</v>
      </c>
      <c r="E23" s="20" t="n">
        <f aca="false">E20*E22</f>
        <v>28.336</v>
      </c>
      <c r="F23" s="20" t="n">
        <f aca="false">F20*F22</f>
        <v>29.925</v>
      </c>
      <c r="G23" s="20" t="n">
        <f aca="false">G20*G22</f>
        <v>30.8946986561265</v>
      </c>
      <c r="H23" s="20" t="n">
        <f aca="false">H20*H22</f>
        <v>31.8489411823075</v>
      </c>
      <c r="I23" s="20" t="n">
        <f aca="false">I20*I22</f>
        <v>32.7843291805827</v>
      </c>
      <c r="J23" s="20" t="n">
        <f aca="false">J20*J22</f>
        <v>33.6974397910342</v>
      </c>
      <c r="K23" s="20" t="n">
        <f aca="false">K20*K22</f>
        <v>34.5848456787696</v>
      </c>
      <c r="L23" s="20" t="n">
        <f aca="false">L20*L22</f>
        <v>35.6223910491327</v>
      </c>
    </row>
    <row r="24" customFormat="false" ht="15" hidden="false" customHeight="true" outlineLevel="0" collapsed="false">
      <c r="A24" s="1" t="s">
        <v>61</v>
      </c>
      <c r="B24" s="20" t="n">
        <f aca="false">B23*(1-$B$9)</f>
        <v>19.1646</v>
      </c>
      <c r="C24" s="20" t="n">
        <f aca="false">C23*(1-$B$9)</f>
        <v>19.7964</v>
      </c>
      <c r="D24" s="20" t="n">
        <f aca="false">D23*(1-$B$9)</f>
        <v>20.9352</v>
      </c>
      <c r="E24" s="20" t="n">
        <f aca="false">E23*(1-$B$9)</f>
        <v>22.10208</v>
      </c>
      <c r="F24" s="20" t="n">
        <f aca="false">F23*(1-$B$9)</f>
        <v>23.3415</v>
      </c>
      <c r="G24" s="20" t="n">
        <f aca="false">G23*(1-$B$9)</f>
        <v>24.0978649517787</v>
      </c>
      <c r="H24" s="20" t="n">
        <f aca="false">H23*(1-$B$9)</f>
        <v>24.8421741221998</v>
      </c>
      <c r="I24" s="20" t="n">
        <f aca="false">I23*(1-$B$9)</f>
        <v>25.5717767608545</v>
      </c>
      <c r="J24" s="20" t="n">
        <f aca="false">J23*(1-$B$9)</f>
        <v>26.2840030370067</v>
      </c>
      <c r="K24" s="20" t="n">
        <f aca="false">K23*(1-$B$9)</f>
        <v>26.9761796294403</v>
      </c>
      <c r="L24" s="20" t="n">
        <f aca="false">L23*(1-$B$9)</f>
        <v>27.7854650183235</v>
      </c>
    </row>
    <row r="25" customFormat="false" ht="15" hidden="false" customHeight="true" outlineLevel="0" collapsed="false">
      <c r="A25" s="1" t="s">
        <v>62</v>
      </c>
      <c r="B25" s="22" t="n">
        <v>0.004</v>
      </c>
      <c r="C25" s="22" t="n">
        <v>0.004</v>
      </c>
      <c r="D25" s="22" t="n">
        <v>0.004</v>
      </c>
      <c r="E25" s="22" t="n">
        <v>0.004</v>
      </c>
      <c r="F25" s="22" t="n">
        <v>0.004</v>
      </c>
      <c r="G25" s="7" t="n">
        <f aca="false">$F25+($L25-$F25)*G$17/5</f>
        <v>0.004</v>
      </c>
      <c r="H25" s="7" t="n">
        <f aca="false">$F25+($L25-$F25)*H$17/5</f>
        <v>0.004</v>
      </c>
      <c r="I25" s="7" t="n">
        <f aca="false">$F25+($L25-$F25)*I$17/5</f>
        <v>0.004</v>
      </c>
      <c r="J25" s="7" t="n">
        <f aca="false">$F25+($L25-$F25)*J$17/5</f>
        <v>0.004</v>
      </c>
      <c r="K25" s="7" t="n">
        <f aca="false">$F25+($L25-$F25)*K$17/5</f>
        <v>0.004</v>
      </c>
      <c r="L25" s="21" t="n">
        <v>0.004</v>
      </c>
    </row>
    <row r="26" customFormat="false" ht="15" hidden="false" customHeight="true" outlineLevel="0" collapsed="false">
      <c r="A26" s="1" t="s">
        <v>63</v>
      </c>
      <c r="B26" s="20" t="n">
        <f aca="false">B20*B25</f>
        <v>1.82</v>
      </c>
      <c r="C26" s="20" t="n">
        <f aca="false">C20*C25</f>
        <v>1.88</v>
      </c>
      <c r="D26" s="20" t="n">
        <f aca="false">D20*D25</f>
        <v>1.952</v>
      </c>
      <c r="E26" s="20" t="n">
        <f aca="false">E20*E25</f>
        <v>2.024</v>
      </c>
      <c r="F26" s="20" t="n">
        <f aca="false">F20*F25</f>
        <v>2.1</v>
      </c>
      <c r="G26" s="20" t="n">
        <f aca="false">G20*G25</f>
        <v>2.17568300395257</v>
      </c>
      <c r="H26" s="20" t="n">
        <f aca="false">H20*H25</f>
        <v>2.25080856412067</v>
      </c>
      <c r="I26" s="20" t="n">
        <f aca="false">I20*I25</f>
        <v>2.32512972911934</v>
      </c>
      <c r="J26" s="20" t="n">
        <f aca="false">J20*J25</f>
        <v>2.39839429117681</v>
      </c>
      <c r="K26" s="20" t="n">
        <f aca="false">K20*K25</f>
        <v>2.47034611991212</v>
      </c>
      <c r="L26" s="20" t="n">
        <f aca="false">L20*L25</f>
        <v>2.54445650350948</v>
      </c>
    </row>
    <row r="27" customFormat="false" ht="15" hidden="false" customHeight="true" outlineLevel="0" collapsed="false">
      <c r="A27" s="1" t="s">
        <v>64</v>
      </c>
      <c r="B27" s="20" t="n">
        <f aca="false">$B$11*(B20-$B$12)</f>
        <v>0</v>
      </c>
      <c r="C27" s="20" t="n">
        <f aca="false">$B$11*(C20-B20)</f>
        <v>0</v>
      </c>
      <c r="D27" s="20" t="n">
        <f aca="false">$B$11*(D20-C20)</f>
        <v>0</v>
      </c>
      <c r="E27" s="20" t="n">
        <f aca="false">$B$11*(E20-D20)</f>
        <v>0</v>
      </c>
      <c r="F27" s="20" t="n">
        <f aca="false">$B$11*(F20-E20)</f>
        <v>0</v>
      </c>
      <c r="G27" s="20" t="n">
        <f aca="false">$B$11*(G20-F20)</f>
        <v>0</v>
      </c>
      <c r="H27" s="20" t="n">
        <f aca="false">$B$11*(H20-G20)</f>
        <v>0</v>
      </c>
      <c r="I27" s="20" t="n">
        <f aca="false">$B$11*(I20-H20)</f>
        <v>0</v>
      </c>
      <c r="J27" s="20" t="n">
        <f aca="false">$B$11*(J20-I20)</f>
        <v>0</v>
      </c>
      <c r="K27" s="20" t="n">
        <f aca="false">$B$11*(K20-J20)</f>
        <v>0</v>
      </c>
      <c r="L27" s="20" t="n">
        <f aca="false">$B$11*(L20-K20)</f>
        <v>0</v>
      </c>
    </row>
    <row r="28" customFormat="false" ht="15" hidden="false" customHeight="true" outlineLevel="0" collapsed="false">
      <c r="A28" s="1" t="s">
        <v>65</v>
      </c>
      <c r="B28" s="20" t="n">
        <f aca="false">B24-B26-B27</f>
        <v>17.3446</v>
      </c>
      <c r="C28" s="20" t="n">
        <f aca="false">C24-C26-C27</f>
        <v>17.9164</v>
      </c>
      <c r="D28" s="20" t="n">
        <f aca="false">D24-D26-D27</f>
        <v>18.9832</v>
      </c>
      <c r="E28" s="20" t="n">
        <f aca="false">E24-E26-E27</f>
        <v>20.07808</v>
      </c>
      <c r="F28" s="20" t="n">
        <f aca="false">F24-F26-F27</f>
        <v>21.2415</v>
      </c>
      <c r="G28" s="20" t="n">
        <f aca="false">G24-G26-G27</f>
        <v>21.9221819478261</v>
      </c>
      <c r="H28" s="20" t="n">
        <f aca="false">H24-H26-H27</f>
        <v>22.5913655580792</v>
      </c>
      <c r="I28" s="20" t="n">
        <f aca="false">I24-I26-I27</f>
        <v>23.2466470317352</v>
      </c>
      <c r="J28" s="20" t="n">
        <f aca="false">J24-J26-J27</f>
        <v>23.8856087458299</v>
      </c>
      <c r="K28" s="20" t="n">
        <f aca="false">K24-K26-K27</f>
        <v>24.5058335095282</v>
      </c>
      <c r="L28" s="20" t="n">
        <f aca="false">L24-L26-L27</f>
        <v>25.241008514814</v>
      </c>
    </row>
    <row r="29" customFormat="false" ht="15" hidden="false" customHeight="true" outlineLevel="0" collapsed="false">
      <c r="A29" s="1" t="s">
        <v>66</v>
      </c>
      <c r="B29" s="23" t="n">
        <f aca="false">1/(1+$B$10)^B$16</f>
        <v>0.957826285221151</v>
      </c>
      <c r="C29" s="23" t="n">
        <f aca="false">1/(1+$B$10)^C$16</f>
        <v>0.878739711212065</v>
      </c>
      <c r="D29" s="23" t="n">
        <f aca="false">1/(1+$B$10)^D$16</f>
        <v>0.806183221295473</v>
      </c>
      <c r="E29" s="23" t="n">
        <f aca="false">1/(1+$B$10)^E$16</f>
        <v>0.73961763421603</v>
      </c>
      <c r="F29" s="23" t="n">
        <f aca="false">1/(1+$B$10)^F$16</f>
        <v>0.678548288271587</v>
      </c>
      <c r="G29" s="23" t="n">
        <f aca="false">1/(1+$B$10)^G$16</f>
        <v>0.622521365386777</v>
      </c>
      <c r="H29" s="23" t="n">
        <f aca="false">1/(1+$B$10)^H$16</f>
        <v>0.571120518703465</v>
      </c>
      <c r="I29" s="23" t="n">
        <f aca="false">1/(1+$B$10)^I$16</f>
        <v>0.523963778627032</v>
      </c>
      <c r="J29" s="23" t="n">
        <f aca="false">1/(1+$B$10)^J$16</f>
        <v>0.480700714336727</v>
      </c>
      <c r="K29" s="23" t="n">
        <f aca="false">1/(1+$B$10)^K$16</f>
        <v>0.441009829666722</v>
      </c>
    </row>
    <row r="30" customFormat="false" ht="15" hidden="false" customHeight="true" outlineLevel="0" collapsed="false">
      <c r="A30" s="1" t="s">
        <v>67</v>
      </c>
      <c r="B30" s="20" t="n">
        <f aca="false">B28*B29</f>
        <v>16.6131137866468</v>
      </c>
      <c r="C30" s="20" t="n">
        <f aca="false">C28*C29</f>
        <v>15.7438521619598</v>
      </c>
      <c r="D30" s="20" t="n">
        <f aca="false">D28*D29</f>
        <v>15.3039373264962</v>
      </c>
      <c r="E30" s="20" t="n">
        <f aca="false">E28*E29</f>
        <v>14.8501020292002</v>
      </c>
      <c r="F30" s="20" t="n">
        <f aca="false">F28*F29</f>
        <v>14.4133834653209</v>
      </c>
      <c r="G30" s="20" t="n">
        <f aca="false">G28*G29</f>
        <v>13.6470266384181</v>
      </c>
      <c r="H30" s="20" t="n">
        <f aca="false">H28*H29</f>
        <v>12.9023924157498</v>
      </c>
      <c r="I30" s="20" t="n">
        <f aca="false">I28*I29</f>
        <v>12.1804010191569</v>
      </c>
      <c r="J30" s="20" t="n">
        <f aca="false">J28*J29</f>
        <v>11.481829186488</v>
      </c>
      <c r="K30" s="20" t="n">
        <f aca="false">K28*K29</f>
        <v>10.8073134618781</v>
      </c>
      <c r="L30" s="20"/>
    </row>
    <row r="31" customFormat="false" ht="15" hidden="false" customHeight="true" outlineLevel="0" collapsed="false">
      <c r="A31" s="1" t="s">
        <v>68</v>
      </c>
      <c r="B31" s="20" t="n">
        <f aca="false">L28/($B$10-L21)</f>
        <v>420.683475246901</v>
      </c>
      <c r="C31" s="1" t="str">
        <f aca="false">IF($B$10&gt;L21,"","Discount rate must exceed terminal growth")</f>
        <v/>
      </c>
    </row>
    <row r="32" customFormat="false" ht="15" hidden="false" customHeight="true" outlineLevel="0" collapsed="false">
      <c r="A32" s="1" t="s">
        <v>69</v>
      </c>
      <c r="B32" s="20" t="n">
        <f aca="false">B31/(1+$B$10)^$K$16</f>
        <v>185.52554776224</v>
      </c>
    </row>
    <row r="33" customFormat="false" ht="15" hidden="false" customHeight="true" outlineLevel="0" collapsed="false">
      <c r="A33" s="1" t="s">
        <v>70</v>
      </c>
      <c r="B33" s="20" t="n">
        <f aca="false">SUM(B30:K30)+B32+$B$7+$B$8</f>
        <v>274.978899253555</v>
      </c>
    </row>
    <row r="34" customFormat="false" ht="15" hidden="false" customHeight="true" outlineLevel="0" collapsed="false">
      <c r="A34" s="1" t="s">
        <v>71</v>
      </c>
      <c r="B34" s="24" t="n">
        <f aca="false">B33/$B$6</f>
        <v>306.352454075418</v>
      </c>
    </row>
    <row r="35" customFormat="false" ht="15" hidden="false" customHeight="true" outlineLevel="0" collapsed="false">
      <c r="A35" s="1" t="s">
        <v>72</v>
      </c>
      <c r="B35" s="7" t="n">
        <f aca="false">B34/$B$4-1</f>
        <v>-0.276429641523375</v>
      </c>
    </row>
    <row r="37" customFormat="false" ht="15" hidden="false" customHeight="true" outlineLevel="0" collapsed="false">
      <c r="A37" s="18" t="s">
        <v>73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customFormat="false" ht="15" hidden="false" customHeight="true" outlineLevel="0" collapsed="false">
      <c r="A38" s="1" t="s">
        <v>57</v>
      </c>
      <c r="B38" s="13" t="n">
        <v>463</v>
      </c>
      <c r="C38" s="13" t="n">
        <v>485</v>
      </c>
      <c r="D38" s="13" t="n">
        <v>510</v>
      </c>
      <c r="E38" s="13" t="n">
        <v>536</v>
      </c>
      <c r="F38" s="13" t="n">
        <v>563</v>
      </c>
      <c r="G38" s="20" t="n">
        <f aca="false">F38*(1+$F39+($L39-$F39)*G$17/5)</f>
        <v>590.192059701492</v>
      </c>
      <c r="H38" s="20" t="n">
        <f aca="false">G38*(1+$F39+($L39-$F39)*H$17/5)</f>
        <v>617.473026998441</v>
      </c>
      <c r="I38" s="20" t="n">
        <f aca="false">H38*(1+$F39+($L39-$F39)*I$17/5)</f>
        <v>644.734000339655</v>
      </c>
      <c r="J38" s="20" t="n">
        <f aca="false">I38*(1+$F39+($L39-$F39)*J$17/5)</f>
        <v>671.860942831558</v>
      </c>
      <c r="K38" s="20" t="n">
        <f aca="false">J38*(1+$F39+($L39-$F39)*K$17/5)</f>
        <v>698.73538054482</v>
      </c>
      <c r="L38" s="20" t="n">
        <f aca="false">K38*(1+L39)</f>
        <v>726.684795766613</v>
      </c>
    </row>
    <row r="39" customFormat="false" ht="15" hidden="false" customHeight="true" outlineLevel="0" collapsed="false">
      <c r="A39" s="1" t="s">
        <v>58</v>
      </c>
      <c r="B39" s="7" t="n">
        <f aca="false">B38/$B$12-1</f>
        <v>0.0318698462224203</v>
      </c>
      <c r="C39" s="7" t="n">
        <f aca="false">C38/B38-1</f>
        <v>0.0475161987041037</v>
      </c>
      <c r="D39" s="7" t="n">
        <f aca="false">D38/C38-1</f>
        <v>0.0515463917525774</v>
      </c>
      <c r="E39" s="7" t="n">
        <f aca="false">E38/D38-1</f>
        <v>0.0509803921568628</v>
      </c>
      <c r="F39" s="7" t="n">
        <f aca="false">F38/E38-1</f>
        <v>0.0503731343283582</v>
      </c>
      <c r="G39" s="7" t="n">
        <f aca="false">G38/F38-1</f>
        <v>0.0482985074626865</v>
      </c>
      <c r="H39" s="7" t="n">
        <f aca="false">H38/G38-1</f>
        <v>0.046223880597015</v>
      </c>
      <c r="I39" s="7" t="n">
        <f aca="false">I38/H38-1</f>
        <v>0.0441492537313433</v>
      </c>
      <c r="J39" s="7" t="n">
        <f aca="false">J38/I38-1</f>
        <v>0.0420746268656715</v>
      </c>
      <c r="K39" s="7" t="n">
        <f aca="false">K38/J38-1</f>
        <v>0.04</v>
      </c>
      <c r="L39" s="21" t="n">
        <v>0.04</v>
      </c>
    </row>
    <row r="40" customFormat="false" ht="15" hidden="false" customHeight="true" outlineLevel="0" collapsed="false">
      <c r="A40" s="1" t="s">
        <v>59</v>
      </c>
      <c r="B40" s="22" t="n">
        <v>0.06</v>
      </c>
      <c r="C40" s="22" t="n">
        <v>0.063</v>
      </c>
      <c r="D40" s="22" t="n">
        <v>0.065</v>
      </c>
      <c r="E40" s="22" t="n">
        <v>0.066</v>
      </c>
      <c r="F40" s="22" t="n">
        <v>0.067</v>
      </c>
      <c r="G40" s="7" t="n">
        <f aca="false">$F40+($L40-$F40)*G$17/5</f>
        <v>0.0666</v>
      </c>
      <c r="H40" s="7" t="n">
        <f aca="false">$F40+($L40-$F40)*H$17/5</f>
        <v>0.0662</v>
      </c>
      <c r="I40" s="7" t="n">
        <f aca="false">$F40+($L40-$F40)*I$17/5</f>
        <v>0.0658</v>
      </c>
      <c r="J40" s="7" t="n">
        <f aca="false">$F40+($L40-$F40)*J$17/5</f>
        <v>0.0654</v>
      </c>
      <c r="K40" s="7" t="n">
        <f aca="false">$F40+($L40-$F40)*K$17/5</f>
        <v>0.065</v>
      </c>
      <c r="L40" s="21" t="n">
        <v>0.065</v>
      </c>
    </row>
    <row r="41" customFormat="false" ht="15" hidden="false" customHeight="true" outlineLevel="0" collapsed="false">
      <c r="A41" s="1" t="s">
        <v>60</v>
      </c>
      <c r="B41" s="20" t="n">
        <f aca="false">B38*B40</f>
        <v>27.78</v>
      </c>
      <c r="C41" s="20" t="n">
        <f aca="false">C38*C40</f>
        <v>30.555</v>
      </c>
      <c r="D41" s="20" t="n">
        <f aca="false">D38*D40</f>
        <v>33.15</v>
      </c>
      <c r="E41" s="20" t="n">
        <f aca="false">E38*E40</f>
        <v>35.376</v>
      </c>
      <c r="F41" s="20" t="n">
        <f aca="false">F38*F40</f>
        <v>37.721</v>
      </c>
      <c r="G41" s="20" t="n">
        <f aca="false">G38*G40</f>
        <v>39.3067911761194</v>
      </c>
      <c r="H41" s="20" t="n">
        <f aca="false">H38*H40</f>
        <v>40.8767143872968</v>
      </c>
      <c r="I41" s="20" t="n">
        <f aca="false">I38*I40</f>
        <v>42.4234972223493</v>
      </c>
      <c r="J41" s="20" t="n">
        <f aca="false">J38*J40</f>
        <v>43.9397056611839</v>
      </c>
      <c r="K41" s="20" t="n">
        <f aca="false">K38*K40</f>
        <v>45.4177997354133</v>
      </c>
      <c r="L41" s="20" t="n">
        <f aca="false">L38*L40</f>
        <v>47.2345117248299</v>
      </c>
    </row>
    <row r="42" customFormat="false" ht="15" hidden="false" customHeight="true" outlineLevel="0" collapsed="false">
      <c r="A42" s="1" t="s">
        <v>61</v>
      </c>
      <c r="B42" s="20" t="n">
        <f aca="false">B41*(1-$B$9)</f>
        <v>21.6684</v>
      </c>
      <c r="C42" s="20" t="n">
        <f aca="false">C41*(1-$B$9)</f>
        <v>23.8329</v>
      </c>
      <c r="D42" s="20" t="n">
        <f aca="false">D41*(1-$B$9)</f>
        <v>25.857</v>
      </c>
      <c r="E42" s="20" t="n">
        <f aca="false">E41*(1-$B$9)</f>
        <v>27.59328</v>
      </c>
      <c r="F42" s="20" t="n">
        <f aca="false">F41*(1-$B$9)</f>
        <v>29.42238</v>
      </c>
      <c r="G42" s="20" t="n">
        <f aca="false">G41*(1-$B$9)</f>
        <v>30.6592971173731</v>
      </c>
      <c r="H42" s="20" t="n">
        <f aca="false">H41*(1-$B$9)</f>
        <v>31.8838372220915</v>
      </c>
      <c r="I42" s="20" t="n">
        <f aca="false">I41*(1-$B$9)</f>
        <v>33.0903278334325</v>
      </c>
      <c r="J42" s="20" t="n">
        <f aca="false">J41*(1-$B$9)</f>
        <v>34.2729704157234</v>
      </c>
      <c r="K42" s="20" t="n">
        <f aca="false">K41*(1-$B$9)</f>
        <v>35.4258837936224</v>
      </c>
      <c r="L42" s="20" t="n">
        <f aca="false">L41*(1-$B$9)</f>
        <v>36.8429191453673</v>
      </c>
    </row>
    <row r="43" customFormat="false" ht="15" hidden="false" customHeight="true" outlineLevel="0" collapsed="false">
      <c r="A43" s="1" t="s">
        <v>62</v>
      </c>
      <c r="B43" s="22" t="n">
        <v>0.004</v>
      </c>
      <c r="C43" s="22" t="n">
        <v>0.004</v>
      </c>
      <c r="D43" s="22" t="n">
        <v>0.004</v>
      </c>
      <c r="E43" s="22" t="n">
        <v>0.004</v>
      </c>
      <c r="F43" s="22" t="n">
        <v>0.004</v>
      </c>
      <c r="G43" s="7" t="n">
        <f aca="false">$F43+($L43-$F43)*G$17/5</f>
        <v>0.004</v>
      </c>
      <c r="H43" s="7" t="n">
        <f aca="false">$F43+($L43-$F43)*H$17/5</f>
        <v>0.004</v>
      </c>
      <c r="I43" s="7" t="n">
        <f aca="false">$F43+($L43-$F43)*I$17/5</f>
        <v>0.004</v>
      </c>
      <c r="J43" s="7" t="n">
        <f aca="false">$F43+($L43-$F43)*J$17/5</f>
        <v>0.004</v>
      </c>
      <c r="K43" s="7" t="n">
        <f aca="false">$F43+($L43-$F43)*K$17/5</f>
        <v>0.004</v>
      </c>
      <c r="L43" s="21" t="n">
        <v>0.004</v>
      </c>
    </row>
    <row r="44" customFormat="false" ht="15" hidden="false" customHeight="true" outlineLevel="0" collapsed="false">
      <c r="A44" s="1" t="s">
        <v>63</v>
      </c>
      <c r="B44" s="20" t="n">
        <f aca="false">B38*B43</f>
        <v>1.852</v>
      </c>
      <c r="C44" s="20" t="n">
        <f aca="false">C38*C43</f>
        <v>1.94</v>
      </c>
      <c r="D44" s="20" t="n">
        <f aca="false">D38*D43</f>
        <v>2.04</v>
      </c>
      <c r="E44" s="20" t="n">
        <f aca="false">E38*E43</f>
        <v>2.144</v>
      </c>
      <c r="F44" s="20" t="n">
        <f aca="false">F38*F43</f>
        <v>2.252</v>
      </c>
      <c r="G44" s="20" t="n">
        <f aca="false">G38*G43</f>
        <v>2.36076823880597</v>
      </c>
      <c r="H44" s="20" t="n">
        <f aca="false">H38*H43</f>
        <v>2.46989210799376</v>
      </c>
      <c r="I44" s="20" t="n">
        <f aca="false">I38*I43</f>
        <v>2.57893600135862</v>
      </c>
      <c r="J44" s="20" t="n">
        <f aca="false">J38*J43</f>
        <v>2.68744377132623</v>
      </c>
      <c r="K44" s="20" t="n">
        <f aca="false">K38*K43</f>
        <v>2.79494152217928</v>
      </c>
      <c r="L44" s="20" t="n">
        <f aca="false">L38*L43</f>
        <v>2.90673918306645</v>
      </c>
    </row>
    <row r="45" customFormat="false" ht="15" hidden="false" customHeight="true" outlineLevel="0" collapsed="false">
      <c r="A45" s="1" t="s">
        <v>64</v>
      </c>
      <c r="B45" s="20" t="n">
        <f aca="false">$B$11*(B38-$B$12)</f>
        <v>0</v>
      </c>
      <c r="C45" s="20" t="n">
        <f aca="false">$B$11*(C38-B38)</f>
        <v>0</v>
      </c>
      <c r="D45" s="20" t="n">
        <f aca="false">$B$11*(D38-C38)</f>
        <v>0</v>
      </c>
      <c r="E45" s="20" t="n">
        <f aca="false">$B$11*(E38-D38)</f>
        <v>0</v>
      </c>
      <c r="F45" s="20" t="n">
        <f aca="false">$B$11*(F38-E38)</f>
        <v>0</v>
      </c>
      <c r="G45" s="20" t="n">
        <f aca="false">$B$11*(G38-F38)</f>
        <v>0</v>
      </c>
      <c r="H45" s="20" t="n">
        <f aca="false">$B$11*(H38-G38)</f>
        <v>0</v>
      </c>
      <c r="I45" s="20" t="n">
        <f aca="false">$B$11*(I38-H38)</f>
        <v>0</v>
      </c>
      <c r="J45" s="20" t="n">
        <f aca="false">$B$11*(J38-I38)</f>
        <v>0</v>
      </c>
      <c r="K45" s="20" t="n">
        <f aca="false">$B$11*(K38-J38)</f>
        <v>0</v>
      </c>
      <c r="L45" s="20" t="n">
        <f aca="false">$B$11*(L38-K38)</f>
        <v>0</v>
      </c>
    </row>
    <row r="46" customFormat="false" ht="15" hidden="false" customHeight="true" outlineLevel="0" collapsed="false">
      <c r="A46" s="1" t="s">
        <v>65</v>
      </c>
      <c r="B46" s="20" t="n">
        <f aca="false">B42-B44-B45</f>
        <v>19.8164</v>
      </c>
      <c r="C46" s="20" t="n">
        <f aca="false">C42-C44-C45</f>
        <v>21.8929</v>
      </c>
      <c r="D46" s="20" t="n">
        <f aca="false">D42-D44-D45</f>
        <v>23.817</v>
      </c>
      <c r="E46" s="20" t="n">
        <f aca="false">E42-E44-E45</f>
        <v>25.44928</v>
      </c>
      <c r="F46" s="20" t="n">
        <f aca="false">F42-F44-F45</f>
        <v>27.17038</v>
      </c>
      <c r="G46" s="20" t="n">
        <f aca="false">G42-G44-G45</f>
        <v>28.2985288785672</v>
      </c>
      <c r="H46" s="20" t="n">
        <f aca="false">H42-H44-H45</f>
        <v>29.4139451140977</v>
      </c>
      <c r="I46" s="20" t="n">
        <f aca="false">I42-I44-I45</f>
        <v>30.5113918320738</v>
      </c>
      <c r="J46" s="20" t="n">
        <f aca="false">J42-J44-J45</f>
        <v>31.5855266443972</v>
      </c>
      <c r="K46" s="20" t="n">
        <f aca="false">K42-K44-K45</f>
        <v>32.6309422714431</v>
      </c>
      <c r="L46" s="20" t="n">
        <f aca="false">L42-L44-L45</f>
        <v>33.9361799623008</v>
      </c>
    </row>
    <row r="47" customFormat="false" ht="15" hidden="false" customHeight="true" outlineLevel="0" collapsed="false">
      <c r="A47" s="1" t="s">
        <v>66</v>
      </c>
      <c r="B47" s="23" t="n">
        <f aca="false">1/(1+$B$10)^B$16</f>
        <v>0.957826285221151</v>
      </c>
      <c r="C47" s="23" t="n">
        <f aca="false">1/(1+$B$10)^C$16</f>
        <v>0.878739711212065</v>
      </c>
      <c r="D47" s="23" t="n">
        <f aca="false">1/(1+$B$10)^D$16</f>
        <v>0.806183221295473</v>
      </c>
      <c r="E47" s="23" t="n">
        <f aca="false">1/(1+$B$10)^E$16</f>
        <v>0.73961763421603</v>
      </c>
      <c r="F47" s="23" t="n">
        <f aca="false">1/(1+$B$10)^F$16</f>
        <v>0.678548288271587</v>
      </c>
      <c r="G47" s="23" t="n">
        <f aca="false">1/(1+$B$10)^G$16</f>
        <v>0.622521365386777</v>
      </c>
      <c r="H47" s="23" t="n">
        <f aca="false">1/(1+$B$10)^H$16</f>
        <v>0.571120518703465</v>
      </c>
      <c r="I47" s="23" t="n">
        <f aca="false">1/(1+$B$10)^I$16</f>
        <v>0.523963778627032</v>
      </c>
      <c r="J47" s="23" t="n">
        <f aca="false">1/(1+$B$10)^J$16</f>
        <v>0.480700714336727</v>
      </c>
      <c r="K47" s="23" t="n">
        <f aca="false">1/(1+$B$10)^K$16</f>
        <v>0.441009829666722</v>
      </c>
    </row>
    <row r="48" customFormat="false" ht="15" hidden="false" customHeight="true" outlineLevel="0" collapsed="false">
      <c r="A48" s="1" t="s">
        <v>67</v>
      </c>
      <c r="B48" s="20" t="n">
        <f aca="false">B46*B47</f>
        <v>18.9806687984564</v>
      </c>
      <c r="C48" s="20" t="n">
        <f aca="false">C46*C47</f>
        <v>19.2381606235946</v>
      </c>
      <c r="D48" s="20" t="n">
        <f aca="false">D46*D47</f>
        <v>19.2008657815943</v>
      </c>
      <c r="E48" s="20" t="n">
        <f aca="false">E46*E47</f>
        <v>18.8227362661013</v>
      </c>
      <c r="F48" s="20" t="n">
        <f aca="false">F46*F47</f>
        <v>18.4364148406886</v>
      </c>
      <c r="G48" s="20" t="n">
        <f aca="false">G46*G47</f>
        <v>17.6164388359228</v>
      </c>
      <c r="H48" s="20" t="n">
        <f aca="false">H46*H47</f>
        <v>16.7989075906788</v>
      </c>
      <c r="I48" s="20" t="n">
        <f aca="false">I46*I47</f>
        <v>15.9868641555034</v>
      </c>
      <c r="J48" s="20" t="n">
        <f aca="false">J46*J47</f>
        <v>15.1831852206635</v>
      </c>
      <c r="K48" s="20" t="n">
        <f aca="false">K46*K47</f>
        <v>14.3905662929938</v>
      </c>
      <c r="L48" s="20"/>
    </row>
    <row r="49" customFormat="false" ht="15" hidden="false" customHeight="true" outlineLevel="0" collapsed="false">
      <c r="A49" s="1" t="s">
        <v>68</v>
      </c>
      <c r="B49" s="20" t="n">
        <f aca="false">L46/($B$10-L39)</f>
        <v>678.723599246017</v>
      </c>
      <c r="C49" s="1" t="str">
        <f aca="false">IF($B$10&gt;L39,"","Discount rate must exceed terminal growth")</f>
        <v/>
      </c>
    </row>
    <row r="50" customFormat="false" ht="15" hidden="false" customHeight="true" outlineLevel="0" collapsed="false">
      <c r="A50" s="1" t="s">
        <v>69</v>
      </c>
      <c r="B50" s="20" t="n">
        <f aca="false">B49/(1+$B$10)^$K$16</f>
        <v>299.32377889427</v>
      </c>
    </row>
    <row r="51" customFormat="false" ht="15" hidden="false" customHeight="true" outlineLevel="0" collapsed="false">
      <c r="A51" s="1" t="s">
        <v>70</v>
      </c>
      <c r="B51" s="20" t="n">
        <f aca="false">SUM(B48:K48)+B50+$B$7+$B$8</f>
        <v>425.488587300468</v>
      </c>
    </row>
    <row r="52" customFormat="false" ht="15" hidden="false" customHeight="true" outlineLevel="0" collapsed="false">
      <c r="A52" s="1" t="s">
        <v>71</v>
      </c>
      <c r="B52" s="24" t="n">
        <f aca="false">B51/$B$6</f>
        <v>474.034455932517</v>
      </c>
    </row>
    <row r="53" customFormat="false" ht="15" hidden="false" customHeight="true" outlineLevel="0" collapsed="false">
      <c r="A53" s="1" t="s">
        <v>72</v>
      </c>
      <c r="B53" s="7" t="n">
        <f aca="false">B52/$B$4-1</f>
        <v>0.119616561403237</v>
      </c>
    </row>
    <row r="55" customFormat="false" ht="15" hidden="false" customHeight="true" outlineLevel="0" collapsed="false">
      <c r="A55" s="18" t="s">
        <v>74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customFormat="false" ht="15" hidden="false" customHeight="true" outlineLevel="0" collapsed="false">
      <c r="A56" s="1" t="s">
        <v>57</v>
      </c>
      <c r="B56" s="13" t="n">
        <v>466</v>
      </c>
      <c r="C56" s="13" t="n">
        <v>495</v>
      </c>
      <c r="D56" s="13" t="n">
        <v>528</v>
      </c>
      <c r="E56" s="13" t="n">
        <v>563</v>
      </c>
      <c r="F56" s="13" t="n">
        <v>600</v>
      </c>
      <c r="G56" s="20" t="n">
        <f aca="false">F56*(1+$F57+($L57-$F57)*G$17/5)</f>
        <v>636.945293072824</v>
      </c>
      <c r="H56" s="20" t="n">
        <f aca="false">G56*(1+$F57+($L57-$F57)*H$17/5)</f>
        <v>673.526090774808</v>
      </c>
      <c r="I56" s="20" t="n">
        <f aca="false">H56*(1+$F57+($L57-$F57)*I$17/5)</f>
        <v>709.416776830465</v>
      </c>
      <c r="J56" s="20" t="n">
        <f aca="false">I56*(1+$F57+($L57-$F57)*J$17/5)</f>
        <v>744.280264186318</v>
      </c>
      <c r="K56" s="20" t="n">
        <f aca="false">J56*(1+$F57+($L57-$F57)*K$17/5)</f>
        <v>777.772876074702</v>
      </c>
      <c r="L56" s="20" t="n">
        <f aca="false">K56*(1+L57)</f>
        <v>812.772655498064</v>
      </c>
    </row>
    <row r="57" customFormat="false" ht="15" hidden="false" customHeight="true" outlineLevel="0" collapsed="false">
      <c r="A57" s="1" t="s">
        <v>58</v>
      </c>
      <c r="B57" s="7" t="n">
        <f aca="false">B56/$B$12-1</f>
        <v>0.0385558279474036</v>
      </c>
      <c r="C57" s="7" t="n">
        <f aca="false">C56/B56-1</f>
        <v>0.0622317596566524</v>
      </c>
      <c r="D57" s="7" t="n">
        <f aca="false">D56/C56-1</f>
        <v>0.0666666666666667</v>
      </c>
      <c r="E57" s="7" t="n">
        <f aca="false">E56/D56-1</f>
        <v>0.0662878787878789</v>
      </c>
      <c r="F57" s="7" t="n">
        <f aca="false">F56/E56-1</f>
        <v>0.0657193605683837</v>
      </c>
      <c r="G57" s="7" t="n">
        <f aca="false">G56/F56-1</f>
        <v>0.0615754884547068</v>
      </c>
      <c r="H57" s="7" t="n">
        <f aca="false">H56/G56-1</f>
        <v>0.0574316163410302</v>
      </c>
      <c r="I57" s="7" t="n">
        <f aca="false">I56/H56-1</f>
        <v>0.0532877442273534</v>
      </c>
      <c r="J57" s="7" t="n">
        <f aca="false">J56/I56-1</f>
        <v>0.0491438721136768</v>
      </c>
      <c r="K57" s="7" t="n">
        <f aca="false">K56/J56-1</f>
        <v>0.0449999999999999</v>
      </c>
      <c r="L57" s="21" t="n">
        <v>0.045</v>
      </c>
    </row>
    <row r="58" customFormat="false" ht="15" hidden="false" customHeight="true" outlineLevel="0" collapsed="false">
      <c r="A58" s="1" t="s">
        <v>59</v>
      </c>
      <c r="B58" s="22" t="n">
        <v>0.062</v>
      </c>
      <c r="C58" s="22" t="n">
        <v>0.068</v>
      </c>
      <c r="D58" s="22" t="n">
        <v>0.074</v>
      </c>
      <c r="E58" s="22" t="n">
        <v>0.078</v>
      </c>
      <c r="F58" s="22" t="n">
        <v>0.08</v>
      </c>
      <c r="G58" s="7" t="n">
        <f aca="false">$F58+($L58-$F58)*G$17/5</f>
        <v>0.0796</v>
      </c>
      <c r="H58" s="7" t="n">
        <f aca="false">$F58+($L58-$F58)*H$17/5</f>
        <v>0.0792</v>
      </c>
      <c r="I58" s="7" t="n">
        <f aca="false">$F58+($L58-$F58)*I$17/5</f>
        <v>0.0788</v>
      </c>
      <c r="J58" s="7" t="n">
        <f aca="false">$F58+($L58-$F58)*J$17/5</f>
        <v>0.0784</v>
      </c>
      <c r="K58" s="7" t="n">
        <f aca="false">$F58+($L58-$F58)*K$17/5</f>
        <v>0.078</v>
      </c>
      <c r="L58" s="21" t="n">
        <v>0.078</v>
      </c>
    </row>
    <row r="59" customFormat="false" ht="15" hidden="false" customHeight="true" outlineLevel="0" collapsed="false">
      <c r="A59" s="1" t="s">
        <v>60</v>
      </c>
      <c r="B59" s="20" t="n">
        <f aca="false">B56*B58</f>
        <v>28.892</v>
      </c>
      <c r="C59" s="20" t="n">
        <f aca="false">C56*C58</f>
        <v>33.66</v>
      </c>
      <c r="D59" s="20" t="n">
        <f aca="false">D56*D58</f>
        <v>39.072</v>
      </c>
      <c r="E59" s="20" t="n">
        <f aca="false">E56*E58</f>
        <v>43.914</v>
      </c>
      <c r="F59" s="20" t="n">
        <f aca="false">F56*F58</f>
        <v>48</v>
      </c>
      <c r="G59" s="20" t="n">
        <f aca="false">G56*G58</f>
        <v>50.7008453285968</v>
      </c>
      <c r="H59" s="20" t="n">
        <f aca="false">H56*H58</f>
        <v>53.3432663893648</v>
      </c>
      <c r="I59" s="20" t="n">
        <f aca="false">I56*I58</f>
        <v>55.9020420142406</v>
      </c>
      <c r="J59" s="20" t="n">
        <f aca="false">J56*J58</f>
        <v>58.3515727122073</v>
      </c>
      <c r="K59" s="20" t="n">
        <f aca="false">K56*K58</f>
        <v>60.6662843338268</v>
      </c>
      <c r="L59" s="20" t="n">
        <f aca="false">L56*L58</f>
        <v>63.396267128849</v>
      </c>
    </row>
    <row r="60" customFormat="false" ht="15" hidden="false" customHeight="true" outlineLevel="0" collapsed="false">
      <c r="A60" s="1" t="s">
        <v>61</v>
      </c>
      <c r="B60" s="20" t="n">
        <f aca="false">B59*(1-$B$9)</f>
        <v>22.53576</v>
      </c>
      <c r="C60" s="20" t="n">
        <f aca="false">C59*(1-$B$9)</f>
        <v>26.2548</v>
      </c>
      <c r="D60" s="20" t="n">
        <f aca="false">D59*(1-$B$9)</f>
        <v>30.47616</v>
      </c>
      <c r="E60" s="20" t="n">
        <f aca="false">E59*(1-$B$9)</f>
        <v>34.25292</v>
      </c>
      <c r="F60" s="20" t="n">
        <f aca="false">F59*(1-$B$9)</f>
        <v>37.44</v>
      </c>
      <c r="G60" s="20" t="n">
        <f aca="false">G59*(1-$B$9)</f>
        <v>39.5466593563055</v>
      </c>
      <c r="H60" s="20" t="n">
        <f aca="false">H59*(1-$B$9)</f>
        <v>41.6077477837045</v>
      </c>
      <c r="I60" s="20" t="n">
        <f aca="false">I59*(1-$B$9)</f>
        <v>43.6035927711077</v>
      </c>
      <c r="J60" s="20" t="n">
        <f aca="false">J59*(1-$B$9)</f>
        <v>45.5142267155217</v>
      </c>
      <c r="K60" s="20" t="n">
        <f aca="false">K59*(1-$B$9)</f>
        <v>47.3197017803849</v>
      </c>
      <c r="L60" s="20" t="n">
        <f aca="false">L59*(1-$B$9)</f>
        <v>49.4490883605022</v>
      </c>
    </row>
    <row r="61" customFormat="false" ht="15" hidden="false" customHeight="true" outlineLevel="0" collapsed="false">
      <c r="A61" s="1" t="s">
        <v>62</v>
      </c>
      <c r="B61" s="22" t="n">
        <v>0.004</v>
      </c>
      <c r="C61" s="22" t="n">
        <v>0.004</v>
      </c>
      <c r="D61" s="22" t="n">
        <v>0.004</v>
      </c>
      <c r="E61" s="22" t="n">
        <v>0.004</v>
      </c>
      <c r="F61" s="22" t="n">
        <v>0.004</v>
      </c>
      <c r="G61" s="7" t="n">
        <f aca="false">$F61+($L61-$F61)*G$17/5</f>
        <v>0.004</v>
      </c>
      <c r="H61" s="7" t="n">
        <f aca="false">$F61+($L61-$F61)*H$17/5</f>
        <v>0.004</v>
      </c>
      <c r="I61" s="7" t="n">
        <f aca="false">$F61+($L61-$F61)*I$17/5</f>
        <v>0.004</v>
      </c>
      <c r="J61" s="7" t="n">
        <f aca="false">$F61+($L61-$F61)*J$17/5</f>
        <v>0.004</v>
      </c>
      <c r="K61" s="7" t="n">
        <f aca="false">$F61+($L61-$F61)*K$17/5</f>
        <v>0.004</v>
      </c>
      <c r="L61" s="21" t="n">
        <v>0.004</v>
      </c>
    </row>
    <row r="62" customFormat="false" ht="15" hidden="false" customHeight="true" outlineLevel="0" collapsed="false">
      <c r="A62" s="1" t="s">
        <v>63</v>
      </c>
      <c r="B62" s="20" t="n">
        <f aca="false">B56*B61</f>
        <v>1.864</v>
      </c>
      <c r="C62" s="20" t="n">
        <f aca="false">C56*C61</f>
        <v>1.98</v>
      </c>
      <c r="D62" s="20" t="n">
        <f aca="false">D56*D61</f>
        <v>2.112</v>
      </c>
      <c r="E62" s="20" t="n">
        <f aca="false">E56*E61</f>
        <v>2.252</v>
      </c>
      <c r="F62" s="20" t="n">
        <f aca="false">F56*F61</f>
        <v>2.4</v>
      </c>
      <c r="G62" s="20" t="n">
        <f aca="false">G56*G61</f>
        <v>2.5477811722913</v>
      </c>
      <c r="H62" s="20" t="n">
        <f aca="false">H56*H61</f>
        <v>2.69410436309923</v>
      </c>
      <c r="I62" s="20" t="n">
        <f aca="false">I56*I61</f>
        <v>2.83766710732186</v>
      </c>
      <c r="J62" s="20" t="n">
        <f aca="false">J56*J61</f>
        <v>2.97712105674527</v>
      </c>
      <c r="K62" s="20" t="n">
        <f aca="false">K56*K61</f>
        <v>3.11109150429881</v>
      </c>
      <c r="L62" s="20" t="n">
        <f aca="false">L56*L61</f>
        <v>3.25109062199226</v>
      </c>
    </row>
    <row r="63" customFormat="false" ht="15" hidden="false" customHeight="true" outlineLevel="0" collapsed="false">
      <c r="A63" s="1" t="s">
        <v>64</v>
      </c>
      <c r="B63" s="20" t="n">
        <f aca="false">$B$11*(B56-$B$12)</f>
        <v>0</v>
      </c>
      <c r="C63" s="20" t="n">
        <f aca="false">$B$11*(C56-B56)</f>
        <v>0</v>
      </c>
      <c r="D63" s="20" t="n">
        <f aca="false">$B$11*(D56-C56)</f>
        <v>0</v>
      </c>
      <c r="E63" s="20" t="n">
        <f aca="false">$B$11*(E56-D56)</f>
        <v>0</v>
      </c>
      <c r="F63" s="20" t="n">
        <f aca="false">$B$11*(F56-E56)</f>
        <v>0</v>
      </c>
      <c r="G63" s="20" t="n">
        <f aca="false">$B$11*(G56-F56)</f>
        <v>0</v>
      </c>
      <c r="H63" s="20" t="n">
        <f aca="false">$B$11*(H56-G56)</f>
        <v>0</v>
      </c>
      <c r="I63" s="20" t="n">
        <f aca="false">$B$11*(I56-H56)</f>
        <v>0</v>
      </c>
      <c r="J63" s="20" t="n">
        <f aca="false">$B$11*(J56-I56)</f>
        <v>0</v>
      </c>
      <c r="K63" s="20" t="n">
        <f aca="false">$B$11*(K56-J56)</f>
        <v>0</v>
      </c>
      <c r="L63" s="20" t="n">
        <f aca="false">$B$11*(L56-K56)</f>
        <v>0</v>
      </c>
    </row>
    <row r="64" customFormat="false" ht="15" hidden="false" customHeight="true" outlineLevel="0" collapsed="false">
      <c r="A64" s="1" t="s">
        <v>65</v>
      </c>
      <c r="B64" s="20" t="n">
        <f aca="false">B60-B62-B63</f>
        <v>20.67176</v>
      </c>
      <c r="C64" s="20" t="n">
        <f aca="false">C60-C62-C63</f>
        <v>24.2748</v>
      </c>
      <c r="D64" s="20" t="n">
        <f aca="false">D60-D62-D63</f>
        <v>28.36416</v>
      </c>
      <c r="E64" s="20" t="n">
        <f aca="false">E60-E62-E63</f>
        <v>32.00092</v>
      </c>
      <c r="F64" s="20" t="n">
        <f aca="false">F60-F62-F63</f>
        <v>35.04</v>
      </c>
      <c r="G64" s="20" t="n">
        <f aca="false">G60-G62-G63</f>
        <v>36.9988781840142</v>
      </c>
      <c r="H64" s="20" t="n">
        <f aca="false">H60-H62-H63</f>
        <v>38.9136434206053</v>
      </c>
      <c r="I64" s="20" t="n">
        <f aca="false">I60-I62-I63</f>
        <v>40.7659256637858</v>
      </c>
      <c r="J64" s="20" t="n">
        <f aca="false">J60-J62-J63</f>
        <v>42.5371056587764</v>
      </c>
      <c r="K64" s="20" t="n">
        <f aca="false">K60-K62-K63</f>
        <v>44.2086102760861</v>
      </c>
      <c r="L64" s="20" t="n">
        <f aca="false">L60-L62-L63</f>
        <v>46.1979977385099</v>
      </c>
    </row>
    <row r="65" customFormat="false" ht="15" hidden="false" customHeight="true" outlineLevel="0" collapsed="false">
      <c r="A65" s="1" t="s">
        <v>66</v>
      </c>
      <c r="B65" s="23" t="n">
        <f aca="false">1/(1+$B$10)^B$16</f>
        <v>0.957826285221151</v>
      </c>
      <c r="C65" s="23" t="n">
        <f aca="false">1/(1+$B$10)^C$16</f>
        <v>0.878739711212065</v>
      </c>
      <c r="D65" s="23" t="n">
        <f aca="false">1/(1+$B$10)^D$16</f>
        <v>0.806183221295473</v>
      </c>
      <c r="E65" s="23" t="n">
        <f aca="false">1/(1+$B$10)^E$16</f>
        <v>0.73961763421603</v>
      </c>
      <c r="F65" s="23" t="n">
        <f aca="false">1/(1+$B$10)^F$16</f>
        <v>0.678548288271587</v>
      </c>
      <c r="G65" s="23" t="n">
        <f aca="false">1/(1+$B$10)^G$16</f>
        <v>0.622521365386777</v>
      </c>
      <c r="H65" s="23" t="n">
        <f aca="false">1/(1+$B$10)^H$16</f>
        <v>0.571120518703465</v>
      </c>
      <c r="I65" s="23" t="n">
        <f aca="false">1/(1+$B$10)^I$16</f>
        <v>0.523963778627032</v>
      </c>
      <c r="J65" s="23" t="n">
        <f aca="false">1/(1+$B$10)^J$16</f>
        <v>0.480700714336727</v>
      </c>
      <c r="K65" s="23" t="n">
        <f aca="false">1/(1+$B$10)^K$16</f>
        <v>0.441009829666722</v>
      </c>
    </row>
    <row r="66" customFormat="false" ht="15" hidden="false" customHeight="true" outlineLevel="0" collapsed="false">
      <c r="A66" s="1" t="s">
        <v>67</v>
      </c>
      <c r="B66" s="20" t="n">
        <f aca="false">B64*B65</f>
        <v>19.7999550897832</v>
      </c>
      <c r="C66" s="20" t="n">
        <f aca="false">C64*C65</f>
        <v>21.3312307417306</v>
      </c>
      <c r="D66" s="20" t="n">
        <f aca="false">D64*D65</f>
        <v>22.8667098781402</v>
      </c>
      <c r="E66" s="20" t="n">
        <f aca="false">E64*E65</f>
        <v>23.6684447431364</v>
      </c>
      <c r="F66" s="20" t="n">
        <f aca="false">F64*F65</f>
        <v>23.7763320210364</v>
      </c>
      <c r="G66" s="20" t="n">
        <f aca="false">G64*G65</f>
        <v>23.0325921648916</v>
      </c>
      <c r="H66" s="20" t="n">
        <f aca="false">H64*H65</f>
        <v>22.2243802150178</v>
      </c>
      <c r="I66" s="20" t="n">
        <f aca="false">I64*I65</f>
        <v>21.3598684500259</v>
      </c>
      <c r="J66" s="20" t="n">
        <f aca="false">J64*J65</f>
        <v>20.4476170759907</v>
      </c>
      <c r="K66" s="20" t="n">
        <f aca="false">K64*K65</f>
        <v>19.4964316876592</v>
      </c>
      <c r="L66" s="20"/>
    </row>
    <row r="67" customFormat="false" ht="15" hidden="false" customHeight="true" outlineLevel="0" collapsed="false">
      <c r="A67" s="1" t="s">
        <v>68</v>
      </c>
      <c r="B67" s="20" t="n">
        <f aca="false">L64/($B$10-L57)</f>
        <v>1026.62217196689</v>
      </c>
      <c r="C67" s="1" t="str">
        <f aca="false">IF($B$10&gt;L57,"","Discount rate must exceed terminal growth")</f>
        <v/>
      </c>
    </row>
    <row r="68" customFormat="false" ht="15" hidden="false" customHeight="true" outlineLevel="0" collapsed="false">
      <c r="A68" s="1" t="s">
        <v>69</v>
      </c>
      <c r="B68" s="20" t="n">
        <f aca="false">B67/(1+$B$10)^$K$16</f>
        <v>452.750469191197</v>
      </c>
    </row>
    <row r="69" customFormat="false" ht="15" hidden="false" customHeight="true" outlineLevel="0" collapsed="false">
      <c r="A69" s="1" t="s">
        <v>70</v>
      </c>
      <c r="B69" s="20" t="n">
        <f aca="false">SUM(B66:K66)+B68+$B$7+$B$8</f>
        <v>622.264031258609</v>
      </c>
    </row>
    <row r="70" customFormat="false" ht="15" hidden="false" customHeight="true" outlineLevel="0" collapsed="false">
      <c r="A70" s="1" t="s">
        <v>71</v>
      </c>
      <c r="B70" s="24" t="n">
        <f aca="false">B69/$B$6</f>
        <v>693.260877748871</v>
      </c>
    </row>
    <row r="71" customFormat="false" ht="15" hidden="false" customHeight="true" outlineLevel="0" collapsed="false">
      <c r="A71" s="1" t="s">
        <v>72</v>
      </c>
      <c r="B71" s="7" t="n">
        <f aca="false">B70/$B$4-1</f>
        <v>0.637404940477742</v>
      </c>
    </row>
    <row r="74" customFormat="false" ht="15" hidden="false" customHeight="true" outlineLevel="0" collapsed="false">
      <c r="A74" s="18" t="s">
        <v>75</v>
      </c>
      <c r="B74" s="19"/>
      <c r="C74" s="18" t="s">
        <v>76</v>
      </c>
      <c r="D74" s="19"/>
      <c r="E74" s="19"/>
      <c r="F74" s="19"/>
      <c r="G74" s="19"/>
      <c r="H74" s="19"/>
      <c r="I74" s="19"/>
      <c r="J74" s="19"/>
      <c r="K74" s="19"/>
      <c r="L74" s="19"/>
    </row>
    <row r="75" customFormat="false" ht="15" hidden="false" customHeight="true" outlineLevel="0" collapsed="false">
      <c r="A75" s="1" t="s">
        <v>77</v>
      </c>
      <c r="B75" s="8" t="n">
        <f aca="false">B34</f>
        <v>306.352454075418</v>
      </c>
      <c r="C75" s="7" t="n">
        <f aca="false">B75/$B$4-1</f>
        <v>-0.276429641523375</v>
      </c>
    </row>
    <row r="76" customFormat="false" ht="15" hidden="false" customHeight="true" outlineLevel="0" collapsed="false">
      <c r="A76" s="1" t="s">
        <v>78</v>
      </c>
      <c r="B76" s="8" t="n">
        <f aca="false">B52</f>
        <v>474.034455932517</v>
      </c>
      <c r="C76" s="7" t="n">
        <f aca="false">B76/$B$4-1</f>
        <v>0.119616561403237</v>
      </c>
    </row>
    <row r="77" customFormat="false" ht="15" hidden="false" customHeight="true" outlineLevel="0" collapsed="false">
      <c r="A77" s="1" t="s">
        <v>79</v>
      </c>
      <c r="B77" s="8" t="n">
        <f aca="false">B70</f>
        <v>693.260877748871</v>
      </c>
      <c r="C77" s="7" t="n">
        <f aca="false">B77/$B$4-1</f>
        <v>0.637404940477742</v>
      </c>
    </row>
    <row r="78" customFormat="false" ht="15" hidden="false" customHeight="true" outlineLevel="0" collapsed="false">
      <c r="A78" s="1" t="s">
        <v>80</v>
      </c>
      <c r="B78" s="8" t="n">
        <f aca="false">INDEX(B34:B70,1+($B$13-1)*18)</f>
        <v>474.034455932517</v>
      </c>
      <c r="C78" s="7" t="n">
        <f aca="false">B78/$B$4-1</f>
        <v>0.119616561403237</v>
      </c>
    </row>
    <row r="79" customFormat="false" ht="15" hidden="false" customHeight="true" outlineLevel="0" collapsed="false">
      <c r="A79" s="1" t="s">
        <v>81</v>
      </c>
      <c r="B79" s="25" t="n">
        <f aca="false">B50/(SUM(B48:K48)+B50)</f>
        <v>0.631513293879078</v>
      </c>
    </row>
    <row r="81" customFormat="false" ht="15" hidden="false" customHeight="true" outlineLevel="0" collapsed="false">
      <c r="A81" s="9" t="s">
        <v>82</v>
      </c>
    </row>
    <row r="82" customFormat="false" ht="15" hidden="false" customHeight="true" outlineLevel="0" collapsed="false">
      <c r="A82" s="1" t="s">
        <v>5</v>
      </c>
      <c r="B82" s="14" t="n">
        <v>0.05</v>
      </c>
      <c r="C82" s="14" t="n">
        <v>0.06</v>
      </c>
      <c r="D82" s="14" t="n">
        <v>0.07</v>
      </c>
      <c r="E82" s="14" t="n">
        <v>0.08</v>
      </c>
      <c r="F82" s="14" t="n">
        <v>0.09</v>
      </c>
      <c r="G82" s="14" t="n">
        <v>0.1</v>
      </c>
      <c r="H82" s="14" t="n">
        <v>0.11</v>
      </c>
      <c r="I82" s="14" t="n">
        <v>0.12</v>
      </c>
      <c r="J82" s="14" t="n">
        <v>0.13</v>
      </c>
      <c r="K82" s="14" t="n">
        <v>0.14</v>
      </c>
    </row>
    <row r="83" customFormat="false" ht="15" hidden="false" customHeight="true" outlineLevel="0" collapsed="false">
      <c r="A83" s="1" t="s">
        <v>78</v>
      </c>
      <c r="B83" s="8" t="n">
        <f aca="false">IF(B82&gt;$L39,(SUMPRODUCT($B46:$K46/(1+B82)^$B$16:$K$16)+$L46/(B82-$L39)/(1+B82)^$K$16+$B$7+$B$8)/$B$6,"n/a")</f>
        <v>2557.95415271465</v>
      </c>
      <c r="C83" s="8" t="n">
        <f aca="false">IF(C82&gt;$L39,(SUMPRODUCT($B46:$K46/(1+C82)^$B$16:$K$16)+$L46/(C82-$L39)/(1+C82)^$K$16+$B$7+$B$8)/$B$6,"n/a")</f>
        <v>1255.54011693452</v>
      </c>
      <c r="D83" s="8" t="n">
        <f aca="false">IF(D82&gt;$L39,(SUMPRODUCT($B46:$K46/(1+D82)^$B$16:$K$16)+$L46/(D82-$L39)/(1+D82)^$K$16+$B$7+$B$8)/$B$6,"n/a")</f>
        <v>821.384128538646</v>
      </c>
      <c r="E83" s="8" t="n">
        <f aca="false">IF(E82&gt;$L39,(SUMPRODUCT($B46:$K46/(1+E82)^$B$16:$K$16)+$L46/(E82-$L39)/(1+E82)^$K$16+$B$7+$B$8)/$B$6,"n/a")</f>
        <v>604.295066168371</v>
      </c>
      <c r="F83" s="8" t="n">
        <f aca="false">IF(F82&gt;$L39,(SUMPRODUCT($B46:$K46/(1+F82)^$B$16:$K$16)+$L46/(F82-$L39)/(1+F82)^$K$16+$B$7+$B$8)/$B$6,"n/a")</f>
        <v>474.034455932517</v>
      </c>
      <c r="G83" s="8" t="n">
        <f aca="false">IF(G82&gt;$L39,(SUMPRODUCT($B46:$K46/(1+G82)^$B$16:$K$16)+$L46/(G82-$L39)/(1+G82)^$K$16+$B$7+$B$8)/$B$6,"n/a")</f>
        <v>387.189290094856</v>
      </c>
      <c r="H83" s="8" t="n">
        <f aca="false">IF(H82&gt;$L39,(SUMPRODUCT($B46:$K46/(1+H82)^$B$16:$K$16)+$L46/(H82-$L39)/(1+H82)^$K$16+$B$7+$B$8)/$B$6,"n/a")</f>
        <v>325.15385572582</v>
      </c>
      <c r="I83" s="8" t="n">
        <f aca="false">IF(I82&gt;$L39,(SUMPRODUCT($B46:$K46/(1+I82)^$B$16:$K$16)+$L46/(I82-$L39)/(1+I82)^$K$16+$B$7+$B$8)/$B$6,"n/a")</f>
        <v>278.6251898855</v>
      </c>
      <c r="J83" s="8" t="n">
        <f aca="false">IF(J82&gt;$L39,(SUMPRODUCT($B46:$K46/(1+J82)^$B$16:$K$16)+$L46/(J82-$L39)/(1+J82)^$K$16+$B$7+$B$8)/$B$6,"n/a")</f>
        <v>242.43489647849</v>
      </c>
      <c r="K83" s="8" t="n">
        <f aca="false">IF(K82&gt;$L39,(SUMPRODUCT($B46:$K46/(1+K82)^$B$16:$K$16)+$L46/(K82-$L39)/(1+K82)^$K$16+$B$7+$B$8)/$B$6,"n/a")</f>
        <v>213.48187178261</v>
      </c>
    </row>
    <row r="84" customFormat="false" ht="15" hidden="false" customHeight="true" outlineLevel="0" collapsed="false">
      <c r="A84" s="1" t="s">
        <v>83</v>
      </c>
      <c r="B84" s="7" t="n">
        <f aca="false">IFERROR(B83/$B$4-1,"n/a")</f>
        <v>5.04160266589823</v>
      </c>
      <c r="C84" s="7" t="n">
        <f aca="false">IFERROR(C83/$B$4-1,"n/a")</f>
        <v>1.96544584646431</v>
      </c>
      <c r="D84" s="7" t="n">
        <f aca="false">IFERROR(D83/$B$4-1,"n/a")</f>
        <v>0.940017781569347</v>
      </c>
      <c r="E84" s="7" t="n">
        <f aca="false">IFERROR(E83/$B$4-1,"n/a")</f>
        <v>0.427277607332179</v>
      </c>
      <c r="F84" s="7" t="n">
        <f aca="false">IFERROR(F83/$B$4-1,"n/a")</f>
        <v>0.119616561403237</v>
      </c>
      <c r="G84" s="7" t="n">
        <f aca="false">IFERROR(G83/$B$4-1,"n/a")</f>
        <v>-0.0855020428095707</v>
      </c>
      <c r="H84" s="7" t="n">
        <f aca="false">IFERROR(H83/$B$4-1,"n/a")</f>
        <v>-0.232022825938686</v>
      </c>
      <c r="I84" s="7" t="n">
        <f aca="false">IFERROR(I83/$B$4-1,"n/a")</f>
        <v>-0.341918349782705</v>
      </c>
      <c r="J84" s="7" t="n">
        <f aca="false">IFERROR(J83/$B$4-1,"n/a")</f>
        <v>-0.427395789984436</v>
      </c>
      <c r="K84" s="7" t="n">
        <f aca="false">IFERROR(K83/$B$4-1,"n/a")</f>
        <v>-0.495779607967571</v>
      </c>
    </row>
    <row r="86" customFormat="false" ht="15" hidden="false" customHeight="true" outlineLevel="0" collapsed="false">
      <c r="A86" s="9" t="s">
        <v>84</v>
      </c>
      <c r="B86" s="26" t="n">
        <f aca="false">IFERROR(IF(MATCH($B$4,$B$83:$K$83,-1)=10,"above 14%",INDEX($B$82:$K$82,MATCH($B$4,$B$83:$K$83,-1))+(INDEX($B$83:$K$83,MATCH($B$4,$B$83:$K$83,-1))-$B$4)/(INDEX($B$83:$K$83,MATCH($B$4,$B$83:$K$83,-1))-INDEX($B$83:$K$83,MATCH($B$4,$B$83:$K$83,-1)+1))*(INDEX($B$82:$K$82,MATCH($B$4,$B$83:$K$83,-1)+1)-INDEX($B$82:$K$82,MATCH($B$4,$B$83:$K$83,-1)))),"below 5%")</f>
        <v>0.0958315803123902</v>
      </c>
      <c r="C86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3" min="3" style="1" width="46"/>
  </cols>
  <sheetData>
    <row r="1" customFormat="false" ht="15.7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87</v>
      </c>
    </row>
    <row r="5" customFormat="false" ht="15" hidden="false" customHeight="true" outlineLevel="0" collapsed="false">
      <c r="A5" s="1" t="s">
        <v>88</v>
      </c>
      <c r="B5" s="16" t="n">
        <v>2</v>
      </c>
      <c r="C5" s="3" t="s">
        <v>89</v>
      </c>
    </row>
    <row r="6" customFormat="false" ht="15" hidden="false" customHeight="true" outlineLevel="0" collapsed="false">
      <c r="A6" s="1" t="s">
        <v>90</v>
      </c>
      <c r="B6" s="16" t="n">
        <v>2</v>
      </c>
      <c r="C6" s="3" t="s">
        <v>91</v>
      </c>
    </row>
    <row r="7" customFormat="false" ht="15" hidden="false" customHeight="true" outlineLevel="0" collapsed="false">
      <c r="A7" s="1" t="s">
        <v>92</v>
      </c>
      <c r="B7" s="14" t="n">
        <v>0.0531</v>
      </c>
      <c r="C7" s="3" t="s">
        <v>93</v>
      </c>
    </row>
    <row r="8" customFormat="false" ht="15" hidden="false" customHeight="true" outlineLevel="0" collapsed="false">
      <c r="A8" s="1" t="s">
        <v>94</v>
      </c>
      <c r="B8" s="14" t="n">
        <v>0.05</v>
      </c>
      <c r="C8" s="3" t="s">
        <v>37</v>
      </c>
    </row>
    <row r="9" customFormat="false" ht="15" hidden="false" customHeight="true" outlineLevel="0" collapsed="false">
      <c r="A9" s="1" t="s">
        <v>95</v>
      </c>
      <c r="B9" s="14" t="n">
        <v>0.012</v>
      </c>
      <c r="C9" s="3" t="s">
        <v>96</v>
      </c>
    </row>
    <row r="12" customFormat="false" ht="15" hidden="false" customHeight="true" outlineLevel="0" collapsed="false">
      <c r="A12" s="18" t="s">
        <v>97</v>
      </c>
      <c r="B12" s="18" t="s">
        <v>98</v>
      </c>
      <c r="C12" s="18" t="s">
        <v>99</v>
      </c>
    </row>
    <row r="13" customFormat="false" ht="15" hidden="false" customHeight="true" outlineLevel="0" collapsed="false">
      <c r="A13" s="1" t="s">
        <v>100</v>
      </c>
      <c r="B13" s="27" t="n">
        <v>0.61</v>
      </c>
      <c r="C13" s="3" t="s">
        <v>27</v>
      </c>
    </row>
    <row r="14" customFormat="false" ht="15" hidden="false" customHeight="true" outlineLevel="0" collapsed="false">
      <c r="A14" s="1" t="s">
        <v>101</v>
      </c>
      <c r="B14" s="28"/>
      <c r="C14" s="3" t="s">
        <v>102</v>
      </c>
    </row>
    <row r="15" customFormat="false" ht="15" hidden="false" customHeight="true" outlineLevel="0" collapsed="false">
      <c r="A15" s="1" t="s">
        <v>103</v>
      </c>
      <c r="B15" s="28" t="n">
        <f aca="false">0.67*IF(ISNUMBER(B14),B14,B13)+0.33</f>
        <v>0.7387</v>
      </c>
      <c r="C15" s="3" t="s">
        <v>104</v>
      </c>
    </row>
    <row r="16" customFormat="false" ht="15" hidden="false" customHeight="true" outlineLevel="0" collapsed="false">
      <c r="A16" s="1" t="s">
        <v>105</v>
      </c>
      <c r="B16" s="28" t="n">
        <f aca="false">IF($B$6=1,IF(ISNUMBER(B14),B14,B13),B15)</f>
        <v>0.7387</v>
      </c>
      <c r="C16" s="3" t="s">
        <v>106</v>
      </c>
    </row>
    <row r="17" customFormat="false" ht="15" hidden="false" customHeight="true" outlineLevel="0" collapsed="false">
      <c r="A17" s="1" t="s">
        <v>107</v>
      </c>
      <c r="B17" s="25" t="n">
        <f aca="false">$B$7+B16*$B$8</f>
        <v>0.090035</v>
      </c>
      <c r="C17" s="3" t="s">
        <v>108</v>
      </c>
    </row>
    <row r="18" customFormat="false" ht="15" hidden="false" customHeight="true" outlineLevel="0" collapsed="false">
      <c r="A18" s="1" t="s">
        <v>109</v>
      </c>
      <c r="B18" s="25" t="n">
        <f aca="false">$B$7+$B$9</f>
        <v>0.0651</v>
      </c>
      <c r="C18" s="3" t="s">
        <v>110</v>
      </c>
    </row>
    <row r="19" customFormat="false" ht="15" hidden="false" customHeight="true" outlineLevel="0" collapsed="false">
      <c r="A19" s="1" t="s">
        <v>32</v>
      </c>
      <c r="B19" s="6" t="n">
        <f aca="false">UNH!B9</f>
        <v>0.22</v>
      </c>
      <c r="C19" s="3" t="s">
        <v>111</v>
      </c>
    </row>
    <row r="20" customFormat="false" ht="15" hidden="false" customHeight="true" outlineLevel="0" collapsed="false">
      <c r="A20" s="1" t="s">
        <v>112</v>
      </c>
      <c r="B20" s="25" t="n">
        <f aca="false">B18*(1-B19)</f>
        <v>0.050778</v>
      </c>
      <c r="C20" s="3"/>
    </row>
    <row r="21" customFormat="false" ht="15" hidden="false" customHeight="true" outlineLevel="0" collapsed="false">
      <c r="A21" s="1" t="s">
        <v>113</v>
      </c>
      <c r="B21" s="29" t="n">
        <f aca="false">UNH!B4*UNH!B6</f>
        <v>380.0306301</v>
      </c>
      <c r="C21" s="3" t="s">
        <v>114</v>
      </c>
    </row>
    <row r="22" customFormat="false" ht="15" hidden="false" customHeight="true" outlineLevel="0" collapsed="false">
      <c r="A22" s="1" t="s">
        <v>115</v>
      </c>
      <c r="B22" s="30" t="n">
        <v>74.33</v>
      </c>
      <c r="C22" s="3" t="s">
        <v>116</v>
      </c>
    </row>
    <row r="23" customFormat="false" ht="15" hidden="false" customHeight="true" outlineLevel="0" collapsed="false">
      <c r="A23" s="1" t="s">
        <v>117</v>
      </c>
      <c r="B23" s="25" t="n">
        <f aca="false">B21/(B21+B22)</f>
        <v>0.836407481027481</v>
      </c>
      <c r="C23" s="3"/>
    </row>
    <row r="24" customFormat="false" ht="15" hidden="false" customHeight="true" outlineLevel="0" collapsed="false">
      <c r="A24" s="1" t="s">
        <v>118</v>
      </c>
      <c r="B24" s="25" t="n">
        <f aca="false">B22/(B21+B22)</f>
        <v>0.163592518972519</v>
      </c>
      <c r="C24" s="3"/>
    </row>
    <row r="25" customFormat="false" ht="15" hidden="false" customHeight="true" outlineLevel="0" collapsed="false">
      <c r="A25" s="1" t="s">
        <v>119</v>
      </c>
      <c r="B25" s="25" t="n">
        <f aca="false">B23*B17+B24*B20</f>
        <v>0.0836128484826958</v>
      </c>
      <c r="C25" s="3" t="s">
        <v>120</v>
      </c>
    </row>
    <row r="26" customFormat="false" ht="15" hidden="false" customHeight="true" outlineLevel="0" collapsed="false">
      <c r="A26" s="1" t="s">
        <v>121</v>
      </c>
      <c r="B26" s="31" t="n">
        <v>0.09</v>
      </c>
      <c r="C26" s="3" t="s">
        <v>122</v>
      </c>
    </row>
    <row r="27" customFormat="false" ht="15" hidden="false" customHeight="true" outlineLevel="0" collapsed="false">
      <c r="A27" s="1" t="s">
        <v>123</v>
      </c>
      <c r="B27" s="26" t="n">
        <f aca="false">IF($B$5=1,B25,B26)</f>
        <v>0.09</v>
      </c>
      <c r="C27" s="3" t="s">
        <v>124</v>
      </c>
    </row>
    <row r="28" customFormat="false" ht="15" hidden="false" customHeight="true" outlineLevel="0" collapsed="false">
      <c r="A28" s="1" t="s">
        <v>125</v>
      </c>
      <c r="B28" s="1" t="str">
        <f aca="false">IF(B27&gt;MAX(UNH!L21,UNH!L39,UNH!L57),"OK","WACC must exceed growth")</f>
        <v>OK</v>
      </c>
      <c r="C28" s="3"/>
    </row>
    <row r="29" customFormat="false" ht="15" hidden="false" customHeight="true" outlineLevel="0" collapsed="false">
      <c r="A29" s="1" t="s">
        <v>126</v>
      </c>
      <c r="B29" s="25" t="n">
        <f aca="false">B27</f>
        <v>0.09</v>
      </c>
      <c r="C29" s="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2026-10-28T13:32:39Z</dcterms:created>
  <dc:creator>openpyxl</dc:creator>
  <dc:description/>
  <dc:language>en-US</dc:language>
  <cp:lastModifiedBy/>
  <dcterms:modified xsi:type="dcterms:W3CDTF">2026-10-28T16:14:18Z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