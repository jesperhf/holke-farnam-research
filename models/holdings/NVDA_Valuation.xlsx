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VDA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<sst xmlns="http://schemas.openxmlformats.org/spreadsheetml/2006/main" count="166" uniqueCount="128">
  <si>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Nvidia (NVDA):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</si>
  <si>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</si>
  <si>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</si>
  <si>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</si>
  <si>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</si>
  <si>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</si>
  <si>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</si>
  <si>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</si>
  <si>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</si>
  <si>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</si>
  <si>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</si>
  <si>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</si>
  <si>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Nvidia (NVDA)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</si>
  <si>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</si>
  <si>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</si>
  <si>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</si>
  <si>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</si>
  <si>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</si>
  <si>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if any hyperscaler guides 2027 capex flat or down, or if gross margin falls below 70%.</t>
  </si>
  <si>
    <t xml:space="preserve">Nvidia (NVDA):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</si>
  <si>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</si>
  <si>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</si>
  <si>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23, 2026 intraday (Yahoo Finance via the site's price feed)</t>
  </si>
  <si>
    <t xml:space="preserve">Price date</t>
  </si>
  <si>
    <t xml:space="preserve">Oct 23, 2026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</si>
  <si>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</si>
  <si>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</si>
  <si>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</si>
  <si>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</si>
  <si>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</si>
  <si>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</si>
  <si>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None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</si>
  <si>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</si>
  <si>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</si>
  <si>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</si>
  <si>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</si>
  <si>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</si>
  <si>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</si>
  <si>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(FY27, Jan 2027)</t>
  </si>
  <si>
    <t xml:space="preserve">FY27 (Jan 2027) consensus $411.65B; FY28 consensus $692B (Stock Analysis)</t>
  </si>
  <si>
    <t xml:space="preserve">Selected scenario (1 Bear, 2 Base, 3 Bull)</t>
  </si>
  <si>
    <t xml:space="preserve">Lever</t>
  </si>
  <si>
    <t xml:space="preserve">Year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</si>
  <si>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</si>
  <si>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</si>
  <si>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</si>
  <si>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</si>
  <si>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</si>
  <si>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</si>
  <si>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</si>
  <si>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</si>
  <si>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</si>
  <si>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FY37</t>
  </si>
  <si>
    <t xml:space="preserve">Terminal</t>
  </si>
  <si>
    <t xml:space="preserve">Discount period (years, mid-year)</t>
  </si>
  <si>
    <t xml:space="preserve">Fade step (years 6 to 10)</t>
  </si>
  <si>
    <t xml:space="preserve">Bear: AI capex digestion in FY29 to FY30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</si>
  <si>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</si>
  <si>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</si>
  <si>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</si>
  <si>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</si>
  <si>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</si>
  <si>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</si>
  <si>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</si>
  <si>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</si>
  <si>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</si>
  <si>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</si>
  <si>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</si>
  <si>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</si>
  <si>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</si>
  <si>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</si>
  <si>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</si>
  <si>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</si>
  <si>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below-consensus growth, margins ease</t>
  </si>
  <si>
    <t xml:space="preserve">Bull: consensus path, share holds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</si>
  <si>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</si>
  <si>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</si>
  <si>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</si>
  <si>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</si>
  <si>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</si>
  <si>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</si>
  <si>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</si>
  <si>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</si>
  <si>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</si>
  <si>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</si>
  <si>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</si>
  <si>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</si>
  <si>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</si>
  <si>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</si>
  <si>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</si>
  <si>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</si>
  <si>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</si>
  <si>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</si>
  <si>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10-year Treasury yield at the close on 2026-10-28; assumed rates below move with it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</si>
  <si>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</si>
  <si>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</si>
  <si>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</si>
  <si>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</si>
  <si>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NVDA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</si>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</sst>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NVDA!B4</f>
        <v>212.28</v>
      </c>
      <c r="D5" s="6" t="n">
        <f aca="false">NVDA!B10</f>
        <v>0.1072</v>
      </c>
      <c r="E5" s="5" t="n">
        <f aca="false">NVDA!B75</f>
        <v>97.5707583791546</v>
      </c>
      <c r="F5" s="5" t="n">
        <f aca="false">NVDA!B76</f>
        <v>171.376581750349</v>
      </c>
      <c r="G5" s="5" t="n">
        <f aca="false">NVDA!B77</f>
        <v>244.621447733248</v>
      </c>
      <c r="H5" s="7" t="n">
        <f aca="false">F5/C5-1</f>
        <v>-0.192686160965003</v>
      </c>
      <c r="I5" s="6" t="n">
        <f aca="false">NVDA!B86</f>
        <v>0.0929001159921021</v>
      </c>
      <c r="J5" s="8" t="n">
        <f aca="false">IF(F5&lt;10,ROUND(F5*4,0)/4,IF(F5&lt;100,ROUND(F5,0),ROUND(F5/5,0)*5))</f>
        <v>170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165</v>
      </c>
    </row>
    <row r="10" customFormat="false" ht="15" hidden="false" customHeight="true" outlineLevel="0" collapsed="false">
      <c r="A10" s="1" t="s">
        <v>15</v>
      </c>
      <c r="C10" s="8" t="n">
        <v>235</v>
      </c>
    </row>
    <row r="11" customFormat="false" ht="15" hidden="false" customHeight="true" outlineLevel="0" collapsed="false">
      <c r="A11" s="1" t="s">
        <v>16</v>
      </c>
      <c r="C11" s="8" t="n">
        <v>130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212.28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24.15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23.61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0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0.16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0.1072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0.1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411.65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560</v>
      </c>
      <c r="C20" s="13" t="n">
        <v>500</v>
      </c>
      <c r="D20" s="13" t="n">
        <v>470</v>
      </c>
      <c r="E20" s="13" t="n">
        <v>520</v>
      </c>
      <c r="F20" s="13" t="n">
        <v>560</v>
      </c>
      <c r="G20" s="20" t="n">
        <f aca="false">F20*(1+$F21+($L21-$F21)*G$17/5)</f>
        <v>597.821538461539</v>
      </c>
      <c r="H20" s="20" t="n">
        <f aca="false">G20*(1+$F21+($L21-$F21)*H$17/5)</f>
        <v>632.587160236687</v>
      </c>
      <c r="I20" s="20" t="n">
        <f aca="false">H20*(1+$F21+($L21-$F21)*I$17/5)</f>
        <v>663.437949435922</v>
      </c>
      <c r="J20" s="20" t="n">
        <f aca="false">I20*(1+$F21+($L21-$F21)*J$17/5)</f>
        <v>689.567197906013</v>
      </c>
      <c r="K20" s="20" t="n">
        <f aca="false">J20*(1+$F21+($L21-$F21)*K$17/5)</f>
        <v>710.254213843194</v>
      </c>
      <c r="L20" s="20" t="n">
        <f aca="false">K20*(1+L21)</f>
        <v>731.56184025849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0.360378962711041</v>
      </c>
      <c r="C21" s="7" t="n">
        <f aca="false">C20/B20-1</f>
        <v>-0.107142857142857</v>
      </c>
      <c r="D21" s="7" t="n">
        <f aca="false">D20/C20-1</f>
        <v>-0.0600000000000001</v>
      </c>
      <c r="E21" s="7" t="n">
        <f aca="false">E20/D20-1</f>
        <v>0.106382978723404</v>
      </c>
      <c r="F21" s="7" t="n">
        <f aca="false">F20/E20-1</f>
        <v>0.0769230769230769</v>
      </c>
      <c r="G21" s="7" t="n">
        <f aca="false">G20/F20-1</f>
        <v>0.0675384615384616</v>
      </c>
      <c r="H21" s="7" t="n">
        <f aca="false">H20/G20-1</f>
        <v>0.0581538461538462</v>
      </c>
      <c r="I21" s="7" t="n">
        <f aca="false">I20/H20-1</f>
        <v>0.0487692307692307</v>
      </c>
      <c r="J21" s="7" t="n">
        <f aca="false">J20/I20-1</f>
        <v>0.0393846153846154</v>
      </c>
      <c r="K21" s="7" t="n">
        <f aca="false">K20/J20-1</f>
        <v>0.03</v>
      </c>
      <c r="L21" s="21" t="n">
        <v>0.03</v>
      </c>
    </row>
    <row r="22" customFormat="false" ht="15" hidden="false" customHeight="true" outlineLevel="0" collapsed="false">
      <c r="A22" s="1" t="s">
        <v>59</v>
      </c>
      <c r="B22" s="22" t="n">
        <v>0.6</v>
      </c>
      <c r="C22" s="22" t="n">
        <v>0.52</v>
      </c>
      <c r="D22" s="22" t="n">
        <v>0.48</v>
      </c>
      <c r="E22" s="22" t="n">
        <v>0.48</v>
      </c>
      <c r="F22" s="22" t="n">
        <v>0.47</v>
      </c>
      <c r="G22" s="7" t="n">
        <f aca="false">$F22+($L22-$F22)*G$17/5</f>
        <v>0.452</v>
      </c>
      <c r="H22" s="7" t="n">
        <f aca="false">$F22+($L22-$F22)*H$17/5</f>
        <v>0.434</v>
      </c>
      <c r="I22" s="7" t="n">
        <f aca="false">$F22+($L22-$F22)*I$17/5</f>
        <v>0.416</v>
      </c>
      <c r="J22" s="7" t="n">
        <f aca="false">$F22+($L22-$F22)*J$17/5</f>
        <v>0.398</v>
      </c>
      <c r="K22" s="7" t="n">
        <f aca="false">$F22+($L22-$F22)*K$17/5</f>
        <v>0.38</v>
      </c>
      <c r="L22" s="21" t="n">
        <v>0.38</v>
      </c>
    </row>
    <row r="23" customFormat="false" ht="15" hidden="false" customHeight="true" outlineLevel="0" collapsed="false">
      <c r="A23" s="1" t="s">
        <v>60</v>
      </c>
      <c r="B23" s="20" t="n">
        <f aca="false">B20*B22</f>
        <v>336</v>
      </c>
      <c r="C23" s="20" t="n">
        <f aca="false">C20*C22</f>
        <v>260</v>
      </c>
      <c r="D23" s="20" t="n">
        <f aca="false">D20*D22</f>
        <v>225.6</v>
      </c>
      <c r="E23" s="20" t="n">
        <f aca="false">E20*E22</f>
        <v>249.6</v>
      </c>
      <c r="F23" s="20" t="n">
        <f aca="false">F20*F22</f>
        <v>263.2</v>
      </c>
      <c r="G23" s="20" t="n">
        <f aca="false">G20*G22</f>
        <v>270.215335384615</v>
      </c>
      <c r="H23" s="20" t="n">
        <f aca="false">H20*H22</f>
        <v>274.542827542722</v>
      </c>
      <c r="I23" s="20" t="n">
        <f aca="false">I20*I22</f>
        <v>275.990186965343</v>
      </c>
      <c r="J23" s="20" t="n">
        <f aca="false">J20*J22</f>
        <v>274.447744766593</v>
      </c>
      <c r="K23" s="20" t="n">
        <f aca="false">K20*K22</f>
        <v>269.896601260414</v>
      </c>
      <c r="L23" s="20" t="n">
        <f aca="false">L20*L22</f>
        <v>277.993499298226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282.24</v>
      </c>
      <c r="C24" s="20" t="n">
        <f aca="false">C23*(1-$B$9)</f>
        <v>218.4</v>
      </c>
      <c r="D24" s="20" t="n">
        <f aca="false">D23*(1-$B$9)</f>
        <v>189.504</v>
      </c>
      <c r="E24" s="20" t="n">
        <f aca="false">E23*(1-$B$9)</f>
        <v>209.664</v>
      </c>
      <c r="F24" s="20" t="n">
        <f aca="false">F23*(1-$B$9)</f>
        <v>221.088</v>
      </c>
      <c r="G24" s="20" t="n">
        <f aca="false">G23*(1-$B$9)</f>
        <v>226.980881723077</v>
      </c>
      <c r="H24" s="20" t="n">
        <f aca="false">H23*(1-$B$9)</f>
        <v>230.615975135886</v>
      </c>
      <c r="I24" s="20" t="n">
        <f aca="false">I23*(1-$B$9)</f>
        <v>231.831757050888</v>
      </c>
      <c r="J24" s="20" t="n">
        <f aca="false">J23*(1-$B$9)</f>
        <v>230.536105603938</v>
      </c>
      <c r="K24" s="20" t="n">
        <f aca="false">K23*(1-$B$9)</f>
        <v>226.713145058747</v>
      </c>
      <c r="L24" s="20" t="n">
        <f aca="false">L23*(1-$B$9)</f>
        <v>233.51453941051</v>
      </c>
    </row>
    <row r="25" customFormat="false" ht="15" hidden="false" customHeight="true" outlineLevel="0" collapsed="false">
      <c r="A25" s="1" t="s">
        <v>62</v>
      </c>
      <c r="B25" s="22" t="n">
        <v>0.03</v>
      </c>
      <c r="C25" s="22" t="n">
        <v>0.03</v>
      </c>
      <c r="D25" s="22" t="n">
        <v>0.03</v>
      </c>
      <c r="E25" s="22" t="n">
        <v>0.03</v>
      </c>
      <c r="F25" s="22" t="n">
        <v>0.03</v>
      </c>
      <c r="G25" s="7" t="n">
        <f aca="false">$F25+($L25-$F25)*G$17/5</f>
        <v>0.03</v>
      </c>
      <c r="H25" s="7" t="n">
        <f aca="false">$F25+($L25-$F25)*H$17/5</f>
        <v>0.03</v>
      </c>
      <c r="I25" s="7" t="n">
        <f aca="false">$F25+($L25-$F25)*I$17/5</f>
        <v>0.03</v>
      </c>
      <c r="J25" s="7" t="n">
        <f aca="false">$F25+($L25-$F25)*J$17/5</f>
        <v>0.03</v>
      </c>
      <c r="K25" s="7" t="n">
        <f aca="false">$F25+($L25-$F25)*K$17/5</f>
        <v>0.03</v>
      </c>
      <c r="L25" s="21" t="n">
        <v>0.03</v>
      </c>
    </row>
    <row r="26" customFormat="false" ht="15" hidden="false" customHeight="true" outlineLevel="0" collapsed="false">
      <c r="A26" s="1" t="s">
        <v>63</v>
      </c>
      <c r="B26" s="20" t="n">
        <f aca="false">B20*B25</f>
        <v>16.8</v>
      </c>
      <c r="C26" s="20" t="n">
        <f aca="false">C20*C25</f>
        <v>15</v>
      </c>
      <c r="D26" s="20" t="n">
        <f aca="false">D20*D25</f>
        <v>14.1</v>
      </c>
      <c r="E26" s="20" t="n">
        <f aca="false">E20*E25</f>
        <v>15.6</v>
      </c>
      <c r="F26" s="20" t="n">
        <f aca="false">F20*F25</f>
        <v>16.8</v>
      </c>
      <c r="G26" s="20" t="n">
        <f aca="false">G20*G25</f>
        <v>17.9346461538462</v>
      </c>
      <c r="H26" s="20" t="n">
        <f aca="false">H20*H25</f>
        <v>18.9776148071006</v>
      </c>
      <c r="I26" s="20" t="n">
        <f aca="false">I20*I25</f>
        <v>19.9031384830777</v>
      </c>
      <c r="J26" s="20" t="n">
        <f aca="false">J20*J25</f>
        <v>20.6870159371804</v>
      </c>
      <c r="K26" s="20" t="n">
        <f aca="false">K20*K25</f>
        <v>21.3076264152958</v>
      </c>
      <c r="L26" s="20" t="n">
        <f aca="false">L20*L25</f>
        <v>21.9468552077547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14.835</v>
      </c>
      <c r="C27" s="20" t="n">
        <f aca="false">$B$11*(C20-B20)</f>
        <v>-6</v>
      </c>
      <c r="D27" s="20" t="n">
        <f aca="false">$B$11*(D20-C20)</f>
        <v>-3</v>
      </c>
      <c r="E27" s="20" t="n">
        <f aca="false">$B$11*(E20-D20)</f>
        <v>5</v>
      </c>
      <c r="F27" s="20" t="n">
        <f aca="false">$B$11*(F20-E20)</f>
        <v>4</v>
      </c>
      <c r="G27" s="20" t="n">
        <f aca="false">$B$11*(G20-F20)</f>
        <v>3.78215384615385</v>
      </c>
      <c r="H27" s="20" t="n">
        <f aca="false">$B$11*(H20-G20)</f>
        <v>3.4765621775148</v>
      </c>
      <c r="I27" s="20" t="n">
        <f aca="false">$B$11*(I20-H20)</f>
        <v>3.08507891992352</v>
      </c>
      <c r="J27" s="20" t="n">
        <f aca="false">$B$11*(J20-I20)</f>
        <v>2.61292484700916</v>
      </c>
      <c r="K27" s="20" t="n">
        <f aca="false">$B$11*(K20-J20)</f>
        <v>2.06870159371804</v>
      </c>
      <c r="L27" s="20" t="n">
        <f aca="false">$B$11*(L20-K20)</f>
        <v>2.13076264152959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250.605</v>
      </c>
      <c r="C28" s="20" t="n">
        <f aca="false">C24-C26-C27</f>
        <v>209.4</v>
      </c>
      <c r="D28" s="20" t="n">
        <f aca="false">D24-D26-D27</f>
        <v>178.404</v>
      </c>
      <c r="E28" s="20" t="n">
        <f aca="false">E24-E26-E27</f>
        <v>189.064</v>
      </c>
      <c r="F28" s="20" t="n">
        <f aca="false">F24-F26-F27</f>
        <v>200.288</v>
      </c>
      <c r="G28" s="20" t="n">
        <f aca="false">G24-G26-G27</f>
        <v>205.264081723077</v>
      </c>
      <c r="H28" s="20" t="n">
        <f aca="false">H24-H26-H27</f>
        <v>208.161798151271</v>
      </c>
      <c r="I28" s="20" t="n">
        <f aca="false">I24-I26-I27</f>
        <v>208.843539647887</v>
      </c>
      <c r="J28" s="20" t="n">
        <f aca="false">J24-J26-J27</f>
        <v>207.236164819749</v>
      </c>
      <c r="K28" s="20" t="n">
        <f aca="false">K24-K26-K27</f>
        <v>203.336817049734</v>
      </c>
      <c r="L28" s="20" t="n">
        <f aca="false">L24-L26-L27</f>
        <v>209.436921561226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0.950357401587132</v>
      </c>
      <c r="C29" s="23" t="n">
        <f aca="false">1/(1+$B$10)^C$16</f>
        <v>0.858343028890112</v>
      </c>
      <c r="D29" s="23" t="n">
        <f aca="false">1/(1+$B$10)^D$16</f>
        <v>0.775237562220116</v>
      </c>
      <c r="E29" s="23" t="n">
        <f aca="false">1/(1+$B$10)^E$16</f>
        <v>0.700178434086087</v>
      </c>
      <c r="F29" s="23" t="n">
        <f aca="false">1/(1+$B$10)^F$16</f>
        <v>0.632386591479486</v>
      </c>
      <c r="G29" s="23" t="n">
        <f aca="false">1/(1+$B$10)^G$16</f>
        <v>0.571158409934507</v>
      </c>
      <c r="H29" s="23" t="n">
        <f aca="false">1/(1+$B$10)^H$16</f>
        <v>0.51585839047553</v>
      </c>
      <c r="I29" s="23" t="n">
        <f aca="false">1/(1+$B$10)^I$16</f>
        <v>0.465912563652032</v>
      </c>
      <c r="J29" s="23" t="n">
        <f aca="false">1/(1+$B$10)^J$16</f>
        <v>0.420802532200174</v>
      </c>
      <c r="K29" s="23" t="n">
        <f aca="false">1/(1+$B$10)^K$16</f>
        <v>0.380060090498712</v>
      </c>
    </row>
    <row r="30" customFormat="false" ht="15" hidden="false" customHeight="true" outlineLevel="0" collapsed="false">
      <c r="A30" s="1" t="s">
        <v>67</v>
      </c>
      <c r="B30" s="20" t="n">
        <f aca="false">B28*B29</f>
        <v>238.164316624743</v>
      </c>
      <c r="C30" s="20" t="n">
        <f aca="false">C28*C29</f>
        <v>179.737030249589</v>
      </c>
      <c r="D30" s="20" t="n">
        <f aca="false">D28*D29</f>
        <v>138.305482050318</v>
      </c>
      <c r="E30" s="20" t="n">
        <f aca="false">E28*E29</f>
        <v>132.378535462052</v>
      </c>
      <c r="F30" s="20" t="n">
        <f aca="false">F28*F29</f>
        <v>126.659445634243</v>
      </c>
      <c r="G30" s="20" t="n">
        <f aca="false">G28*G29</f>
        <v>117.238306533619</v>
      </c>
      <c r="H30" s="20" t="n">
        <f aca="false">H28*H29</f>
        <v>107.382010152807</v>
      </c>
      <c r="I30" s="20" t="n">
        <f aca="false">I28*I29</f>
        <v>97.302828959512</v>
      </c>
      <c r="J30" s="20" t="n">
        <f aca="false">J28*J29</f>
        <v>87.2055029196029</v>
      </c>
      <c r="K30" s="20" t="n">
        <f aca="false">K28*K29</f>
        <v>77.2802090896418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2712.91349172572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1031.07014718045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2356.33381485658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97.5707583791546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-0.540367635296992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640</v>
      </c>
      <c r="C38" s="13" t="n">
        <v>720</v>
      </c>
      <c r="D38" s="13" t="n">
        <v>700</v>
      </c>
      <c r="E38" s="13" t="n">
        <v>760</v>
      </c>
      <c r="F38" s="13" t="n">
        <v>820</v>
      </c>
      <c r="G38" s="20" t="n">
        <f aca="false">F38*(1+$F39+($L39-$F39)*G$17/5)</f>
        <v>877.529473684211</v>
      </c>
      <c r="H38" s="20" t="n">
        <f aca="false">G38*(1+$F39+($L39-$F39)*H$17/5)</f>
        <v>931.382071911358</v>
      </c>
      <c r="I38" s="20" t="n">
        <f aca="false">H38*(1+$F39+($L39-$F39)*I$17/5)</f>
        <v>980.353160850276</v>
      </c>
      <c r="J38" s="20" t="n">
        <f aca="false">I38*(1+$F39+($L39-$F39)*J$17/5)</f>
        <v>1023.28230978856</v>
      </c>
      <c r="K38" s="20" t="n">
        <f aca="false">J38*(1+$F39+($L39-$F39)*K$17/5)</f>
        <v>1059.09719063116</v>
      </c>
      <c r="L38" s="20" t="n">
        <f aca="false">K38*(1+L39)</f>
        <v>1096.16559230325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0.554718814526904</v>
      </c>
      <c r="C39" s="7" t="n">
        <f aca="false">C38/B38-1</f>
        <v>0.125</v>
      </c>
      <c r="D39" s="7" t="n">
        <f aca="false">D38/C38-1</f>
        <v>-0.0277777777777778</v>
      </c>
      <c r="E39" s="7" t="n">
        <f aca="false">E38/D38-1</f>
        <v>0.0857142857142856</v>
      </c>
      <c r="F39" s="7" t="n">
        <f aca="false">F38/E38-1</f>
        <v>0.0789473684210527</v>
      </c>
      <c r="G39" s="7" t="n">
        <f aca="false">G38/F38-1</f>
        <v>0.0701578947368422</v>
      </c>
      <c r="H39" s="7" t="n">
        <f aca="false">H38/G38-1</f>
        <v>0.0613684210526315</v>
      </c>
      <c r="I39" s="7" t="n">
        <f aca="false">I38/H38-1</f>
        <v>0.0525789473684211</v>
      </c>
      <c r="J39" s="7" t="n">
        <f aca="false">J38/I38-1</f>
        <v>0.0437894736842106</v>
      </c>
      <c r="K39" s="7" t="n">
        <f aca="false">K38/J38-1</f>
        <v>0.0349999999999999</v>
      </c>
      <c r="L39" s="21" t="n">
        <v>0.035</v>
      </c>
    </row>
    <row r="40" customFormat="false" ht="15" hidden="false" customHeight="true" outlineLevel="0" collapsed="false">
      <c r="A40" s="1" t="s">
        <v>59</v>
      </c>
      <c r="B40" s="22" t="n">
        <v>0.62</v>
      </c>
      <c r="C40" s="22" t="n">
        <v>0.6</v>
      </c>
      <c r="D40" s="22" t="n">
        <v>0.56</v>
      </c>
      <c r="E40" s="22" t="n">
        <v>0.54</v>
      </c>
      <c r="F40" s="22" t="n">
        <v>0.52</v>
      </c>
      <c r="G40" s="7" t="n">
        <f aca="false">$F40+($L40-$F40)*G$17/5</f>
        <v>0.508</v>
      </c>
      <c r="H40" s="7" t="n">
        <f aca="false">$F40+($L40-$F40)*H$17/5</f>
        <v>0.496</v>
      </c>
      <c r="I40" s="7" t="n">
        <f aca="false">$F40+($L40-$F40)*I$17/5</f>
        <v>0.484</v>
      </c>
      <c r="J40" s="7" t="n">
        <f aca="false">$F40+($L40-$F40)*J$17/5</f>
        <v>0.472</v>
      </c>
      <c r="K40" s="7" t="n">
        <f aca="false">$F40+($L40-$F40)*K$17/5</f>
        <v>0.46</v>
      </c>
      <c r="L40" s="21" t="n">
        <v>0.46</v>
      </c>
    </row>
    <row r="41" customFormat="false" ht="15" hidden="false" customHeight="true" outlineLevel="0" collapsed="false">
      <c r="A41" s="1" t="s">
        <v>60</v>
      </c>
      <c r="B41" s="20" t="n">
        <f aca="false">B38*B40</f>
        <v>396.8</v>
      </c>
      <c r="C41" s="20" t="n">
        <f aca="false">C38*C40</f>
        <v>432</v>
      </c>
      <c r="D41" s="20" t="n">
        <f aca="false">D38*D40</f>
        <v>392</v>
      </c>
      <c r="E41" s="20" t="n">
        <f aca="false">E38*E40</f>
        <v>410.4</v>
      </c>
      <c r="F41" s="20" t="n">
        <f aca="false">F38*F40</f>
        <v>426.4</v>
      </c>
      <c r="G41" s="20" t="n">
        <f aca="false">G38*G40</f>
        <v>445.784972631579</v>
      </c>
      <c r="H41" s="20" t="n">
        <f aca="false">H38*H40</f>
        <v>461.965507668033</v>
      </c>
      <c r="I41" s="20" t="n">
        <f aca="false">I38*I40</f>
        <v>474.490929851533</v>
      </c>
      <c r="J41" s="20" t="n">
        <f aca="false">J38*J40</f>
        <v>482.989250220201</v>
      </c>
      <c r="K41" s="20" t="n">
        <f aca="false">K38*K40</f>
        <v>487.184707690334</v>
      </c>
      <c r="L41" s="20" t="n">
        <f aca="false">L38*L40</f>
        <v>504.236172459496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333.312</v>
      </c>
      <c r="C42" s="20" t="n">
        <f aca="false">C41*(1-$B$9)</f>
        <v>362.88</v>
      </c>
      <c r="D42" s="20" t="n">
        <f aca="false">D41*(1-$B$9)</f>
        <v>329.28</v>
      </c>
      <c r="E42" s="20" t="n">
        <f aca="false">E41*(1-$B$9)</f>
        <v>344.736</v>
      </c>
      <c r="F42" s="20" t="n">
        <f aca="false">F41*(1-$B$9)</f>
        <v>358.176</v>
      </c>
      <c r="G42" s="20" t="n">
        <f aca="false">G41*(1-$B$9)</f>
        <v>374.459377010526</v>
      </c>
      <c r="H42" s="20" t="n">
        <f aca="false">H41*(1-$B$9)</f>
        <v>388.051026441148</v>
      </c>
      <c r="I42" s="20" t="n">
        <f aca="false">I41*(1-$B$9)</f>
        <v>398.572381075288</v>
      </c>
      <c r="J42" s="20" t="n">
        <f aca="false">J41*(1-$B$9)</f>
        <v>405.710970184969</v>
      </c>
      <c r="K42" s="20" t="n">
        <f aca="false">K41*(1-$B$9)</f>
        <v>409.235154459881</v>
      </c>
      <c r="L42" s="20" t="n">
        <f aca="false">L41*(1-$B$9)</f>
        <v>423.558384865977</v>
      </c>
    </row>
    <row r="43" customFormat="false" ht="15" hidden="false" customHeight="true" outlineLevel="0" collapsed="false">
      <c r="A43" s="1" t="s">
        <v>62</v>
      </c>
      <c r="B43" s="22" t="n">
        <v>0.03</v>
      </c>
      <c r="C43" s="22" t="n">
        <v>0.03</v>
      </c>
      <c r="D43" s="22" t="n">
        <v>0.03</v>
      </c>
      <c r="E43" s="22" t="n">
        <v>0.03</v>
      </c>
      <c r="F43" s="22" t="n">
        <v>0.03</v>
      </c>
      <c r="G43" s="7" t="n">
        <f aca="false">$F43+($L43-$F43)*G$17/5</f>
        <v>0.03</v>
      </c>
      <c r="H43" s="7" t="n">
        <f aca="false">$F43+($L43-$F43)*H$17/5</f>
        <v>0.03</v>
      </c>
      <c r="I43" s="7" t="n">
        <f aca="false">$F43+($L43-$F43)*I$17/5</f>
        <v>0.03</v>
      </c>
      <c r="J43" s="7" t="n">
        <f aca="false">$F43+($L43-$F43)*J$17/5</f>
        <v>0.03</v>
      </c>
      <c r="K43" s="7" t="n">
        <f aca="false">$F43+($L43-$F43)*K$17/5</f>
        <v>0.03</v>
      </c>
      <c r="L43" s="21" t="n">
        <v>0.03</v>
      </c>
    </row>
    <row r="44" customFormat="false" ht="15" hidden="false" customHeight="true" outlineLevel="0" collapsed="false">
      <c r="A44" s="1" t="s">
        <v>63</v>
      </c>
      <c r="B44" s="20" t="n">
        <f aca="false">B38*B43</f>
        <v>19.2</v>
      </c>
      <c r="C44" s="20" t="n">
        <f aca="false">C38*C43</f>
        <v>21.6</v>
      </c>
      <c r="D44" s="20" t="n">
        <f aca="false">D38*D43</f>
        <v>21</v>
      </c>
      <c r="E44" s="20" t="n">
        <f aca="false">E38*E43</f>
        <v>22.8</v>
      </c>
      <c r="F44" s="20" t="n">
        <f aca="false">F38*F43</f>
        <v>24.6</v>
      </c>
      <c r="G44" s="20" t="n">
        <f aca="false">G38*G43</f>
        <v>26.3258842105263</v>
      </c>
      <c r="H44" s="20" t="n">
        <f aca="false">H38*H43</f>
        <v>27.9414621573407</v>
      </c>
      <c r="I44" s="20" t="n">
        <f aca="false">I38*I43</f>
        <v>29.4105948255083</v>
      </c>
      <c r="J44" s="20" t="n">
        <f aca="false">J38*J43</f>
        <v>30.6984692936568</v>
      </c>
      <c r="K44" s="20" t="n">
        <f aca="false">K38*K43</f>
        <v>31.7729157189348</v>
      </c>
      <c r="L44" s="20" t="n">
        <f aca="false">L38*L43</f>
        <v>32.8849677690976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22.835</v>
      </c>
      <c r="C45" s="20" t="n">
        <f aca="false">$B$11*(C38-B38)</f>
        <v>8</v>
      </c>
      <c r="D45" s="20" t="n">
        <f aca="false">$B$11*(D38-C38)</f>
        <v>-2</v>
      </c>
      <c r="E45" s="20" t="n">
        <f aca="false">$B$11*(E38-D38)</f>
        <v>6</v>
      </c>
      <c r="F45" s="20" t="n">
        <f aca="false">$B$11*(F38-E38)</f>
        <v>6</v>
      </c>
      <c r="G45" s="20" t="n">
        <f aca="false">$B$11*(G38-F38)</f>
        <v>5.75294736842107</v>
      </c>
      <c r="H45" s="20" t="n">
        <f aca="false">$B$11*(H38-G38)</f>
        <v>5.38525982271468</v>
      </c>
      <c r="I45" s="20" t="n">
        <f aca="false">$B$11*(I38-H38)</f>
        <v>4.89710889389182</v>
      </c>
      <c r="J45" s="20" t="n">
        <f aca="false">$B$11*(J38-I38)</f>
        <v>4.29291489382858</v>
      </c>
      <c r="K45" s="20" t="n">
        <f aca="false">$B$11*(K38-J38)</f>
        <v>3.58148808425996</v>
      </c>
      <c r="L45" s="20" t="n">
        <f aca="false">$B$11*(L38-K38)</f>
        <v>3.70684016720907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291.277</v>
      </c>
      <c r="C46" s="20" t="n">
        <f aca="false">C42-C44-C45</f>
        <v>333.28</v>
      </c>
      <c r="D46" s="20" t="n">
        <f aca="false">D42-D44-D45</f>
        <v>310.28</v>
      </c>
      <c r="E46" s="20" t="n">
        <f aca="false">E42-E44-E45</f>
        <v>315.936</v>
      </c>
      <c r="F46" s="20" t="n">
        <f aca="false">F42-F44-F45</f>
        <v>327.576</v>
      </c>
      <c r="G46" s="20" t="n">
        <f aca="false">G42-G44-G45</f>
        <v>342.380545431579</v>
      </c>
      <c r="H46" s="20" t="n">
        <f aca="false">H42-H44-H45</f>
        <v>354.724304461093</v>
      </c>
      <c r="I46" s="20" t="n">
        <f aca="false">I42-I44-I45</f>
        <v>364.264677355888</v>
      </c>
      <c r="J46" s="20" t="n">
        <f aca="false">J42-J44-J45</f>
        <v>370.719585997484</v>
      </c>
      <c r="K46" s="20" t="n">
        <f aca="false">K42-K44-K45</f>
        <v>373.880750656686</v>
      </c>
      <c r="L46" s="20" t="n">
        <f aca="false">L42-L44-L45</f>
        <v>386.96657692967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0.950357401587132</v>
      </c>
      <c r="C47" s="23" t="n">
        <f aca="false">1/(1+$B$10)^C$16</f>
        <v>0.858343028890112</v>
      </c>
      <c r="D47" s="23" t="n">
        <f aca="false">1/(1+$B$10)^D$16</f>
        <v>0.775237562220116</v>
      </c>
      <c r="E47" s="23" t="n">
        <f aca="false">1/(1+$B$10)^E$16</f>
        <v>0.700178434086087</v>
      </c>
      <c r="F47" s="23" t="n">
        <f aca="false">1/(1+$B$10)^F$16</f>
        <v>0.632386591479486</v>
      </c>
      <c r="G47" s="23" t="n">
        <f aca="false">1/(1+$B$10)^G$16</f>
        <v>0.571158409934507</v>
      </c>
      <c r="H47" s="23" t="n">
        <f aca="false">1/(1+$B$10)^H$16</f>
        <v>0.51585839047553</v>
      </c>
      <c r="I47" s="23" t="n">
        <f aca="false">1/(1+$B$10)^I$16</f>
        <v>0.465912563652032</v>
      </c>
      <c r="J47" s="23" t="n">
        <f aca="false">1/(1+$B$10)^J$16</f>
        <v>0.420802532200174</v>
      </c>
      <c r="K47" s="23" t="n">
        <f aca="false">1/(1+$B$10)^K$16</f>
        <v>0.380060090498712</v>
      </c>
    </row>
    <row r="48" customFormat="false" ht="15" hidden="false" customHeight="true" outlineLevel="0" collapsed="false">
      <c r="A48" s="1" t="s">
        <v>67</v>
      </c>
      <c r="B48" s="20" t="n">
        <f aca="false">B46*B47</f>
        <v>276.817252862095</v>
      </c>
      <c r="C48" s="20" t="n">
        <f aca="false">C46*C47</f>
        <v>286.068564668497</v>
      </c>
      <c r="D48" s="20" t="n">
        <f aca="false">D46*D47</f>
        <v>240.540710805658</v>
      </c>
      <c r="E48" s="20" t="n">
        <f aca="false">E46*E47</f>
        <v>221.211573751422</v>
      </c>
      <c r="F48" s="20" t="n">
        <f aca="false">F46*F47</f>
        <v>207.154670090484</v>
      </c>
      <c r="G48" s="20" t="n">
        <f aca="false">G46*G47</f>
        <v>195.55352792121</v>
      </c>
      <c r="H48" s="20" t="n">
        <f aca="false">H46*H47</f>
        <v>182.987508761851</v>
      </c>
      <c r="I48" s="20" t="n">
        <f aca="false">I46*I47</f>
        <v>169.715489674762</v>
      </c>
      <c r="J48" s="20" t="n">
        <f aca="false">J46*J47</f>
        <v>155.999740523941</v>
      </c>
      <c r="K48" s="20" t="n">
        <f aca="false">K46*K47</f>
        <v>142.097151930306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5359.64787991233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2036.98825828071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4138.74444927093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171.376581750349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-0.192686160965003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692</v>
      </c>
      <c r="C56" s="13" t="n">
        <v>820</v>
      </c>
      <c r="D56" s="13" t="n">
        <v>880</v>
      </c>
      <c r="E56" s="13" t="n">
        <v>960</v>
      </c>
      <c r="F56" s="13" t="n">
        <v>1040</v>
      </c>
      <c r="G56" s="20" t="n">
        <f aca="false">F56*(1+$F57+($L57-$F57)*G$17/5)</f>
        <v>1117.65333333333</v>
      </c>
      <c r="H56" s="20" t="n">
        <f aca="false">G56*(1+$F57+($L57-$F57)*H$17/5)</f>
        <v>1191.41845333333</v>
      </c>
      <c r="I56" s="20" t="n">
        <f aca="false">H56*(1+$F57+($L57-$F57)*I$17/5)</f>
        <v>1259.72644465778</v>
      </c>
      <c r="J56" s="20" t="n">
        <f aca="false">I56*(1+$F57+($L57-$F57)*J$17/5)</f>
        <v>1321.03313163112</v>
      </c>
      <c r="K56" s="20" t="n">
        <f aca="false">J56*(1+$F57+($L57-$F57)*K$17/5)</f>
        <v>1373.87445689637</v>
      </c>
      <c r="L56" s="20" t="n">
        <f aca="false">K56*(1+L57)</f>
        <v>1428.82943517222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0.681039718207215</v>
      </c>
      <c r="C57" s="7" t="n">
        <f aca="false">C56/B56-1</f>
        <v>0.184971098265896</v>
      </c>
      <c r="D57" s="7" t="n">
        <f aca="false">D56/C56-1</f>
        <v>0.0731707317073171</v>
      </c>
      <c r="E57" s="7" t="n">
        <f aca="false">E56/D56-1</f>
        <v>0.0909090909090908</v>
      </c>
      <c r="F57" s="7" t="n">
        <f aca="false">F56/E56-1</f>
        <v>0.0833333333333333</v>
      </c>
      <c r="G57" s="7" t="n">
        <f aca="false">G56/F56-1</f>
        <v>0.0746666666666667</v>
      </c>
      <c r="H57" s="7" t="n">
        <f aca="false">H56/G56-1</f>
        <v>0.0660000000000001</v>
      </c>
      <c r="I57" s="7" t="n">
        <f aca="false">I56/H56-1</f>
        <v>0.0573333333333332</v>
      </c>
      <c r="J57" s="7" t="n">
        <f aca="false">J56/I56-1</f>
        <v>0.0486666666666666</v>
      </c>
      <c r="K57" s="7" t="n">
        <f aca="false">K56/J56-1</f>
        <v>0.04</v>
      </c>
      <c r="L57" s="21" t="n">
        <v>0.04</v>
      </c>
    </row>
    <row r="58" customFormat="false" ht="15" hidden="false" customHeight="true" outlineLevel="0" collapsed="false">
      <c r="A58" s="1" t="s">
        <v>59</v>
      </c>
      <c r="B58" s="22" t="n">
        <v>0.64</v>
      </c>
      <c r="C58" s="22" t="n">
        <v>0.63</v>
      </c>
      <c r="D58" s="22" t="n">
        <v>0.61</v>
      </c>
      <c r="E58" s="22" t="n">
        <v>0.59</v>
      </c>
      <c r="F58" s="22" t="n">
        <v>0.57</v>
      </c>
      <c r="G58" s="7" t="n">
        <f aca="false">$F58+($L58-$F58)*G$17/5</f>
        <v>0.556</v>
      </c>
      <c r="H58" s="7" t="n">
        <f aca="false">$F58+($L58-$F58)*H$17/5</f>
        <v>0.542</v>
      </c>
      <c r="I58" s="7" t="n">
        <f aca="false">$F58+($L58-$F58)*I$17/5</f>
        <v>0.528</v>
      </c>
      <c r="J58" s="7" t="n">
        <f aca="false">$F58+($L58-$F58)*J$17/5</f>
        <v>0.514</v>
      </c>
      <c r="K58" s="7" t="n">
        <f aca="false">$F58+($L58-$F58)*K$17/5</f>
        <v>0.5</v>
      </c>
      <c r="L58" s="21" t="n">
        <v>0.5</v>
      </c>
    </row>
    <row r="59" customFormat="false" ht="15" hidden="false" customHeight="true" outlineLevel="0" collapsed="false">
      <c r="A59" s="1" t="s">
        <v>60</v>
      </c>
      <c r="B59" s="20" t="n">
        <f aca="false">B56*B58</f>
        <v>442.88</v>
      </c>
      <c r="C59" s="20" t="n">
        <f aca="false">C56*C58</f>
        <v>516.6</v>
      </c>
      <c r="D59" s="20" t="n">
        <f aca="false">D56*D58</f>
        <v>536.8</v>
      </c>
      <c r="E59" s="20" t="n">
        <f aca="false">E56*E58</f>
        <v>566.4</v>
      </c>
      <c r="F59" s="20" t="n">
        <f aca="false">F56*F58</f>
        <v>592.8</v>
      </c>
      <c r="G59" s="20" t="n">
        <f aca="false">G56*G58</f>
        <v>621.415253333333</v>
      </c>
      <c r="H59" s="20" t="n">
        <f aca="false">H56*H58</f>
        <v>645.748801706667</v>
      </c>
      <c r="I59" s="20" t="n">
        <f aca="false">I56*I58</f>
        <v>665.135562779307</v>
      </c>
      <c r="J59" s="20" t="n">
        <f aca="false">J56*J58</f>
        <v>679.011029658397</v>
      </c>
      <c r="K59" s="20" t="n">
        <f aca="false">K56*K58</f>
        <v>686.937228448184</v>
      </c>
      <c r="L59" s="20" t="n">
        <f aca="false">L56*L58</f>
        <v>714.414717586111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372.0192</v>
      </c>
      <c r="C60" s="20" t="n">
        <f aca="false">C59*(1-$B$9)</f>
        <v>433.944</v>
      </c>
      <c r="D60" s="20" t="n">
        <f aca="false">D59*(1-$B$9)</f>
        <v>450.912</v>
      </c>
      <c r="E60" s="20" t="n">
        <f aca="false">E59*(1-$B$9)</f>
        <v>475.776</v>
      </c>
      <c r="F60" s="20" t="n">
        <f aca="false">F59*(1-$B$9)</f>
        <v>497.952</v>
      </c>
      <c r="G60" s="20" t="n">
        <f aca="false">G59*(1-$B$9)</f>
        <v>521.9888128</v>
      </c>
      <c r="H60" s="20" t="n">
        <f aca="false">H59*(1-$B$9)</f>
        <v>542.4289934336</v>
      </c>
      <c r="I60" s="20" t="n">
        <f aca="false">I59*(1-$B$9)</f>
        <v>558.713872734618</v>
      </c>
      <c r="J60" s="20" t="n">
        <f aca="false">J59*(1-$B$9)</f>
        <v>570.369264913054</v>
      </c>
      <c r="K60" s="20" t="n">
        <f aca="false">K59*(1-$B$9)</f>
        <v>577.027271896475</v>
      </c>
      <c r="L60" s="20" t="n">
        <f aca="false">L59*(1-$B$9)</f>
        <v>600.108362772334</v>
      </c>
    </row>
    <row r="61" customFormat="false" ht="15" hidden="false" customHeight="true" outlineLevel="0" collapsed="false">
      <c r="A61" s="1" t="s">
        <v>62</v>
      </c>
      <c r="B61" s="22" t="n">
        <v>0.03</v>
      </c>
      <c r="C61" s="22" t="n">
        <v>0.03</v>
      </c>
      <c r="D61" s="22" t="n">
        <v>0.03</v>
      </c>
      <c r="E61" s="22" t="n">
        <v>0.03</v>
      </c>
      <c r="F61" s="22" t="n">
        <v>0.03</v>
      </c>
      <c r="G61" s="7" t="n">
        <f aca="false">$F61+($L61-$F61)*G$17/5</f>
        <v>0.03</v>
      </c>
      <c r="H61" s="7" t="n">
        <f aca="false">$F61+($L61-$F61)*H$17/5</f>
        <v>0.03</v>
      </c>
      <c r="I61" s="7" t="n">
        <f aca="false">$F61+($L61-$F61)*I$17/5</f>
        <v>0.03</v>
      </c>
      <c r="J61" s="7" t="n">
        <f aca="false">$F61+($L61-$F61)*J$17/5</f>
        <v>0.03</v>
      </c>
      <c r="K61" s="7" t="n">
        <f aca="false">$F61+($L61-$F61)*K$17/5</f>
        <v>0.03</v>
      </c>
      <c r="L61" s="21" t="n">
        <v>0.03</v>
      </c>
    </row>
    <row r="62" customFormat="false" ht="15" hidden="false" customHeight="true" outlineLevel="0" collapsed="false">
      <c r="A62" s="1" t="s">
        <v>63</v>
      </c>
      <c r="B62" s="20" t="n">
        <f aca="false">B56*B61</f>
        <v>20.76</v>
      </c>
      <c r="C62" s="20" t="n">
        <f aca="false">C56*C61</f>
        <v>24.6</v>
      </c>
      <c r="D62" s="20" t="n">
        <f aca="false">D56*D61</f>
        <v>26.4</v>
      </c>
      <c r="E62" s="20" t="n">
        <f aca="false">E56*E61</f>
        <v>28.8</v>
      </c>
      <c r="F62" s="20" t="n">
        <f aca="false">F56*F61</f>
        <v>31.2</v>
      </c>
      <c r="G62" s="20" t="n">
        <f aca="false">G56*G61</f>
        <v>33.5296</v>
      </c>
      <c r="H62" s="20" t="n">
        <f aca="false">H56*H61</f>
        <v>35.7425536</v>
      </c>
      <c r="I62" s="20" t="n">
        <f aca="false">I56*I61</f>
        <v>37.7917933397333</v>
      </c>
      <c r="J62" s="20" t="n">
        <f aca="false">J56*J61</f>
        <v>39.6309939489337</v>
      </c>
      <c r="K62" s="20" t="n">
        <f aca="false">K56*K61</f>
        <v>41.216233706891</v>
      </c>
      <c r="L62" s="20" t="n">
        <f aca="false">L56*L61</f>
        <v>42.8648830551667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28.035</v>
      </c>
      <c r="C63" s="20" t="n">
        <f aca="false">$B$11*(C56-B56)</f>
        <v>12.8</v>
      </c>
      <c r="D63" s="20" t="n">
        <f aca="false">$B$11*(D56-C56)</f>
        <v>6</v>
      </c>
      <c r="E63" s="20" t="n">
        <f aca="false">$B$11*(E56-D56)</f>
        <v>8</v>
      </c>
      <c r="F63" s="20" t="n">
        <f aca="false">$B$11*(F56-E56)</f>
        <v>8</v>
      </c>
      <c r="G63" s="20" t="n">
        <f aca="false">$B$11*(G56-F56)</f>
        <v>7.76533333333334</v>
      </c>
      <c r="H63" s="20" t="n">
        <f aca="false">$B$11*(H56-G56)</f>
        <v>7.376512</v>
      </c>
      <c r="I63" s="20" t="n">
        <f aca="false">$B$11*(I56-H56)</f>
        <v>6.83079913244444</v>
      </c>
      <c r="J63" s="20" t="n">
        <f aca="false">$B$11*(J56-I56)</f>
        <v>6.13066869733452</v>
      </c>
      <c r="K63" s="20" t="n">
        <f aca="false">$B$11*(K56-J56)</f>
        <v>5.28413252652449</v>
      </c>
      <c r="L63" s="20" t="n">
        <f aca="false">$B$11*(L56-K56)</f>
        <v>5.49549782758547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323.2242</v>
      </c>
      <c r="C64" s="20" t="n">
        <f aca="false">C60-C62-C63</f>
        <v>396.544</v>
      </c>
      <c r="D64" s="20" t="n">
        <f aca="false">D60-D62-D63</f>
        <v>418.512</v>
      </c>
      <c r="E64" s="20" t="n">
        <f aca="false">E60-E62-E63</f>
        <v>438.976</v>
      </c>
      <c r="F64" s="20" t="n">
        <f aca="false">F60-F62-F63</f>
        <v>458.752</v>
      </c>
      <c r="G64" s="20" t="n">
        <f aca="false">G60-G62-G63</f>
        <v>480.693879466667</v>
      </c>
      <c r="H64" s="20" t="n">
        <f aca="false">H60-H62-H63</f>
        <v>499.3099278336</v>
      </c>
      <c r="I64" s="20" t="n">
        <f aca="false">I60-I62-I63</f>
        <v>514.09128026244</v>
      </c>
      <c r="J64" s="20" t="n">
        <f aca="false">J60-J62-J63</f>
        <v>524.607602266786</v>
      </c>
      <c r="K64" s="20" t="n">
        <f aca="false">K60-K62-K63</f>
        <v>530.526905663059</v>
      </c>
      <c r="L64" s="20" t="n">
        <f aca="false">L60-L62-L63</f>
        <v>551.747981889581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0.950357401587132</v>
      </c>
      <c r="C65" s="23" t="n">
        <f aca="false">1/(1+$B$10)^C$16</f>
        <v>0.858343028890112</v>
      </c>
      <c r="D65" s="23" t="n">
        <f aca="false">1/(1+$B$10)^D$16</f>
        <v>0.775237562220116</v>
      </c>
      <c r="E65" s="23" t="n">
        <f aca="false">1/(1+$B$10)^E$16</f>
        <v>0.700178434086087</v>
      </c>
      <c r="F65" s="23" t="n">
        <f aca="false">1/(1+$B$10)^F$16</f>
        <v>0.632386591479486</v>
      </c>
      <c r="G65" s="23" t="n">
        <f aca="false">1/(1+$B$10)^G$16</f>
        <v>0.571158409934507</v>
      </c>
      <c r="H65" s="23" t="n">
        <f aca="false">1/(1+$B$10)^H$16</f>
        <v>0.51585839047553</v>
      </c>
      <c r="I65" s="23" t="n">
        <f aca="false">1/(1+$B$10)^I$16</f>
        <v>0.465912563652032</v>
      </c>
      <c r="J65" s="23" t="n">
        <f aca="false">1/(1+$B$10)^J$16</f>
        <v>0.420802532200174</v>
      </c>
      <c r="K65" s="23" t="n">
        <f aca="false">1/(1+$B$10)^K$16</f>
        <v>0.380060090498712</v>
      </c>
    </row>
    <row r="66" customFormat="false" ht="15" hidden="false" customHeight="true" outlineLevel="0" collapsed="false">
      <c r="A66" s="1" t="s">
        <v>67</v>
      </c>
      <c r="B66" s="20" t="n">
        <f aca="false">B64*B65</f>
        <v>307.178510842079</v>
      </c>
      <c r="C66" s="20" t="n">
        <f aca="false">C64*C65</f>
        <v>340.370778048201</v>
      </c>
      <c r="D66" s="20" t="n">
        <f aca="false">D64*D65</f>
        <v>324.446222639865</v>
      </c>
      <c r="E66" s="20" t="n">
        <f aca="false">E64*E65</f>
        <v>307.361528281374</v>
      </c>
      <c r="F66" s="20" t="n">
        <f aca="false">F64*F65</f>
        <v>290.108613614397</v>
      </c>
      <c r="G66" s="20" t="n">
        <f aca="false">G64*G65</f>
        <v>274.552351861431</v>
      </c>
      <c r="H66" s="20" t="n">
        <f aca="false">H64*H65</f>
        <v>257.573215720694</v>
      </c>
      <c r="I66" s="20" t="n">
        <f aca="false">I64*I65</f>
        <v>239.521586338229</v>
      </c>
      <c r="J66" s="20" t="n">
        <f aca="false">J64*J65</f>
        <v>220.756207445325</v>
      </c>
      <c r="K66" s="20" t="n">
        <f aca="false">K64*K65</f>
        <v>201.632103778304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8210.53544478544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3120.49684418803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5907.60796275793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244.621447733248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0.152352778091425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97.5707583791546</v>
      </c>
      <c r="C75" s="7" t="n">
        <f aca="false">B75/$B$4-1</f>
        <v>-0.540367635296992</v>
      </c>
    </row>
    <row r="76" customFormat="false" ht="15" hidden="false" customHeight="true" outlineLevel="0" collapsed="false">
      <c r="A76" s="1" t="s">
        <v>78</v>
      </c>
      <c r="B76" s="8" t="n">
        <f aca="false">B52</f>
        <v>171.376581750349</v>
      </c>
      <c r="C76" s="7" t="n">
        <f aca="false">B76/$B$4-1</f>
        <v>-0.192686160965003</v>
      </c>
    </row>
    <row r="77" customFormat="false" ht="15" hidden="false" customHeight="true" outlineLevel="0" collapsed="false">
      <c r="A77" s="1" t="s">
        <v>79</v>
      </c>
      <c r="B77" s="8" t="n">
        <f aca="false">B70</f>
        <v>244.621447733248</v>
      </c>
      <c r="C77" s="7" t="n">
        <f aca="false">B77/$B$4-1</f>
        <v>0.152352778091425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171.376581750349</v>
      </c>
      <c r="C78" s="7" t="n">
        <f aca="false">B78/$B$4-1</f>
        <v>-0.192686160965003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0.494999199513784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782.739214324709</v>
      </c>
      <c r="C83" s="8" t="n">
        <f aca="false">IF(C82&gt;$L39,(SUMPRODUCT($B46:$K46/(1+C82)^$B$16:$K$16)+$L46/(C82-$L39)/(1+C82)^$K$16+$B$7+$B$8)/$B$6,"n/a")</f>
        <v>474.371410377004</v>
      </c>
      <c r="D83" s="8" t="n">
        <f aca="false">IF(D82&gt;$L39,(SUMPRODUCT($B46:$K46/(1+D82)^$B$16:$K$16)+$L46/(D82-$L39)/(1+D82)^$K$16+$B$7+$B$8)/$B$6,"n/a")</f>
        <v>342.111788643751</v>
      </c>
      <c r="E83" s="8" t="n">
        <f aca="false">IF(E82&gt;$L39,(SUMPRODUCT($B46:$K46/(1+E82)^$B$16:$K$16)+$L46/(E82-$L39)/(1+E82)^$K$16+$B$7+$B$8)/$B$6,"n/a")</f>
        <v>268.561127255731</v>
      </c>
      <c r="F83" s="8" t="n">
        <f aca="false">IF(F82&gt;$L39,(SUMPRODUCT($B46:$K46/(1+F82)^$B$16:$K$16)+$L46/(F82-$L39)/(1+F82)^$K$16+$B$7+$B$8)/$B$6,"n/a")</f>
        <v>221.700971235587</v>
      </c>
      <c r="G83" s="8" t="n">
        <f aca="false">IF(G82&gt;$L39,(SUMPRODUCT($B46:$K46/(1+G82)^$B$16:$K$16)+$L46/(G82-$L39)/(1+G82)^$K$16+$B$7+$B$8)/$B$6,"n/a")</f>
        <v>189.216162830534</v>
      </c>
      <c r="H83" s="8" t="n">
        <f aca="false">IF(H82&gt;$L39,(SUMPRODUCT($B46:$K46/(1+H82)^$B$16:$K$16)+$L46/(H82-$L39)/(1+H82)^$K$16+$B$7+$B$8)/$B$6,"n/a")</f>
        <v>165.359343292202</v>
      </c>
      <c r="I83" s="8" t="n">
        <f aca="false">IF(I82&gt;$L39,(SUMPRODUCT($B46:$K46/(1+I82)^$B$16:$K$16)+$L46/(I82-$L39)/(1+I82)^$K$16+$B$7+$B$8)/$B$6,"n/a")</f>
        <v>147.087567727063</v>
      </c>
      <c r="J83" s="8" t="n">
        <f aca="false">IF(J82&gt;$L39,(SUMPRODUCT($B46:$K46/(1+J82)^$B$16:$K$16)+$L46/(J82-$L39)/(1+J82)^$K$16+$B$7+$B$8)/$B$6,"n/a")</f>
        <v>132.638950062164</v>
      </c>
      <c r="K83" s="8" t="n">
        <f aca="false">IF(K82&gt;$L39,(SUMPRODUCT($B46:$K46/(1+K82)^$B$16:$K$16)+$L46/(K82-$L39)/(1+K82)^$K$16+$B$7+$B$8)/$B$6,"n/a")</f>
        <v>120.92265166626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2.68729609159934</v>
      </c>
      <c r="C84" s="7" t="n">
        <f aca="false">IFERROR(C83/$B$4-1,"n/a")</f>
        <v>1.23464956838611</v>
      </c>
      <c r="D84" s="7" t="n">
        <f aca="false">IFERROR(D83/$B$4-1,"n/a")</f>
        <v>0.611606315450118</v>
      </c>
      <c r="E84" s="7" t="n">
        <f aca="false">IFERROR(E83/$B$4-1,"n/a")</f>
        <v>0.265126847822363</v>
      </c>
      <c r="F84" s="7" t="n">
        <f aca="false">IFERROR(F83/$B$4-1,"n/a")</f>
        <v>0.0443799285640973</v>
      </c>
      <c r="G84" s="7" t="n">
        <f aca="false">IFERROR(G83/$B$4-1,"n/a")</f>
        <v>-0.108648187155952</v>
      </c>
      <c r="H84" s="7" t="n">
        <f aca="false">IFERROR(H83/$B$4-1,"n/a")</f>
        <v>-0.221031923439787</v>
      </c>
      <c r="I84" s="7" t="n">
        <f aca="false">IFERROR(I83/$B$4-1,"n/a")</f>
        <v>-0.307105861470404</v>
      </c>
      <c r="J84" s="7" t="n">
        <f aca="false">IFERROR(J83/$B$4-1,"n/a")</f>
        <v>-0.375169822582608</v>
      </c>
      <c r="K84" s="7" t="n">
        <f aca="false">IFERROR(K83/$B$4-1,"n/a")</f>
        <v>-0.430362485084512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0.0929001159921021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0.0503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2.22</v>
      </c>
      <c r="C13" s="3" t="s">
        <v>27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1.8174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1.8174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0.14117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0.0623</v>
      </c>
      <c r="C18" s="3" t="s">
        <v>110</v>
      </c>
    </row>
    <row r="19" customFormat="false" ht="15" hidden="false" customHeight="true" outlineLevel="0" collapsed="false">
      <c r="A19" s="1" t="s">
        <v>32</v>
      </c>
      <c r="B19" s="6" t="n">
        <f aca="false">NVDA!B9</f>
        <v>0.16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0.052332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NVDA!B4*NVDA!B6</f>
        <v>5126.562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38.86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0.99247689733772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0.00752310266228006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0.140501662605688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0.1072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0.1072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IF(B27&gt;MAX(NVDA!L21,NVDA!L39,NVDA!L57),"OK","WACC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0.1072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2026-10-28T13:32:45Z</dcterms:created>
  <dc:creator>openpyxl</dc:creator>
  <dc:description/>
  <dc:language>en-US</dc:language>
  <cp:lastModifiedBy/>
  <dcterms:modified xsi:type="dcterms:W3CDTF">2026-10-28T20:30:39Z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