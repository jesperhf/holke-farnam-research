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SLR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<sst xmlns="http://schemas.openxmlformats.org/spreadsheetml/2006/main" count="166" uniqueCount="128">
  <si>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First Solar (FSLR):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</si>
  <si>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</si>
  <si>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</si>
  <si>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</si>
  <si>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</si>
  <si>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</si>
  <si>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</si>
  <si>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</si>
  <si>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</si>
  <si>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</si>
  <si>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</si>
  <si>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</si>
  <si>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First Solar (FSLR)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</si>
  <si>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</si>
  <si>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</si>
  <si>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</si>
  <si>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</si>
  <si>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</si>
  <si>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the backlog falls below 35 GW, or if the Section 45X credits change.</t>
  </si>
  <si>
    <t xml:space="preserve">First Solar (FSLR):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</si>
  <si>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</si>
  <si>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</si>
  <si>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</si>
  <si>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</si>
  <si>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</si>
  <si>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</si>
  <si>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</si>
  <si>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</si>
  <si>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</si>
  <si>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</si>
  <si>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</si>
  <si>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None. Margins include 45X manufacturing credits, which step down from 2030 and end after 2032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</si>
  <si>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</si>
  <si>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</si>
  <si>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</si>
  <si>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</si>
  <si>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</si>
  <si>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</si>
  <si>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</si>
  <si>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$5.04B (Stock Analysis)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</si>
  <si>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</si>
  <si>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</si>
  <si>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</si>
  <si>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</si>
  <si>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</si>
  <si>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</si>
  <si>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</si>
  <si>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</si>
  <si>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</si>
  <si>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</si>
  <si>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</si>
  <si>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</si>
  <si>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</si>
  <si>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</si>
  <si>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</si>
  <si>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</si>
  <si>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module prices fall, policy turns against solar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</si>
  <si>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</si>
  <si>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</si>
  <si>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</si>
  <si>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</si>
  <si>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</si>
  <si>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</si>
  <si>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</si>
  <si>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</si>
  <si>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</si>
  <si>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</si>
  <si>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</si>
  <si>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</si>
  <si>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</si>
  <si>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</si>
  <si>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</si>
  <si>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</si>
  <si>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US capacity fills, credits step down</t>
  </si>
  <si>
    <t xml:space="preserve">Bull: data center demand, firm US pricing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</si>
  <si>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</si>
  <si>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</si>
  <si>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</si>
  <si>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</si>
  <si>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</si>
  <si>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</si>
  <si>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</si>
  <si>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</si>
  <si>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</si>
  <si>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</si>
  <si>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</si>
  <si>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</si>
  <si>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</si>
  <si>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</si>
  <si>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</si>
  <si>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</si>
  <si>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</si>
  <si>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</si>
  <si>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</si>
  <si>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</si>
  <si>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</si>
  <si>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</si>
  <si>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</si>
  <si>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FSLR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</si>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</sst>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FSLR!B4</f>
        <v>171.57</v>
      </c>
      <c r="D5" s="6" t="n">
        <f aca="false">FSLR!B10</f>
        <v>0.1022</v>
      </c>
      <c r="E5" s="5" t="n">
        <f aca="false">FSLR!B75</f>
        <v>73.3946802800488</v>
      </c>
      <c r="F5" s="5" t="n">
        <f aca="false">FSLR!B76</f>
        <v>128.377949988266</v>
      </c>
      <c r="G5" s="5" t="n">
        <f aca="false">FSLR!B77</f>
        <v>193.21628163938</v>
      </c>
      <c r="H5" s="7" t="n">
        <f aca="false">F5/C5-1</f>
        <v>-0.251745934672344</v>
      </c>
      <c r="I5" s="6" t="n">
        <f aca="false">FSLR!B86</f>
        <v>0.0757641025246946</v>
      </c>
      <c r="J5" s="8" t="n">
        <f aca="false">IF(F5&lt;10,ROUND(F5*4,0)/4,IF(F5&lt;100,ROUND(F5,0),ROUND(F5/5,0)*5))</f>
        <v>130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125</v>
      </c>
    </row>
    <row r="10" customFormat="false" ht="15" hidden="false" customHeight="true" outlineLevel="0" collapsed="false">
      <c r="A10" s="1" t="s">
        <v>15</v>
      </c>
      <c r="C10" s="8" t="n">
        <v>190</v>
      </c>
    </row>
    <row r="11" customFormat="false" ht="15" hidden="false" customHeight="true" outlineLevel="0" collapsed="false">
      <c r="A11" s="1" t="s">
        <v>16</v>
      </c>
      <c r="C11" s="8" t="n">
        <v>99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171.57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0.10747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1.53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0.12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0.1022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0.1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5.04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5</v>
      </c>
      <c r="C20" s="13" t="n">
        <v>5.3</v>
      </c>
      <c r="D20" s="13" t="n">
        <v>5.6</v>
      </c>
      <c r="E20" s="13" t="n">
        <v>5.6</v>
      </c>
      <c r="F20" s="13" t="n">
        <v>5.6</v>
      </c>
      <c r="G20" s="20" t="n">
        <f aca="false">F20*(1+$F21+($L21-$F21)*G$17/5)</f>
        <v>5.6224</v>
      </c>
      <c r="H20" s="20" t="n">
        <f aca="false">G20*(1+$F21+($L21-$F21)*H$17/5)</f>
        <v>5.6673792</v>
      </c>
      <c r="I20" s="20" t="n">
        <f aca="false">H20*(1+$F21+($L21-$F21)*I$17/5)</f>
        <v>5.7353877504</v>
      </c>
      <c r="J20" s="20" t="n">
        <f aca="false">I20*(1+$F21+($L21-$F21)*J$17/5)</f>
        <v>5.8271539544064</v>
      </c>
      <c r="K20" s="20" t="n">
        <f aca="false">J20*(1+$F21+($L21-$F21)*K$17/5)</f>
        <v>5.94369703349453</v>
      </c>
      <c r="L20" s="20" t="n">
        <f aca="false">K20*(1+L21)</f>
        <v>6.06257097416442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-0.00793650793650791</v>
      </c>
      <c r="C21" s="7" t="n">
        <f aca="false">C20/B20-1</f>
        <v>0.0600000000000001</v>
      </c>
      <c r="D21" s="7" t="n">
        <f aca="false">D20/C20-1</f>
        <v>0.0566037735849057</v>
      </c>
      <c r="E21" s="7" t="n">
        <f aca="false">E20/D20-1</f>
        <v>0</v>
      </c>
      <c r="F21" s="7" t="n">
        <f aca="false">F20/E20-1</f>
        <v>0</v>
      </c>
      <c r="G21" s="7" t="n">
        <f aca="false">G20/F20-1</f>
        <v>0.004</v>
      </c>
      <c r="H21" s="7" t="n">
        <f aca="false">H20/G20-1</f>
        <v>0.00800000000000001</v>
      </c>
      <c r="I21" s="7" t="n">
        <f aca="false">I20/H20-1</f>
        <v>0.012</v>
      </c>
      <c r="J21" s="7" t="n">
        <f aca="false">J20/I20-1</f>
        <v>0.016</v>
      </c>
      <c r="K21" s="7" t="n">
        <f aca="false">K20/J20-1</f>
        <v>0.02</v>
      </c>
      <c r="L21" s="21" t="n">
        <v>0.02</v>
      </c>
    </row>
    <row r="22" customFormat="false" ht="15" hidden="false" customHeight="true" outlineLevel="0" collapsed="false">
      <c r="A22" s="1" t="s">
        <v>59</v>
      </c>
      <c r="B22" s="22" t="n">
        <v>0.28</v>
      </c>
      <c r="C22" s="22" t="n">
        <v>0.27</v>
      </c>
      <c r="D22" s="22" t="n">
        <v>0.27</v>
      </c>
      <c r="E22" s="22" t="n">
        <v>0.2</v>
      </c>
      <c r="F22" s="22" t="n">
        <v>0.15</v>
      </c>
      <c r="G22" s="7" t="n">
        <f aca="false">$F22+($L22-$F22)*G$17/5</f>
        <v>0.14</v>
      </c>
      <c r="H22" s="7" t="n">
        <f aca="false">$F22+($L22-$F22)*H$17/5</f>
        <v>0.13</v>
      </c>
      <c r="I22" s="7" t="n">
        <f aca="false">$F22+($L22-$F22)*I$17/5</f>
        <v>0.12</v>
      </c>
      <c r="J22" s="7" t="n">
        <f aca="false">$F22+($L22-$F22)*J$17/5</f>
        <v>0.11</v>
      </c>
      <c r="K22" s="7" t="n">
        <f aca="false">$F22+($L22-$F22)*K$17/5</f>
        <v>0.1</v>
      </c>
      <c r="L22" s="21" t="n">
        <v>0.1</v>
      </c>
    </row>
    <row r="23" customFormat="false" ht="15" hidden="false" customHeight="true" outlineLevel="0" collapsed="false">
      <c r="A23" s="1" t="s">
        <v>60</v>
      </c>
      <c r="B23" s="20" t="n">
        <f aca="false">B20*B22</f>
        <v>1.4</v>
      </c>
      <c r="C23" s="20" t="n">
        <f aca="false">C20*C22</f>
        <v>1.431</v>
      </c>
      <c r="D23" s="20" t="n">
        <f aca="false">D20*D22</f>
        <v>1.512</v>
      </c>
      <c r="E23" s="20" t="n">
        <f aca="false">E20*E22</f>
        <v>1.12</v>
      </c>
      <c r="F23" s="20" t="n">
        <f aca="false">F20*F22</f>
        <v>0.84</v>
      </c>
      <c r="G23" s="20" t="n">
        <f aca="false">G20*G22</f>
        <v>0.787136</v>
      </c>
      <c r="H23" s="20" t="n">
        <f aca="false">H20*H22</f>
        <v>0.736759296</v>
      </c>
      <c r="I23" s="20" t="n">
        <f aca="false">I20*I22</f>
        <v>0.688246530048</v>
      </c>
      <c r="J23" s="20" t="n">
        <f aca="false">J20*J22</f>
        <v>0.640986934984704</v>
      </c>
      <c r="K23" s="20" t="n">
        <f aca="false">K20*K22</f>
        <v>0.594369703349453</v>
      </c>
      <c r="L23" s="20" t="n">
        <f aca="false">L20*L22</f>
        <v>0.606257097416442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1.232</v>
      </c>
      <c r="C24" s="20" t="n">
        <f aca="false">C23*(1-$B$9)</f>
        <v>1.25928</v>
      </c>
      <c r="D24" s="20" t="n">
        <f aca="false">D23*(1-$B$9)</f>
        <v>1.33056</v>
      </c>
      <c r="E24" s="20" t="n">
        <f aca="false">E23*(1-$B$9)</f>
        <v>0.9856</v>
      </c>
      <c r="F24" s="20" t="n">
        <f aca="false">F23*(1-$B$9)</f>
        <v>0.7392</v>
      </c>
      <c r="G24" s="20" t="n">
        <f aca="false">G23*(1-$B$9)</f>
        <v>0.69267968</v>
      </c>
      <c r="H24" s="20" t="n">
        <f aca="false">H23*(1-$B$9)</f>
        <v>0.64834818048</v>
      </c>
      <c r="I24" s="20" t="n">
        <f aca="false">I23*(1-$B$9)</f>
        <v>0.60565694644224</v>
      </c>
      <c r="J24" s="20" t="n">
        <f aca="false">J23*(1-$B$9)</f>
        <v>0.56406850278654</v>
      </c>
      <c r="K24" s="20" t="n">
        <f aca="false">K23*(1-$B$9)</f>
        <v>0.523045338947519</v>
      </c>
      <c r="L24" s="20" t="n">
        <f aca="false">L23*(1-$B$9)</f>
        <v>0.533506245726469</v>
      </c>
    </row>
    <row r="25" customFormat="false" ht="15" hidden="false" customHeight="true" outlineLevel="0" collapsed="false">
      <c r="A25" s="1" t="s">
        <v>62</v>
      </c>
      <c r="B25" s="22" t="n">
        <v>0.05</v>
      </c>
      <c r="C25" s="22" t="n">
        <v>0.04</v>
      </c>
      <c r="D25" s="22" t="n">
        <v>0.03</v>
      </c>
      <c r="E25" s="22" t="n">
        <v>0.03</v>
      </c>
      <c r="F25" s="22" t="n">
        <v>0.03</v>
      </c>
      <c r="G25" s="7" t="n">
        <f aca="false">$F25+($L25-$F25)*G$17/5</f>
        <v>0.03</v>
      </c>
      <c r="H25" s="7" t="n">
        <f aca="false">$F25+($L25-$F25)*H$17/5</f>
        <v>0.03</v>
      </c>
      <c r="I25" s="7" t="n">
        <f aca="false">$F25+($L25-$F25)*I$17/5</f>
        <v>0.03</v>
      </c>
      <c r="J25" s="7" t="n">
        <f aca="false">$F25+($L25-$F25)*J$17/5</f>
        <v>0.03</v>
      </c>
      <c r="K25" s="7" t="n">
        <f aca="false">$F25+($L25-$F25)*K$17/5</f>
        <v>0.03</v>
      </c>
      <c r="L25" s="21" t="n">
        <v>0.03</v>
      </c>
    </row>
    <row r="26" customFormat="false" ht="15" hidden="false" customHeight="true" outlineLevel="0" collapsed="false">
      <c r="A26" s="1" t="s">
        <v>63</v>
      </c>
      <c r="B26" s="20" t="n">
        <f aca="false">B20*B25</f>
        <v>0.25</v>
      </c>
      <c r="C26" s="20" t="n">
        <f aca="false">C20*C25</f>
        <v>0.212</v>
      </c>
      <c r="D26" s="20" t="n">
        <f aca="false">D20*D25</f>
        <v>0.168</v>
      </c>
      <c r="E26" s="20" t="n">
        <f aca="false">E20*E25</f>
        <v>0.168</v>
      </c>
      <c r="F26" s="20" t="n">
        <f aca="false">F20*F25</f>
        <v>0.168</v>
      </c>
      <c r="G26" s="20" t="n">
        <f aca="false">G20*G25</f>
        <v>0.168672</v>
      </c>
      <c r="H26" s="20" t="n">
        <f aca="false">H20*H25</f>
        <v>0.170021376</v>
      </c>
      <c r="I26" s="20" t="n">
        <f aca="false">I20*I25</f>
        <v>0.172061632512</v>
      </c>
      <c r="J26" s="20" t="n">
        <f aca="false">J20*J25</f>
        <v>0.174814618632192</v>
      </c>
      <c r="K26" s="20" t="n">
        <f aca="false">K20*K25</f>
        <v>0.178310911004836</v>
      </c>
      <c r="L26" s="20" t="n">
        <f aca="false">L20*L25</f>
        <v>0.181877129224933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-0.004</v>
      </c>
      <c r="C27" s="20" t="n">
        <f aca="false">$B$11*(C20-B20)</f>
        <v>0.03</v>
      </c>
      <c r="D27" s="20" t="n">
        <f aca="false">$B$11*(D20-C20)</f>
        <v>0.03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0.00224000000000002</v>
      </c>
      <c r="H27" s="20" t="n">
        <f aca="false">$B$11*(H20-G20)</f>
        <v>0.00449792000000002</v>
      </c>
      <c r="I27" s="20" t="n">
        <f aca="false">$B$11*(I20-H20)</f>
        <v>0.00680085504000001</v>
      </c>
      <c r="J27" s="20" t="n">
        <f aca="false">$B$11*(J20-I20)</f>
        <v>0.00917662040064</v>
      </c>
      <c r="K27" s="20" t="n">
        <f aca="false">$B$11*(K20-J20)</f>
        <v>0.0116543079088128</v>
      </c>
      <c r="L27" s="20" t="n">
        <f aca="false">$B$11*(L20-K20)</f>
        <v>0.0118873940669891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0.986</v>
      </c>
      <c r="C28" s="20" t="n">
        <f aca="false">C24-C26-C27</f>
        <v>1.01728</v>
      </c>
      <c r="D28" s="20" t="n">
        <f aca="false">D24-D26-D27</f>
        <v>1.13256</v>
      </c>
      <c r="E28" s="20" t="n">
        <f aca="false">E24-E26-E27</f>
        <v>0.8176</v>
      </c>
      <c r="F28" s="20" t="n">
        <f aca="false">F24-F26-F27</f>
        <v>0.5712</v>
      </c>
      <c r="G28" s="20" t="n">
        <f aca="false">G24-G26-G27</f>
        <v>0.52176768</v>
      </c>
      <c r="H28" s="20" t="n">
        <f aca="false">H24-H26-H27</f>
        <v>0.47382888448</v>
      </c>
      <c r="I28" s="20" t="n">
        <f aca="false">I24-I26-I27</f>
        <v>0.42679445889024</v>
      </c>
      <c r="J28" s="20" t="n">
        <f aca="false">J24-J26-J27</f>
        <v>0.380077263753708</v>
      </c>
      <c r="K28" s="20" t="n">
        <f aca="false">K24-K26-K27</f>
        <v>0.33308012003387</v>
      </c>
      <c r="L28" s="20" t="n">
        <f aca="false">L24-L26-L27</f>
        <v>0.339741722434547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0.952510554470738</v>
      </c>
      <c r="C29" s="23" t="n">
        <f aca="false">1/(1+$B$10)^C$16</f>
        <v>0.864190305271945</v>
      </c>
      <c r="D29" s="23" t="n">
        <f aca="false">1/(1+$B$10)^D$16</f>
        <v>0.784059431384454</v>
      </c>
      <c r="E29" s="23" t="n">
        <f aca="false">1/(1+$B$10)^E$16</f>
        <v>0.711358584090414</v>
      </c>
      <c r="F29" s="23" t="n">
        <f aca="false">1/(1+$B$10)^F$16</f>
        <v>0.645398824251872</v>
      </c>
      <c r="G29" s="23" t="n">
        <f aca="false">1/(1+$B$10)^G$16</f>
        <v>0.585555093677982</v>
      </c>
      <c r="H29" s="23" t="n">
        <f aca="false">1/(1+$B$10)^H$16</f>
        <v>0.531260291850828</v>
      </c>
      <c r="I29" s="23" t="n">
        <f aca="false">1/(1+$B$10)^I$16</f>
        <v>0.481999901878813</v>
      </c>
      <c r="J29" s="23" t="n">
        <f aca="false">1/(1+$B$10)^J$16</f>
        <v>0.437307114751237</v>
      </c>
      <c r="K29" s="23" t="n">
        <f aca="false">1/(1+$B$10)^K$16</f>
        <v>0.396758405689745</v>
      </c>
    </row>
    <row r="30" customFormat="false" ht="15" hidden="false" customHeight="true" outlineLevel="0" collapsed="false">
      <c r="A30" s="1" t="s">
        <v>67</v>
      </c>
      <c r="B30" s="20" t="n">
        <f aca="false">B28*B29</f>
        <v>0.939175406708148</v>
      </c>
      <c r="C30" s="20" t="n">
        <f aca="false">C28*C29</f>
        <v>0.879123513747044</v>
      </c>
      <c r="D30" s="20" t="n">
        <f aca="false">D28*D29</f>
        <v>0.887994349608777</v>
      </c>
      <c r="E30" s="20" t="n">
        <f aca="false">E28*E29</f>
        <v>0.581606778352322</v>
      </c>
      <c r="F30" s="20" t="n">
        <f aca="false">F28*F29</f>
        <v>0.368651808412669</v>
      </c>
      <c r="G30" s="20" t="n">
        <f aca="false">G28*G29</f>
        <v>0.305523722740544</v>
      </c>
      <c r="H30" s="20" t="n">
        <f aca="false">H28*H29</f>
        <v>0.251726471456197</v>
      </c>
      <c r="I30" s="20" t="n">
        <f aca="false">I28*I29</f>
        <v>0.205714887307517</v>
      </c>
      <c r="J30" s="20" t="n">
        <f aca="false">J28*J29</f>
        <v>0.166210491594679</v>
      </c>
      <c r="K30" s="20" t="n">
        <f aca="false">K28*K29</f>
        <v>0.132152337391587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4.13311097852247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1.63984652237736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7.88772628969684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73.3946802800488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-0.572217285772287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5.8</v>
      </c>
      <c r="C38" s="13" t="n">
        <v>6.4</v>
      </c>
      <c r="D38" s="13" t="n">
        <v>6.8</v>
      </c>
      <c r="E38" s="13" t="n">
        <v>6.9</v>
      </c>
      <c r="F38" s="13" t="n">
        <v>7</v>
      </c>
      <c r="G38" s="20" t="n">
        <f aca="false">F38*(1+$F39+($L39-$F39)*G$17/5)</f>
        <v>7.11615942028985</v>
      </c>
      <c r="H38" s="20" t="n">
        <f aca="false">G38*(1+$F39+($L39-$F39)*H$17/5)</f>
        <v>7.24920066162571</v>
      </c>
      <c r="I38" s="20" t="n">
        <f aca="false">H38*(1+$F39+($L39-$F39)*I$17/5)</f>
        <v>7.39996302321169</v>
      </c>
      <c r="J38" s="20" t="n">
        <f aca="false">I38*(1+$F39+($L39-$F39)*J$17/5)</f>
        <v>7.56941145185915</v>
      </c>
      <c r="K38" s="20" t="n">
        <f aca="false">J38*(1+$F39+($L39-$F39)*K$17/5)</f>
        <v>7.75864673815563</v>
      </c>
      <c r="L38" s="20" t="n">
        <f aca="false">K38*(1+L39)</f>
        <v>7.95261290660952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0.150793650793651</v>
      </c>
      <c r="C39" s="7" t="n">
        <f aca="false">C38/B38-1</f>
        <v>0.103448275862069</v>
      </c>
      <c r="D39" s="7" t="n">
        <f aca="false">D38/C38-1</f>
        <v>0.0625</v>
      </c>
      <c r="E39" s="7" t="n">
        <f aca="false">E38/D38-1</f>
        <v>0.0147058823529413</v>
      </c>
      <c r="F39" s="7" t="n">
        <f aca="false">F38/E38-1</f>
        <v>0.0144927536231882</v>
      </c>
      <c r="G39" s="7" t="n">
        <f aca="false">G38/F38-1</f>
        <v>0.0165942028985506</v>
      </c>
      <c r="H39" s="7" t="n">
        <f aca="false">H38/G38-1</f>
        <v>0.018695652173913</v>
      </c>
      <c r="I39" s="7" t="n">
        <f aca="false">I38/H38-1</f>
        <v>0.0207971014492754</v>
      </c>
      <c r="J39" s="7" t="n">
        <f aca="false">J38/I38-1</f>
        <v>0.0228985507246378</v>
      </c>
      <c r="K39" s="7" t="n">
        <f aca="false">K38/J38-1</f>
        <v>0.0249999999999999</v>
      </c>
      <c r="L39" s="21" t="n">
        <v>0.025</v>
      </c>
    </row>
    <row r="40" customFormat="false" ht="15" hidden="false" customHeight="true" outlineLevel="0" collapsed="false">
      <c r="A40" s="1" t="s">
        <v>59</v>
      </c>
      <c r="B40" s="22" t="n">
        <v>0.33</v>
      </c>
      <c r="C40" s="22" t="n">
        <v>0.34</v>
      </c>
      <c r="D40" s="22" t="n">
        <v>0.34</v>
      </c>
      <c r="E40" s="22" t="n">
        <v>0.29</v>
      </c>
      <c r="F40" s="22" t="n">
        <v>0.24</v>
      </c>
      <c r="G40" s="7" t="n">
        <f aca="false">$F40+($L40-$F40)*G$17/5</f>
        <v>0.222</v>
      </c>
      <c r="H40" s="7" t="n">
        <f aca="false">$F40+($L40-$F40)*H$17/5</f>
        <v>0.204</v>
      </c>
      <c r="I40" s="7" t="n">
        <f aca="false">$F40+($L40-$F40)*I$17/5</f>
        <v>0.186</v>
      </c>
      <c r="J40" s="7" t="n">
        <f aca="false">$F40+($L40-$F40)*J$17/5</f>
        <v>0.168</v>
      </c>
      <c r="K40" s="7" t="n">
        <f aca="false">$F40+($L40-$F40)*K$17/5</f>
        <v>0.15</v>
      </c>
      <c r="L40" s="21" t="n">
        <v>0.15</v>
      </c>
    </row>
    <row r="41" customFormat="false" ht="15" hidden="false" customHeight="true" outlineLevel="0" collapsed="false">
      <c r="A41" s="1" t="s">
        <v>60</v>
      </c>
      <c r="B41" s="20" t="n">
        <f aca="false">B38*B40</f>
        <v>1.914</v>
      </c>
      <c r="C41" s="20" t="n">
        <f aca="false">C38*C40</f>
        <v>2.176</v>
      </c>
      <c r="D41" s="20" t="n">
        <f aca="false">D38*D40</f>
        <v>2.312</v>
      </c>
      <c r="E41" s="20" t="n">
        <f aca="false">E38*E40</f>
        <v>2.001</v>
      </c>
      <c r="F41" s="20" t="n">
        <f aca="false">F38*F40</f>
        <v>1.68</v>
      </c>
      <c r="G41" s="20" t="n">
        <f aca="false">G38*G40</f>
        <v>1.57978739130435</v>
      </c>
      <c r="H41" s="20" t="n">
        <f aca="false">H38*H40</f>
        <v>1.47883693497164</v>
      </c>
      <c r="I41" s="20" t="n">
        <f aca="false">I38*I40</f>
        <v>1.37639312231737</v>
      </c>
      <c r="J41" s="20" t="n">
        <f aca="false">J38*J40</f>
        <v>1.27166112391234</v>
      </c>
      <c r="K41" s="20" t="n">
        <f aca="false">K38*K40</f>
        <v>1.16379701072334</v>
      </c>
      <c r="L41" s="20" t="n">
        <f aca="false">L38*L40</f>
        <v>1.19289193599143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1.68432</v>
      </c>
      <c r="C42" s="20" t="n">
        <f aca="false">C41*(1-$B$9)</f>
        <v>1.91488</v>
      </c>
      <c r="D42" s="20" t="n">
        <f aca="false">D41*(1-$B$9)</f>
        <v>2.03456</v>
      </c>
      <c r="E42" s="20" t="n">
        <f aca="false">E41*(1-$B$9)</f>
        <v>1.76088</v>
      </c>
      <c r="F42" s="20" t="n">
        <f aca="false">F41*(1-$B$9)</f>
        <v>1.4784</v>
      </c>
      <c r="G42" s="20" t="n">
        <f aca="false">G41*(1-$B$9)</f>
        <v>1.39021290434783</v>
      </c>
      <c r="H42" s="20" t="n">
        <f aca="false">H41*(1-$B$9)</f>
        <v>1.30137650277505</v>
      </c>
      <c r="I42" s="20" t="n">
        <f aca="false">I41*(1-$B$9)</f>
        <v>1.21122594763929</v>
      </c>
      <c r="J42" s="20" t="n">
        <f aca="false">J41*(1-$B$9)</f>
        <v>1.11906178904286</v>
      </c>
      <c r="K42" s="20" t="n">
        <f aca="false">K41*(1-$B$9)</f>
        <v>1.02414136943654</v>
      </c>
      <c r="L42" s="20" t="n">
        <f aca="false">L41*(1-$B$9)</f>
        <v>1.04974490367246</v>
      </c>
    </row>
    <row r="43" customFormat="false" ht="15" hidden="false" customHeight="true" outlineLevel="0" collapsed="false">
      <c r="A43" s="1" t="s">
        <v>62</v>
      </c>
      <c r="B43" s="22" t="n">
        <v>0.06</v>
      </c>
      <c r="C43" s="22" t="n">
        <v>0.05</v>
      </c>
      <c r="D43" s="22" t="n">
        <v>0.04</v>
      </c>
      <c r="E43" s="22" t="n">
        <v>0.03</v>
      </c>
      <c r="F43" s="22" t="n">
        <v>0.03</v>
      </c>
      <c r="G43" s="7" t="n">
        <f aca="false">$F43+($L43-$F43)*G$17/5</f>
        <v>0.03</v>
      </c>
      <c r="H43" s="7" t="n">
        <f aca="false">$F43+($L43-$F43)*H$17/5</f>
        <v>0.03</v>
      </c>
      <c r="I43" s="7" t="n">
        <f aca="false">$F43+($L43-$F43)*I$17/5</f>
        <v>0.03</v>
      </c>
      <c r="J43" s="7" t="n">
        <f aca="false">$F43+($L43-$F43)*J$17/5</f>
        <v>0.03</v>
      </c>
      <c r="K43" s="7" t="n">
        <f aca="false">$F43+($L43-$F43)*K$17/5</f>
        <v>0.03</v>
      </c>
      <c r="L43" s="21" t="n">
        <v>0.03</v>
      </c>
    </row>
    <row r="44" customFormat="false" ht="15" hidden="false" customHeight="true" outlineLevel="0" collapsed="false">
      <c r="A44" s="1" t="s">
        <v>63</v>
      </c>
      <c r="B44" s="20" t="n">
        <f aca="false">B38*B43</f>
        <v>0.348</v>
      </c>
      <c r="C44" s="20" t="n">
        <f aca="false">C38*C43</f>
        <v>0.32</v>
      </c>
      <c r="D44" s="20" t="n">
        <f aca="false">D38*D43</f>
        <v>0.272</v>
      </c>
      <c r="E44" s="20" t="n">
        <f aca="false">E38*E43</f>
        <v>0.207</v>
      </c>
      <c r="F44" s="20" t="n">
        <f aca="false">F38*F43</f>
        <v>0.21</v>
      </c>
      <c r="G44" s="20" t="n">
        <f aca="false">G38*G43</f>
        <v>0.213484782608696</v>
      </c>
      <c r="H44" s="20" t="n">
        <f aca="false">H38*H43</f>
        <v>0.217476019848771</v>
      </c>
      <c r="I44" s="20" t="n">
        <f aca="false">I38*I43</f>
        <v>0.221998890696351</v>
      </c>
      <c r="J44" s="20" t="n">
        <f aca="false">J38*J43</f>
        <v>0.227082343555774</v>
      </c>
      <c r="K44" s="20" t="n">
        <f aca="false">K38*K43</f>
        <v>0.232759402144669</v>
      </c>
      <c r="L44" s="20" t="n">
        <f aca="false">L38*L43</f>
        <v>0.238578387198286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0.076</v>
      </c>
      <c r="C45" s="20" t="n">
        <f aca="false">$B$11*(C38-B38)</f>
        <v>0.0600000000000001</v>
      </c>
      <c r="D45" s="20" t="n">
        <f aca="false">$B$11*(D38-C38)</f>
        <v>0.04</v>
      </c>
      <c r="E45" s="20" t="n">
        <f aca="false">$B$11*(E38-D38)</f>
        <v>0.0100000000000001</v>
      </c>
      <c r="F45" s="20" t="n">
        <f aca="false">$B$11*(F38-E38)</f>
        <v>0.00999999999999997</v>
      </c>
      <c r="G45" s="20" t="n">
        <f aca="false">$B$11*(G38-F38)</f>
        <v>0.0116159420289854</v>
      </c>
      <c r="H45" s="20" t="n">
        <f aca="false">$B$11*(H38-G38)</f>
        <v>0.0133041241335854</v>
      </c>
      <c r="I45" s="20" t="n">
        <f aca="false">$B$11*(I38-H38)</f>
        <v>0.0150762361585984</v>
      </c>
      <c r="J45" s="20" t="n">
        <f aca="false">$B$11*(J38-I38)</f>
        <v>0.0169448428647457</v>
      </c>
      <c r="K45" s="20" t="n">
        <f aca="false">$B$11*(K38-J38)</f>
        <v>0.0189235286296478</v>
      </c>
      <c r="L45" s="20" t="n">
        <f aca="false">$B$11*(L38-K38)</f>
        <v>0.019396616845389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1.26032</v>
      </c>
      <c r="C46" s="20" t="n">
        <f aca="false">C42-C44-C45</f>
        <v>1.53488</v>
      </c>
      <c r="D46" s="20" t="n">
        <f aca="false">D42-D44-D45</f>
        <v>1.72256</v>
      </c>
      <c r="E46" s="20" t="n">
        <f aca="false">E42-E44-E45</f>
        <v>1.54388</v>
      </c>
      <c r="F46" s="20" t="n">
        <f aca="false">F42-F44-F45</f>
        <v>1.2584</v>
      </c>
      <c r="G46" s="20" t="n">
        <f aca="false">G42-G44-G45</f>
        <v>1.16511217971015</v>
      </c>
      <c r="H46" s="20" t="n">
        <f aca="false">H42-H44-H45</f>
        <v>1.07059635879269</v>
      </c>
      <c r="I46" s="20" t="n">
        <f aca="false">I42-I44-I45</f>
        <v>0.974150820784341</v>
      </c>
      <c r="J46" s="20" t="n">
        <f aca="false">J42-J44-J45</f>
        <v>0.875034602622336</v>
      </c>
      <c r="K46" s="20" t="n">
        <f aca="false">K42-K44-K45</f>
        <v>0.772458438662226</v>
      </c>
      <c r="L46" s="20" t="n">
        <f aca="false">L42-L44-L45</f>
        <v>0.791769899628782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0.952510554470738</v>
      </c>
      <c r="C47" s="23" t="n">
        <f aca="false">1/(1+$B$10)^C$16</f>
        <v>0.864190305271945</v>
      </c>
      <c r="D47" s="23" t="n">
        <f aca="false">1/(1+$B$10)^D$16</f>
        <v>0.784059431384454</v>
      </c>
      <c r="E47" s="23" t="n">
        <f aca="false">1/(1+$B$10)^E$16</f>
        <v>0.711358584090414</v>
      </c>
      <c r="F47" s="23" t="n">
        <f aca="false">1/(1+$B$10)^F$16</f>
        <v>0.645398824251872</v>
      </c>
      <c r="G47" s="23" t="n">
        <f aca="false">1/(1+$B$10)^G$16</f>
        <v>0.585555093677982</v>
      </c>
      <c r="H47" s="23" t="n">
        <f aca="false">1/(1+$B$10)^H$16</f>
        <v>0.531260291850828</v>
      </c>
      <c r="I47" s="23" t="n">
        <f aca="false">1/(1+$B$10)^I$16</f>
        <v>0.481999901878813</v>
      </c>
      <c r="J47" s="23" t="n">
        <f aca="false">1/(1+$B$10)^J$16</f>
        <v>0.437307114751237</v>
      </c>
      <c r="K47" s="23" t="n">
        <f aca="false">1/(1+$B$10)^K$16</f>
        <v>0.396758405689745</v>
      </c>
    </row>
    <row r="48" customFormat="false" ht="15" hidden="false" customHeight="true" outlineLevel="0" collapsed="false">
      <c r="A48" s="1" t="s">
        <v>67</v>
      </c>
      <c r="B48" s="20" t="n">
        <f aca="false">B46*B47</f>
        <v>1.20046810201056</v>
      </c>
      <c r="C48" s="20" t="n">
        <f aca="false">C46*C47</f>
        <v>1.3264284157558</v>
      </c>
      <c r="D48" s="20" t="n">
        <f aca="false">D46*D47</f>
        <v>1.35058941412561</v>
      </c>
      <c r="E48" s="20" t="n">
        <f aca="false">E46*E47</f>
        <v>1.09825229080551</v>
      </c>
      <c r="F48" s="20" t="n">
        <f aca="false">F46*F47</f>
        <v>0.812169880438556</v>
      </c>
      <c r="G48" s="20" t="n">
        <f aca="false">G46*G47</f>
        <v>0.682237371535532</v>
      </c>
      <c r="H48" s="20" t="n">
        <f aca="false">H46*H47</f>
        <v>0.568765334026638</v>
      </c>
      <c r="I48" s="20" t="n">
        <f aca="false">I46*I47</f>
        <v>0.469540600033217</v>
      </c>
      <c r="J48" s="20" t="n">
        <f aca="false">J46*J47</f>
        <v>0.382658857380269</v>
      </c>
      <c r="K48" s="20" t="n">
        <f aca="false">K46*K47</f>
        <v>0.306479378585214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10.2560867827562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4.06918864054203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13.7967782852389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128.377949988266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-0.251745934672344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6.2</v>
      </c>
      <c r="C56" s="13" t="n">
        <v>7.2</v>
      </c>
      <c r="D56" s="13" t="n">
        <v>8</v>
      </c>
      <c r="E56" s="13" t="n">
        <v>8.6</v>
      </c>
      <c r="F56" s="13" t="n">
        <v>9.2</v>
      </c>
      <c r="G56" s="20" t="n">
        <f aca="false">F56*(1+$F57+($L57-$F57)*G$17/5)</f>
        <v>9.76868837209302</v>
      </c>
      <c r="H56" s="20" t="n">
        <f aca="false">G56*(1+$F57+($L57-$F57)*H$17/5)</f>
        <v>10.2948344713899</v>
      </c>
      <c r="I56" s="20" t="n">
        <f aca="false">H56*(1+$F57+($L57-$F57)*I$17/5)</f>
        <v>10.7674391980533</v>
      </c>
      <c r="J56" s="20" t="n">
        <f aca="false">I56*(1+$F57+($L57-$F57)*J$17/5)</f>
        <v>11.1761010764538</v>
      </c>
      <c r="K56" s="20" t="n">
        <f aca="false">J56*(1+$F57+($L57-$F57)*K$17/5)</f>
        <v>11.5113841087474</v>
      </c>
      <c r="L56" s="20" t="n">
        <f aca="false">K56*(1+L57)</f>
        <v>11.8567256320099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0.23015873015873</v>
      </c>
      <c r="C57" s="7" t="n">
        <f aca="false">C56/B56-1</f>
        <v>0.161290322580645</v>
      </c>
      <c r="D57" s="7" t="n">
        <f aca="false">D56/C56-1</f>
        <v>0.111111111111111</v>
      </c>
      <c r="E57" s="7" t="n">
        <f aca="false">E56/D56-1</f>
        <v>0.075</v>
      </c>
      <c r="F57" s="7" t="n">
        <f aca="false">F56/E56-1</f>
        <v>0.069767441860465</v>
      </c>
      <c r="G57" s="7" t="n">
        <f aca="false">G56/F56-1</f>
        <v>0.0618139534883719</v>
      </c>
      <c r="H57" s="7" t="n">
        <f aca="false">H56/G56-1</f>
        <v>0.0538604651162791</v>
      </c>
      <c r="I57" s="7" t="n">
        <f aca="false">I56/H56-1</f>
        <v>0.045906976744186</v>
      </c>
      <c r="J57" s="7" t="n">
        <f aca="false">J56/I56-1</f>
        <v>0.0379534883720929</v>
      </c>
      <c r="K57" s="7" t="n">
        <f aca="false">K56/J56-1</f>
        <v>0.03</v>
      </c>
      <c r="L57" s="21" t="n">
        <v>0.03</v>
      </c>
    </row>
    <row r="58" customFormat="false" ht="15" hidden="false" customHeight="true" outlineLevel="0" collapsed="false">
      <c r="A58" s="1" t="s">
        <v>59</v>
      </c>
      <c r="B58" s="22" t="n">
        <v>0.35</v>
      </c>
      <c r="C58" s="22" t="n">
        <v>0.36</v>
      </c>
      <c r="D58" s="22" t="n">
        <v>0.36</v>
      </c>
      <c r="E58" s="22" t="n">
        <v>0.31</v>
      </c>
      <c r="F58" s="22" t="n">
        <v>0.27</v>
      </c>
      <c r="G58" s="7" t="n">
        <f aca="false">$F58+($L58-$F58)*G$17/5</f>
        <v>0.252</v>
      </c>
      <c r="H58" s="7" t="n">
        <f aca="false">$F58+($L58-$F58)*H$17/5</f>
        <v>0.234</v>
      </c>
      <c r="I58" s="7" t="n">
        <f aca="false">$F58+($L58-$F58)*I$17/5</f>
        <v>0.216</v>
      </c>
      <c r="J58" s="7" t="n">
        <f aca="false">$F58+($L58-$F58)*J$17/5</f>
        <v>0.198</v>
      </c>
      <c r="K58" s="7" t="n">
        <f aca="false">$F58+($L58-$F58)*K$17/5</f>
        <v>0.18</v>
      </c>
      <c r="L58" s="21" t="n">
        <v>0.18</v>
      </c>
    </row>
    <row r="59" customFormat="false" ht="15" hidden="false" customHeight="true" outlineLevel="0" collapsed="false">
      <c r="A59" s="1" t="s">
        <v>60</v>
      </c>
      <c r="B59" s="20" t="n">
        <f aca="false">B56*B58</f>
        <v>2.17</v>
      </c>
      <c r="C59" s="20" t="n">
        <f aca="false">C56*C58</f>
        <v>2.592</v>
      </c>
      <c r="D59" s="20" t="n">
        <f aca="false">D56*D58</f>
        <v>2.88</v>
      </c>
      <c r="E59" s="20" t="n">
        <f aca="false">E56*E58</f>
        <v>2.666</v>
      </c>
      <c r="F59" s="20" t="n">
        <f aca="false">F56*F58</f>
        <v>2.484</v>
      </c>
      <c r="G59" s="20" t="n">
        <f aca="false">G56*G58</f>
        <v>2.46170946976744</v>
      </c>
      <c r="H59" s="20" t="n">
        <f aca="false">H56*H58</f>
        <v>2.40899126630525</v>
      </c>
      <c r="I59" s="20" t="n">
        <f aca="false">I56*I58</f>
        <v>2.32576686677951</v>
      </c>
      <c r="J59" s="20" t="n">
        <f aca="false">J56*J58</f>
        <v>2.21286801313785</v>
      </c>
      <c r="K59" s="20" t="n">
        <f aca="false">K56*K58</f>
        <v>2.07204913957454</v>
      </c>
      <c r="L59" s="20" t="n">
        <f aca="false">L56*L58</f>
        <v>2.13421061376177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1.9096</v>
      </c>
      <c r="C60" s="20" t="n">
        <f aca="false">C59*(1-$B$9)</f>
        <v>2.28096</v>
      </c>
      <c r="D60" s="20" t="n">
        <f aca="false">D59*(1-$B$9)</f>
        <v>2.5344</v>
      </c>
      <c r="E60" s="20" t="n">
        <f aca="false">E59*(1-$B$9)</f>
        <v>2.34608</v>
      </c>
      <c r="F60" s="20" t="n">
        <f aca="false">F59*(1-$B$9)</f>
        <v>2.18592</v>
      </c>
      <c r="G60" s="20" t="n">
        <f aca="false">G59*(1-$B$9)</f>
        <v>2.16630433339535</v>
      </c>
      <c r="H60" s="20" t="n">
        <f aca="false">H59*(1-$B$9)</f>
        <v>2.11991231434862</v>
      </c>
      <c r="I60" s="20" t="n">
        <f aca="false">I59*(1-$B$9)</f>
        <v>2.04667484276597</v>
      </c>
      <c r="J60" s="20" t="n">
        <f aca="false">J59*(1-$B$9)</f>
        <v>1.94732385156131</v>
      </c>
      <c r="K60" s="20" t="n">
        <f aca="false">K59*(1-$B$9)</f>
        <v>1.82340324282559</v>
      </c>
      <c r="L60" s="20" t="n">
        <f aca="false">L59*(1-$B$9)</f>
        <v>1.87810534011036</v>
      </c>
    </row>
    <row r="61" customFormat="false" ht="15" hidden="false" customHeight="true" outlineLevel="0" collapsed="false">
      <c r="A61" s="1" t="s">
        <v>62</v>
      </c>
      <c r="B61" s="22" t="n">
        <v>0.07</v>
      </c>
      <c r="C61" s="22" t="n">
        <v>0.06</v>
      </c>
      <c r="D61" s="22" t="n">
        <v>0.05</v>
      </c>
      <c r="E61" s="22" t="n">
        <v>0.04</v>
      </c>
      <c r="F61" s="22" t="n">
        <v>0.03</v>
      </c>
      <c r="G61" s="7" t="n">
        <f aca="false">$F61+($L61-$F61)*G$17/5</f>
        <v>0.03</v>
      </c>
      <c r="H61" s="7" t="n">
        <f aca="false">$F61+($L61-$F61)*H$17/5</f>
        <v>0.03</v>
      </c>
      <c r="I61" s="7" t="n">
        <f aca="false">$F61+($L61-$F61)*I$17/5</f>
        <v>0.03</v>
      </c>
      <c r="J61" s="7" t="n">
        <f aca="false">$F61+($L61-$F61)*J$17/5</f>
        <v>0.03</v>
      </c>
      <c r="K61" s="7" t="n">
        <f aca="false">$F61+($L61-$F61)*K$17/5</f>
        <v>0.03</v>
      </c>
      <c r="L61" s="21" t="n">
        <v>0.03</v>
      </c>
    </row>
    <row r="62" customFormat="false" ht="15" hidden="false" customHeight="true" outlineLevel="0" collapsed="false">
      <c r="A62" s="1" t="s">
        <v>63</v>
      </c>
      <c r="B62" s="20" t="n">
        <f aca="false">B56*B61</f>
        <v>0.434</v>
      </c>
      <c r="C62" s="20" t="n">
        <f aca="false">C56*C61</f>
        <v>0.432</v>
      </c>
      <c r="D62" s="20" t="n">
        <f aca="false">D56*D61</f>
        <v>0.4</v>
      </c>
      <c r="E62" s="20" t="n">
        <f aca="false">E56*E61</f>
        <v>0.344</v>
      </c>
      <c r="F62" s="20" t="n">
        <f aca="false">F56*F61</f>
        <v>0.276</v>
      </c>
      <c r="G62" s="20" t="n">
        <f aca="false">G56*G61</f>
        <v>0.293060651162791</v>
      </c>
      <c r="H62" s="20" t="n">
        <f aca="false">H56*H61</f>
        <v>0.308845034141698</v>
      </c>
      <c r="I62" s="20" t="n">
        <f aca="false">I56*I61</f>
        <v>0.323023175941598</v>
      </c>
      <c r="J62" s="20" t="n">
        <f aca="false">J56*J61</f>
        <v>0.335283032293614</v>
      </c>
      <c r="K62" s="20" t="n">
        <f aca="false">K56*K61</f>
        <v>0.345341523262423</v>
      </c>
      <c r="L62" s="20" t="n">
        <f aca="false">L56*L61</f>
        <v>0.355701768960296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0.116</v>
      </c>
      <c r="C63" s="20" t="n">
        <f aca="false">$B$11*(C56-B56)</f>
        <v>0.1</v>
      </c>
      <c r="D63" s="20" t="n">
        <f aca="false">$B$11*(D56-C56)</f>
        <v>0.08</v>
      </c>
      <c r="E63" s="20" t="n">
        <f aca="false">$B$11*(E56-D56)</f>
        <v>0.06</v>
      </c>
      <c r="F63" s="20" t="n">
        <f aca="false">$B$11*(F56-E56)</f>
        <v>0.06</v>
      </c>
      <c r="G63" s="20" t="n">
        <f aca="false">$B$11*(G56-F56)</f>
        <v>0.0568688372093021</v>
      </c>
      <c r="H63" s="20" t="n">
        <f aca="false">$B$11*(H56-G56)</f>
        <v>0.0526146099296916</v>
      </c>
      <c r="I63" s="20" t="n">
        <f aca="false">$B$11*(I56-H56)</f>
        <v>0.0472604726663342</v>
      </c>
      <c r="J63" s="20" t="n">
        <f aca="false">$B$11*(J56-I56)</f>
        <v>0.0408661878400533</v>
      </c>
      <c r="K63" s="20" t="n">
        <f aca="false">$B$11*(K56-J56)</f>
        <v>0.0335283032293615</v>
      </c>
      <c r="L63" s="20" t="n">
        <f aca="false">$B$11*(L56-K56)</f>
        <v>0.0345341523262423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1.3596</v>
      </c>
      <c r="C64" s="20" t="n">
        <f aca="false">C60-C62-C63</f>
        <v>1.74896</v>
      </c>
      <c r="D64" s="20" t="n">
        <f aca="false">D60-D62-D63</f>
        <v>2.0544</v>
      </c>
      <c r="E64" s="20" t="n">
        <f aca="false">E60-E62-E63</f>
        <v>1.94208</v>
      </c>
      <c r="F64" s="20" t="n">
        <f aca="false">F60-F62-F63</f>
        <v>1.84992</v>
      </c>
      <c r="G64" s="20" t="n">
        <f aca="false">G60-G62-G63</f>
        <v>1.81637484502326</v>
      </c>
      <c r="H64" s="20" t="n">
        <f aca="false">H60-H62-H63</f>
        <v>1.75845267027723</v>
      </c>
      <c r="I64" s="20" t="n">
        <f aca="false">I60-I62-I63</f>
        <v>1.67639119415803</v>
      </c>
      <c r="J64" s="20" t="n">
        <f aca="false">J60-J62-J63</f>
        <v>1.57117463142764</v>
      </c>
      <c r="K64" s="20" t="n">
        <f aca="false">K60-K62-K63</f>
        <v>1.44453341633381</v>
      </c>
      <c r="L64" s="20" t="n">
        <f aca="false">L60-L62-L63</f>
        <v>1.48786941882382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0.952510554470738</v>
      </c>
      <c r="C65" s="23" t="n">
        <f aca="false">1/(1+$B$10)^C$16</f>
        <v>0.864190305271945</v>
      </c>
      <c r="D65" s="23" t="n">
        <f aca="false">1/(1+$B$10)^D$16</f>
        <v>0.784059431384454</v>
      </c>
      <c r="E65" s="23" t="n">
        <f aca="false">1/(1+$B$10)^E$16</f>
        <v>0.711358584090414</v>
      </c>
      <c r="F65" s="23" t="n">
        <f aca="false">1/(1+$B$10)^F$16</f>
        <v>0.645398824251872</v>
      </c>
      <c r="G65" s="23" t="n">
        <f aca="false">1/(1+$B$10)^G$16</f>
        <v>0.585555093677982</v>
      </c>
      <c r="H65" s="23" t="n">
        <f aca="false">1/(1+$B$10)^H$16</f>
        <v>0.531260291850828</v>
      </c>
      <c r="I65" s="23" t="n">
        <f aca="false">1/(1+$B$10)^I$16</f>
        <v>0.481999901878813</v>
      </c>
      <c r="J65" s="23" t="n">
        <f aca="false">1/(1+$B$10)^J$16</f>
        <v>0.437307114751237</v>
      </c>
      <c r="K65" s="23" t="n">
        <f aca="false">1/(1+$B$10)^K$16</f>
        <v>0.396758405689745</v>
      </c>
    </row>
    <row r="66" customFormat="false" ht="15" hidden="false" customHeight="true" outlineLevel="0" collapsed="false">
      <c r="A66" s="1" t="s">
        <v>67</v>
      </c>
      <c r="B66" s="20" t="n">
        <f aca="false">B64*B65</f>
        <v>1.29503334985842</v>
      </c>
      <c r="C66" s="20" t="n">
        <f aca="false">C64*C65</f>
        <v>1.51143427630842</v>
      </c>
      <c r="D66" s="20" t="n">
        <f aca="false">D64*D65</f>
        <v>1.61077169583622</v>
      </c>
      <c r="E66" s="20" t="n">
        <f aca="false">E64*E65</f>
        <v>1.38151527899031</v>
      </c>
      <c r="F66" s="20" t="n">
        <f aca="false">F64*F65</f>
        <v>1.19393619296002</v>
      </c>
      <c r="G66" s="20" t="n">
        <f aca="false">G64*G65</f>
        <v>1.06358754253192</v>
      </c>
      <c r="H66" s="20" t="n">
        <f aca="false">H64*H65</f>
        <v>0.934196078817346</v>
      </c>
      <c r="I66" s="20" t="n">
        <f aca="false">I64*I65</f>
        <v>0.808020391094679</v>
      </c>
      <c r="J66" s="20" t="n">
        <f aca="false">J64*J65</f>
        <v>0.687085844839961</v>
      </c>
      <c r="K66" s="20" t="n">
        <f aca="false">K64*K65</f>
        <v>0.573130775230162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20.6076096790003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8.17624236131671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20.7649537877842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193.21628163938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0.126165889370986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73.3946802800488</v>
      </c>
      <c r="C75" s="7" t="n">
        <f aca="false">B75/$B$4-1</f>
        <v>-0.572217285772287</v>
      </c>
    </row>
    <row r="76" customFormat="false" ht="15" hidden="false" customHeight="true" outlineLevel="0" collapsed="false">
      <c r="A76" s="1" t="s">
        <v>78</v>
      </c>
      <c r="B76" s="8" t="n">
        <f aca="false">B52</f>
        <v>128.377949988266</v>
      </c>
      <c r="C76" s="7" t="n">
        <f aca="false">B76/$B$4-1</f>
        <v>-0.251745934672344</v>
      </c>
    </row>
    <row r="77" customFormat="false" ht="15" hidden="false" customHeight="true" outlineLevel="0" collapsed="false">
      <c r="A77" s="1" t="s">
        <v>79</v>
      </c>
      <c r="B77" s="8" t="n">
        <f aca="false">B70</f>
        <v>193.21628163938</v>
      </c>
      <c r="C77" s="7" t="n">
        <f aca="false">B77/$B$4-1</f>
        <v>0.126165889370986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128.377949988266</v>
      </c>
      <c r="C78" s="7" t="n">
        <f aca="false">B78/$B$4-1</f>
        <v>-0.251745934672344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0.331724316354412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291.769587008621</v>
      </c>
      <c r="C83" s="8" t="n">
        <f aca="false">IF(C82&gt;$L39,(SUMPRODUCT($B46:$K46/(1+C82)^$B$16:$K$16)+$L46/(C82-$L39)/(1+C82)^$K$16+$B$7+$B$8)/$B$6,"n/a")</f>
        <v>223.946592470086</v>
      </c>
      <c r="D83" s="8" t="n">
        <f aca="false">IF(D82&gt;$L39,(SUMPRODUCT($B46:$K46/(1+D82)^$B$16:$K$16)+$L46/(D82-$L39)/(1+D82)^$K$16+$B$7+$B$8)/$B$6,"n/a")</f>
        <v>185.781413046447</v>
      </c>
      <c r="E83" s="8" t="n">
        <f aca="false">IF(E82&gt;$L39,(SUMPRODUCT($B46:$K46/(1+E82)^$B$16:$K$16)+$L46/(E82-$L39)/(1+E82)^$K$16+$B$7+$B$8)/$B$6,"n/a")</f>
        <v>161.126381347127</v>
      </c>
      <c r="F83" s="8" t="n">
        <f aca="false">IF(F82&gt;$L39,(SUMPRODUCT($B46:$K46/(1+F82)^$B$16:$K$16)+$L46/(F82-$L39)/(1+F82)^$K$16+$B$7+$B$8)/$B$6,"n/a")</f>
        <v>143.76872298511</v>
      </c>
      <c r="G83" s="8" t="n">
        <f aca="false">IF(G82&gt;$L39,(SUMPRODUCT($B46:$K46/(1+G82)^$B$16:$K$16)+$L46/(G82-$L39)/(1+G82)^$K$16+$B$7+$B$8)/$B$6,"n/a")</f>
        <v>130.807473417064</v>
      </c>
      <c r="H83" s="8" t="n">
        <f aca="false">IF(H82&gt;$L39,(SUMPRODUCT($B46:$K46/(1+H82)^$B$16:$K$16)+$L46/(H82-$L39)/(1+H82)^$K$16+$B$7+$B$8)/$B$6,"n/a")</f>
        <v>120.705495484594</v>
      </c>
      <c r="I83" s="8" t="n">
        <f aca="false">IF(I82&gt;$L39,(SUMPRODUCT($B46:$K46/(1+I82)^$B$16:$K$16)+$L46/(I82-$L39)/(1+I82)^$K$16+$B$7+$B$8)/$B$6,"n/a")</f>
        <v>112.571788357107</v>
      </c>
      <c r="J83" s="8" t="n">
        <f aca="false">IF(J82&gt;$L39,(SUMPRODUCT($B46:$K46/(1+J82)^$B$16:$K$16)+$L46/(J82-$L39)/(1+J82)^$K$16+$B$7+$B$8)/$B$6,"n/a")</f>
        <v>105.853894989508</v>
      </c>
      <c r="K83" s="8" t="n">
        <f aca="false">IF(K82&gt;$L39,(SUMPRODUCT($B46:$K46/(1+K82)^$B$16:$K$16)+$L46/(K82-$L39)/(1+K82)^$K$16+$B$7+$B$8)/$B$6,"n/a")</f>
        <v>100.19078401712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0.700586273874341</v>
      </c>
      <c r="C84" s="7" t="n">
        <f aca="false">IFERROR(C83/$B$4-1,"n/a")</f>
        <v>0.305278268170927</v>
      </c>
      <c r="D84" s="7" t="n">
        <f aca="false">IFERROR(D83/$B$4-1,"n/a")</f>
        <v>0.0828315733895637</v>
      </c>
      <c r="E84" s="7" t="n">
        <f aca="false">IFERROR(E83/$B$4-1,"n/a")</f>
        <v>-0.0608708903239061</v>
      </c>
      <c r="F84" s="7" t="n">
        <f aca="false">IFERROR(F83/$B$4-1,"n/a")</f>
        <v>-0.162040432563329</v>
      </c>
      <c r="G84" s="7" t="n">
        <f aca="false">IFERROR(G83/$B$4-1,"n/a")</f>
        <v>-0.237585397114509</v>
      </c>
      <c r="H84" s="7" t="n">
        <f aca="false">IFERROR(H83/$B$4-1,"n/a")</f>
        <v>-0.296465026026732</v>
      </c>
      <c r="I84" s="7" t="n">
        <f aca="false">IFERROR(I83/$B$4-1,"n/a")</f>
        <v>-0.343872539738261</v>
      </c>
      <c r="J84" s="7" t="n">
        <f aca="false">IFERROR(J83/$B$4-1,"n/a")</f>
        <v>-0.383027947837572</v>
      </c>
      <c r="K84" s="7" t="n">
        <f aca="false">IFERROR(K83/$B$4-1,"n/a")</f>
        <v>-0.416035530587398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0.0757641025246946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0.0503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1.79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1.5293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1.5293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0.126765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0.0623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FSLR!B9</f>
        <v>0.12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0.054824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FSLR!B4*FSLR!B6</f>
        <v>18.4386279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0.194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0.9895881568053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0.0104118431947004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0.12601596158873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0.1022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0.1022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IF(B27&gt;MAX(FSLR!L21,FSLR!L39,FSLR!L57),"OK","WACC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0.1022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2026-10-28T13:32:49Z</dcterms:created>
  <dc:creator>openpyxl</dc:creator>
  <dc:description/>
  <dc:language>en-US</dc:language>
  <cp:lastModifiedBy/>
  <dcterms:modified xsi:type="dcterms:W3CDTF">2026-10-28T20:30:32Z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