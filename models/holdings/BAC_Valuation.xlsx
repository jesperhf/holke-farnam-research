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C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<sst xmlns="http://schemas.openxmlformats.org/spreadsheetml/2006/main" count="128" uniqueCount="103">
  <si>
    <t xml:space="preserve">Bank of America (BAC):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</si>
  <si>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</si>
  <si>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</si>
  <si>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</si>
  <si>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</si>
  <si>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</si>
  <si>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</si>
  <si>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</si>
  <si>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</si>
  <si>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</si>
  <si>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</si>
  <si>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</si>
  <si>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Bank of America (BAC)</t>
  </si>
  <si>
    <t xml:space="preserve">Residual income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</si>
  <si>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</si>
  <si>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</si>
  <si>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</si>
  <si>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</si>
  <si>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if return on tangible equity is below 12% excluding one-offs, or if expenses outgrow revenue for two more quarters.</t>
  </si>
  <si>
    <t xml:space="preserve">Bank of America (BAC): residual income valuation</t>
  </si>
  <si>
    <t xml:space="preserve">Per-share values. A bank is worth its tangible book plus the present value of future returns above its cost of equity. Years 6 to 10 fade ROTCE to the terminal level.</t>
  </si>
  <si>
    <t xml:space="preserve">Share price ($)</t>
  </si>
  <si>
    <t xml:space="preserve">Oct 23, 2026 intraday (Yahoo Finance via the site's price feed)</t>
  </si>
  <si>
    <t xml:space="preserve">Price date</t>
  </si>
  <si>
    <t xml:space="preserve">Oct 23, 2026</t>
  </si>
  <si>
    <t xml:space="preserve">Text</t>
  </si>
  <si>
    <t xml:space="preserve">Tangible book value per share, today ($)</t>
  </si>
  <si>
    <t xml:space="preserve">Stock Analysis, Oct 23, 2026; BVPS $39.26</t>
  </si>
  <si>
    <t xml:space="preserve">Payout ratio (dividends plus buybacks)</t>
  </si>
  <si>
    <t xml:space="preserve">Analyst assumption</t>
  </si>
  <si>
    <t xml:space="preserve">Cost of equity, from WACC tab</t>
  </si>
  <si>
    <t xml:space="preserve">Calculated or assumed, per the switch in WACC!B5</t>
  </si>
  <si>
    <t xml:space="preserve">Selected scenario (1 Bear, 2 Base, 3 Bull)</t>
  </si>
  <si>
    <t xml:space="preserve">Lever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</si>
  <si>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</si>
  <si>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</si>
  <si>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</si>
  <si>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</si>
  <si>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</si>
  <si>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</si>
  <si>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</si>
  <si>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</si>
  <si>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</si>
  <si>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</si>
  <si>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</si>
  <si>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Terminal</t>
  </si>
  <si>
    <t xml:space="preserve">Discount period (years)</t>
  </si>
  <si>
    <t xml:space="preserve">Fade step (years 6 to 10)</t>
  </si>
  <si>
    <t xml:space="preserve">Bear: credit cycle, rate cuts squeeze NII</t>
  </si>
  <si>
    <t xml:space="preserve">Return on tangible equity (ROTCE)</t>
  </si>
  <si>
    <t xml:space="preserve">Tangible book, start of year</t>
  </si>
  <si>
    <t xml:space="preserve">Earnings</t>
  </si>
  <si>
    <t xml:space="preserve">Retained earnings</t>
  </si>
  <si>
    <t xml:space="preserve">Residual income (ROTCE less cost of equity) x book</t>
  </si>
  <si>
    <t xml:space="preserve">Discount factor</t>
  </si>
  <si>
    <t xml:space="preserve">PV of residual income</t>
  </si>
  <si>
    <t xml:space="preserve">Terminal growth (input)</t>
  </si>
  <si>
    <t xml:space="preserve">PV of terminal residual income</t>
  </si>
  <si>
    <t xml:space="preserve">Value per share (book + PV residual income)</t>
  </si>
  <si>
    <t xml:space="preserve">Value vs share price</t>
  </si>
  <si>
    <t xml:space="preserve">Base: ROTCE reaches the 16% target</t>
  </si>
  <si>
    <t xml:space="preserve">Bull: ROTCE climbs to 18%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</si>
  <si>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</si>
  <si>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</si>
  <si>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</si>
  <si>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</si>
  <si>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</si>
  <si>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</si>
  <si>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Base value as a multiple of tangible book</t>
  </si>
  <si>
    <t xml:space="preserve">Price as a multiple of tangible book</t>
  </si>
  <si>
    <t xml:space="preserve">Base value per share at other costs of equity</t>
  </si>
  <si>
    <t xml:space="preserve">Cost of equity</t>
  </si>
  <si>
    <t xml:space="preserve">vs share price</t>
  </si>
  <si>
    <t xml:space="preserve">Implied annual return at today's price, base case</t>
  </si>
  <si>
    <t xml:space="preserve">Cost of equity at which base value equals the price (interpolated)</t>
  </si>
  <si>
    <t xml:space="preserve">Note: the rate sensitivity holds book value growth fixed at the base-case path, so it isolates the discount rate.</t>
  </si>
  <si>
    <t xml:space="preserve">Discount rates: calculated (CAPM) versus assumed</t>
  </si>
  <si>
    <t xml:space="preserve">Blue = input, black = formula, green = link. The yellow switches set the rate used on the model sheet. Banks use cost of equity only.</t>
  </si>
  <si>
    <t xml:space="preserve">Rate used in valuations (1 = Calculated, 2 = Assumed)</t>
  </si>
  <si>
    <t xml:space="preserve">Switch. 2 reproduces the doc's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</si>
  <si>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</si>
  <si>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</si>
  <si>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</si>
  <si>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10-year Treasury yield at the close on 2026-10-28; assumed rates below move with it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</si>
  <si>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</si>
  <si>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</si>
  <si>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</si>
  <si>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Bank cost of equity</t>
  </si>
  <si>
    <t xml:space="preserve">BAC</t>
  </si>
  <si>
    <t xml:space="preserve">Source / note</t>
  </si>
  <si>
    <t xml:space="preserve">Raw beta (5-year)</t>
  </si>
  <si>
    <t xml:space="preserve">Stock Analysis statistics, Oct 23, 2026</t>
  </si>
  <si>
    <t xml:space="preserve">Adjusted beta</t>
  </si>
  <si>
    <t xml:space="preserve">Blume</t>
  </si>
  <si>
    <t xml:space="preserve">Beta used</t>
  </si>
  <si>
    <t xml:space="preserve">Per switch in B6</t>
  </si>
  <si>
    <t xml:space="preserve">Calculated cost of equity (CAPM)</t>
  </si>
  <si>
    <t xml:space="preserve">Risk-free + beta x ERP</t>
  </si>
  <si>
    <t xml:space="preserve">Assumed cost of equity</t>
  </si>
  <si>
    <t xml:space="preserve">Analyst assumption used in the doc</t>
  </si>
  <si>
    <t xml:space="preserve">Cost of equity used</t>
  </si>
  <si>
    <t xml:space="preserve">Per switch in B5</t>
  </si>
  <si>
    <t xml:space="preserve">Link row read by bank sheets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</si>
</sst>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"/>
    <numFmt numFmtId="169" formatCode="#,##0.00;\(#,##0.00\);\-"/>
    <numFmt numFmtId="170" formatCode="0.000"/>
    <numFmt numFmtId="171" formatCode="0.00\x"/>
    <numFmt numFmtId="172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BAC!B4</f>
        <v>50.795</v>
      </c>
      <c r="D5" s="6" t="n">
        <f aca="false">BAC!B8</f>
        <v>0.1022</v>
      </c>
      <c r="E5" s="5" t="n">
        <f aca="false">BAC!B53</f>
        <v>37.1089172553692</v>
      </c>
      <c r="F5" s="5" t="n">
        <f aca="false">BAC!B54</f>
        <v>57.0641576235683</v>
      </c>
      <c r="G5" s="5" t="n">
        <f aca="false">BAC!B55</f>
        <v>66.2985981600542</v>
      </c>
      <c r="H5" s="7" t="n">
        <f aca="false">F5/C5-1</f>
        <v>0.123420762350001</v>
      </c>
      <c r="I5" s="6" t="n">
        <f aca="false">BAC!B65</f>
        <v>0.10944482648132</v>
      </c>
      <c r="J5" s="8" t="n">
        <f aca="false">IF(F5&lt;10,ROUND(F5*4,0)/4,IF(F5&lt;100,ROUND(F5,0),ROUND(F5/5,0)*5))</f>
        <v>57</v>
      </c>
    </row>
    <row r="8" customFormat="false" ht="15" hidden="false" customHeight="true" outlineLevel="0" collapsed="false">
      <c r="A8" s="9" t="s">
        <v>14</v>
      </c>
    </row>
    <row r="9" customFormat="false" ht="15" hidden="false" customHeight="true" outlineLevel="0" collapsed="false">
      <c r="A9" s="1" t="s">
        <v>11</v>
      </c>
      <c r="C9" s="8" t="n">
        <v>54</v>
      </c>
    </row>
    <row r="10" customFormat="false" ht="15" hidden="false" customHeight="true" outlineLevel="0" collapsed="false">
      <c r="A10" s="1" t="s">
        <v>15</v>
      </c>
      <c r="C10" s="8" t="n">
        <v>63</v>
      </c>
    </row>
    <row r="11" customFormat="false" ht="15" hidden="false" customHeight="true" outlineLevel="0" collapsed="false">
      <c r="A11" s="1" t="s">
        <v>16</v>
      </c>
      <c r="C11" s="8" t="n">
        <v>45</v>
      </c>
    </row>
    <row r="12" customFormat="false" ht="15" hidden="false" customHeight="true" outlineLevel="0" collapsed="false">
      <c r="A12" s="1" t="s">
        <v>17</v>
      </c>
      <c r="C12" s="1" t="s">
        <v>18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9"/>
    </row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12" min="2" style="1" width="11"/>
  </cols>
  <sheetData>
    <row r="1" customFormat="false" ht="15.7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1" t="s">
        <v>21</v>
      </c>
      <c r="B4" s="10" t="n">
        <v>50.795</v>
      </c>
      <c r="C4" s="3" t="s">
        <v>22</v>
      </c>
    </row>
    <row r="5" customFormat="false" ht="15" hidden="false" customHeight="true" outlineLevel="0" collapsed="false">
      <c r="A5" s="1" t="s">
        <v>23</v>
      </c>
      <c r="B5" s="11" t="s">
        <v>24</v>
      </c>
      <c r="C5" s="3" t="s">
        <v>25</v>
      </c>
    </row>
    <row r="6" customFormat="false" ht="15" hidden="false" customHeight="true" outlineLevel="0" collapsed="false">
      <c r="A6" s="1" t="s">
        <v>26</v>
      </c>
      <c r="B6" s="10" t="n">
        <v>29.14</v>
      </c>
      <c r="C6" s="3" t="s">
        <v>27</v>
      </c>
    </row>
    <row r="7" customFormat="false" ht="15" hidden="false" customHeight="true" outlineLevel="0" collapsed="false">
      <c r="A7" s="1" t="s">
        <v>28</v>
      </c>
      <c r="B7" s="12" t="n">
        <v>0.65</v>
      </c>
      <c r="C7" s="3" t="s">
        <v>29</v>
      </c>
    </row>
    <row r="8" customFormat="false" ht="15" hidden="false" customHeight="true" outlineLevel="0" collapsed="false">
      <c r="A8" s="1" t="s">
        <v>30</v>
      </c>
      <c r="B8" s="6" t="n">
        <f aca="false">WACC!B40</f>
        <v>0.1022</v>
      </c>
      <c r="C8" s="3" t="s">
        <v>31</v>
      </c>
    </row>
    <row r="9" customFormat="false" ht="15" hidden="false" customHeight="true" outlineLevel="0" collapsed="false">
      <c r="A9" s="1" t="s">
        <v>32</v>
      </c>
      <c r="B9" s="13" t="n">
        <v>2</v>
      </c>
      <c r="C9" s="3" t="s">
        <v>33</v>
      </c>
    </row>
    <row r="11" customFormat="false" ht="15" hidden="false" customHeight="true" outlineLevel="0" collapsed="false">
      <c r="A11" s="9" t="s">
        <v>34</v>
      </c>
      <c r="B11" s="9" t="s">
        <v>35</v>
      </c>
      <c r="C11" s="9" t="s">
        <v>36</v>
      </c>
      <c r="D11" s="9" t="s">
        <v>37</v>
      </c>
      <c r="E11" s="9" t="s">
        <v>38</v>
      </c>
      <c r="F11" s="9" t="s">
        <v>39</v>
      </c>
      <c r="G11" s="9" t="s">
        <v>40</v>
      </c>
      <c r="H11" s="9" t="s">
        <v>41</v>
      </c>
      <c r="I11" s="9" t="s">
        <v>42</v>
      </c>
      <c r="J11" s="9" t="s">
        <v>43</v>
      </c>
      <c r="K11" s="9" t="s">
        <v>44</v>
      </c>
      <c r="L11" s="9" t="s">
        <v>45</v>
      </c>
    </row>
    <row r="12" customFormat="false" ht="15" hidden="false" customHeight="true" outlineLevel="0" collapsed="false">
      <c r="A12" s="1" t="s">
        <v>46</v>
      </c>
      <c r="B12" s="1" t="n">
        <v>1</v>
      </c>
      <c r="C12" s="1" t="n">
        <v>2</v>
      </c>
      <c r="D12" s="1" t="n">
        <v>3</v>
      </c>
      <c r="E12" s="1" t="n">
        <v>4</v>
      </c>
      <c r="F12" s="1" t="n">
        <v>5</v>
      </c>
      <c r="G12" s="1" t="n">
        <v>6</v>
      </c>
      <c r="H12" s="1" t="n">
        <v>7</v>
      </c>
      <c r="I12" s="1" t="n">
        <v>8</v>
      </c>
      <c r="J12" s="1" t="n">
        <v>9</v>
      </c>
      <c r="K12" s="1" t="n">
        <v>10</v>
      </c>
    </row>
    <row r="13" customFormat="false" ht="15" hidden="false" customHeight="true" outlineLevel="0" collapsed="false">
      <c r="A13" s="1" t="s">
        <v>47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1</v>
      </c>
      <c r="H13" s="1" t="n">
        <v>2</v>
      </c>
      <c r="I13" s="1" t="n">
        <v>3</v>
      </c>
      <c r="J13" s="1" t="n">
        <v>4</v>
      </c>
      <c r="K13" s="1" t="n">
        <v>5</v>
      </c>
    </row>
    <row r="15" customFormat="false" ht="15" hidden="false" customHeight="true" outlineLevel="0" collapsed="false">
      <c r="A15" s="14" t="s">
        <v>48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</row>
    <row r="16" customFormat="false" ht="15" hidden="false" customHeight="true" outlineLevel="0" collapsed="false">
      <c r="A16" s="1" t="s">
        <v>49</v>
      </c>
      <c r="B16" s="12" t="n">
        <v>0.13</v>
      </c>
      <c r="C16" s="12" t="n">
        <v>0.1</v>
      </c>
      <c r="D16" s="12" t="n">
        <v>0.1</v>
      </c>
      <c r="E16" s="12" t="n">
        <v>0.12</v>
      </c>
      <c r="F16" s="12" t="n">
        <v>0.13</v>
      </c>
      <c r="G16" s="16" t="n">
        <f aca="false">$F16+($L16-$F16)*G$13/5</f>
        <v>0.128</v>
      </c>
      <c r="H16" s="16" t="n">
        <f aca="false">$F16+($L16-$F16)*H$13/5</f>
        <v>0.126</v>
      </c>
      <c r="I16" s="16" t="n">
        <f aca="false">$F16+($L16-$F16)*I$13/5</f>
        <v>0.124</v>
      </c>
      <c r="J16" s="16" t="n">
        <f aca="false">$F16+($L16-$F16)*J$13/5</f>
        <v>0.122</v>
      </c>
      <c r="K16" s="16" t="n">
        <f aca="false">$F16+($L16-$F16)*K$13/5</f>
        <v>0.12</v>
      </c>
      <c r="L16" s="17" t="n">
        <v>0.12</v>
      </c>
    </row>
    <row r="17" customFormat="false" ht="15" hidden="false" customHeight="true" outlineLevel="0" collapsed="false">
      <c r="A17" s="1" t="s">
        <v>50</v>
      </c>
      <c r="B17" s="18" t="n">
        <f aca="false">$B$6</f>
        <v>29.14</v>
      </c>
      <c r="C17" s="18" t="n">
        <f aca="false">B17+B19</f>
        <v>30.46587</v>
      </c>
      <c r="D17" s="18" t="n">
        <f aca="false">C17+C19</f>
        <v>31.53217545</v>
      </c>
      <c r="E17" s="18" t="n">
        <f aca="false">D17+D19</f>
        <v>32.63580159075</v>
      </c>
      <c r="F17" s="18" t="n">
        <f aca="false">E17+E19</f>
        <v>34.0065052575615</v>
      </c>
      <c r="G17" s="18" t="n">
        <f aca="false">F17+F19</f>
        <v>35.5538012467806</v>
      </c>
      <c r="H17" s="18" t="n">
        <f aca="false">G17+G19</f>
        <v>37.1466115426363</v>
      </c>
      <c r="I17" s="18" t="n">
        <f aca="false">H17+H19</f>
        <v>38.7847771116666</v>
      </c>
      <c r="J17" s="18" t="n">
        <f aca="false">I17+I19</f>
        <v>40.4680364383129</v>
      </c>
      <c r="K17" s="18" t="n">
        <f aca="false">J17+J19</f>
        <v>42.1960215942289</v>
      </c>
      <c r="L17" s="18" t="n">
        <f aca="false">K17+K19</f>
        <v>43.9682545011865</v>
      </c>
    </row>
    <row r="18" customFormat="false" ht="15" hidden="false" customHeight="true" outlineLevel="0" collapsed="false">
      <c r="A18" s="1" t="s">
        <v>51</v>
      </c>
      <c r="B18" s="18" t="n">
        <f aca="false">B16*B17</f>
        <v>3.7882</v>
      </c>
      <c r="C18" s="18" t="n">
        <f aca="false">C16*C17</f>
        <v>3.046587</v>
      </c>
      <c r="D18" s="18" t="n">
        <f aca="false">D16*D17</f>
        <v>3.153217545</v>
      </c>
      <c r="E18" s="18" t="n">
        <f aca="false">E16*E17</f>
        <v>3.91629619089</v>
      </c>
      <c r="F18" s="18" t="n">
        <f aca="false">F16*F17</f>
        <v>4.420845683483</v>
      </c>
      <c r="G18" s="18" t="n">
        <f aca="false">G16*G17</f>
        <v>4.55088655958791</v>
      </c>
      <c r="H18" s="18" t="n">
        <f aca="false">H16*H17</f>
        <v>4.68047305437218</v>
      </c>
      <c r="I18" s="18" t="n">
        <f aca="false">I16*I17</f>
        <v>4.80931236184666</v>
      </c>
      <c r="J18" s="18" t="n">
        <f aca="false">J16*J17</f>
        <v>4.93710044547418</v>
      </c>
      <c r="K18" s="18" t="n">
        <f aca="false">K16*K17</f>
        <v>5.06352259130747</v>
      </c>
      <c r="L18" s="18"/>
    </row>
    <row r="19" customFormat="false" ht="15" hidden="false" customHeight="true" outlineLevel="0" collapsed="false">
      <c r="A19" s="1" t="s">
        <v>52</v>
      </c>
      <c r="B19" s="18" t="n">
        <f aca="false">B18*(1-$B$7)</f>
        <v>1.32587</v>
      </c>
      <c r="C19" s="18" t="n">
        <f aca="false">C18*(1-$B$7)</f>
        <v>1.06630545</v>
      </c>
      <c r="D19" s="18" t="n">
        <f aca="false">D18*(1-$B$7)</f>
        <v>1.10362614075</v>
      </c>
      <c r="E19" s="18" t="n">
        <f aca="false">E18*(1-$B$7)</f>
        <v>1.3707036668115</v>
      </c>
      <c r="F19" s="18" t="n">
        <f aca="false">F18*(1-$B$7)</f>
        <v>1.54729598921905</v>
      </c>
      <c r="G19" s="18" t="n">
        <f aca="false">G18*(1-$B$7)</f>
        <v>1.59281029585577</v>
      </c>
      <c r="H19" s="18" t="n">
        <f aca="false">H18*(1-$B$7)</f>
        <v>1.63816556903026</v>
      </c>
      <c r="I19" s="18" t="n">
        <f aca="false">I18*(1-$B$7)</f>
        <v>1.68325932664633</v>
      </c>
      <c r="J19" s="18" t="n">
        <f aca="false">J18*(1-$B$7)</f>
        <v>1.72798515591596</v>
      </c>
      <c r="K19" s="18" t="n">
        <f aca="false">K18*(1-$B$7)</f>
        <v>1.77223290695761</v>
      </c>
      <c r="L19" s="18"/>
    </row>
    <row r="20" customFormat="false" ht="15" hidden="false" customHeight="true" outlineLevel="0" collapsed="false">
      <c r="A20" s="1" t="s">
        <v>53</v>
      </c>
      <c r="B20" s="18" t="n">
        <f aca="false">(B16-$B$8)*B17</f>
        <v>0.810092</v>
      </c>
      <c r="C20" s="18" t="n">
        <f aca="false">(C16-$B$8)*C17</f>
        <v>-0.0670249139999998</v>
      </c>
      <c r="D20" s="18" t="n">
        <f aca="false">(D16-$B$8)*D17</f>
        <v>-0.0693707859899998</v>
      </c>
      <c r="E20" s="18" t="n">
        <f aca="false">(E16-$B$8)*E17</f>
        <v>0.58091726831535</v>
      </c>
      <c r="F20" s="18" t="n">
        <f aca="false">(F16-$B$8)*F17</f>
        <v>0.94538084616021</v>
      </c>
      <c r="G20" s="18" t="n">
        <f aca="false">(G16-$B$8)*G17</f>
        <v>0.917288072166939</v>
      </c>
      <c r="H20" s="18" t="n">
        <f aca="false">(H16-$B$8)*H17</f>
        <v>0.884089354714745</v>
      </c>
      <c r="I20" s="18" t="n">
        <f aca="false">(I16-$B$8)*I17</f>
        <v>0.845508141034332</v>
      </c>
      <c r="J20" s="18" t="n">
        <f aca="false">(J16-$B$8)*J17</f>
        <v>0.801267121478596</v>
      </c>
      <c r="K20" s="18" t="n">
        <f aca="false">(K16-$B$8)*K17</f>
        <v>0.751089184377274</v>
      </c>
      <c r="L20" s="18" t="n">
        <f aca="false">(L16-$B$8)*L17</f>
        <v>0.782634930121119</v>
      </c>
    </row>
    <row r="21" customFormat="false" ht="15" hidden="false" customHeight="true" outlineLevel="0" collapsed="false">
      <c r="A21" s="1" t="s">
        <v>54</v>
      </c>
      <c r="B21" s="19" t="n">
        <f aca="false">1/(1+$B$8)^B$12</f>
        <v>0.907276356378153</v>
      </c>
      <c r="C21" s="19" t="n">
        <f aca="false">1/(1+$B$8)^C$12</f>
        <v>0.823150386842817</v>
      </c>
      <c r="D21" s="19" t="n">
        <f aca="false">1/(1+$B$8)^D$12</f>
        <v>0.746824883726018</v>
      </c>
      <c r="E21" s="19" t="n">
        <f aca="false">1/(1+$B$8)^E$12</f>
        <v>0.677576559359479</v>
      </c>
      <c r="F21" s="19" t="n">
        <f aca="false">1/(1+$B$8)^F$12</f>
        <v>0.614749191942913</v>
      </c>
      <c r="G21" s="19" t="n">
        <f aca="false">1/(1+$B$8)^G$12</f>
        <v>0.55774740695238</v>
      </c>
      <c r="H21" s="19" t="n">
        <f aca="false">1/(1+$B$8)^H$12</f>
        <v>0.506031035159118</v>
      </c>
      <c r="I21" s="19" t="n">
        <f aca="false">1/(1+$B$8)^I$12</f>
        <v>0.459109993793429</v>
      </c>
      <c r="J21" s="19" t="n">
        <f aca="false">1/(1+$B$8)^J$12</f>
        <v>0.416539642345699</v>
      </c>
      <c r="K21" s="19" t="n">
        <f aca="false">1/(1+$B$8)^K$12</f>
        <v>0.377916568994465</v>
      </c>
      <c r="L21" s="19"/>
    </row>
    <row r="22" customFormat="false" ht="15" hidden="false" customHeight="true" outlineLevel="0" collapsed="false">
      <c r="A22" s="1" t="s">
        <v>55</v>
      </c>
      <c r="B22" s="18" t="n">
        <f aca="false">B20*B21</f>
        <v>0.734977318091091</v>
      </c>
      <c r="C22" s="18" t="n">
        <f aca="false">C20*C21</f>
        <v>-0.0551715838872064</v>
      </c>
      <c r="D22" s="18" t="n">
        <f aca="false">D20*D21</f>
        <v>-0.0518078291809641</v>
      </c>
      <c r="E22" s="18" t="n">
        <f aca="false">E20*E21</f>
        <v>0.393615923937622</v>
      </c>
      <c r="F22" s="18" t="n">
        <f aca="false">F20*F21</f>
        <v>0.581172111255297</v>
      </c>
      <c r="G22" s="18" t="n">
        <f aca="false">G20*G21</f>
        <v>0.511615043679458</v>
      </c>
      <c r="H22" s="18" t="n">
        <f aca="false">H20*H21</f>
        <v>0.447376651339459</v>
      </c>
      <c r="I22" s="18" t="n">
        <f aca="false">I20*I21</f>
        <v>0.388181237382566</v>
      </c>
      <c r="J22" s="18" t="n">
        <f aca="false">J20*J21</f>
        <v>0.333759520204062</v>
      </c>
      <c r="K22" s="18" t="n">
        <f aca="false">K20*K21</f>
        <v>0.28384904756871</v>
      </c>
      <c r="L22" s="18"/>
    </row>
    <row r="23" customFormat="false" ht="15" hidden="false" customHeight="true" outlineLevel="0" collapsed="false">
      <c r="A23" s="1" t="s">
        <v>56</v>
      </c>
      <c r="B23" s="12" t="n">
        <v>0.035</v>
      </c>
    </row>
    <row r="24" customFormat="false" ht="15" hidden="false" customHeight="true" outlineLevel="0" collapsed="false">
      <c r="A24" s="1" t="s">
        <v>57</v>
      </c>
      <c r="B24" s="8" t="n">
        <f aca="false">L20/($B$8-B23)/(1+$B$8)^$K$12</f>
        <v>4.40134981497911</v>
      </c>
    </row>
    <row r="25" customFormat="false" ht="15" hidden="false" customHeight="true" outlineLevel="0" collapsed="false">
      <c r="A25" s="1" t="s">
        <v>58</v>
      </c>
      <c r="B25" s="20" t="n">
        <f aca="false">$B$6+SUM(B22:K22)+B24</f>
        <v>37.1089172553692</v>
      </c>
    </row>
    <row r="26" customFormat="false" ht="15" hidden="false" customHeight="true" outlineLevel="0" collapsed="false">
      <c r="A26" s="1" t="s">
        <v>59</v>
      </c>
      <c r="B26" s="7" t="n">
        <f aca="false">B25/$B$4-1</f>
        <v>-0.269437597098746</v>
      </c>
    </row>
    <row r="27" customFormat="false" ht="15" hidden="false" customHeight="true" outlineLevel="0" collapsed="false">
      <c r="A27" s="14" t="s">
        <v>60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</row>
    <row r="28" customFormat="false" ht="15" hidden="false" customHeight="true" outlineLevel="0" collapsed="false">
      <c r="A28" s="1" t="s">
        <v>49</v>
      </c>
      <c r="B28" s="12" t="n">
        <v>0.15</v>
      </c>
      <c r="C28" s="12" t="n">
        <v>0.155</v>
      </c>
      <c r="D28" s="12" t="n">
        <v>0.16</v>
      </c>
      <c r="E28" s="12" t="n">
        <v>0.16</v>
      </c>
      <c r="F28" s="12" t="n">
        <v>0.16</v>
      </c>
      <c r="G28" s="16" t="n">
        <f aca="false">$F28+($L28-$F28)*G$13/5</f>
        <v>0.159</v>
      </c>
      <c r="H28" s="16" t="n">
        <f aca="false">$F28+($L28-$F28)*H$13/5</f>
        <v>0.158</v>
      </c>
      <c r="I28" s="16" t="n">
        <f aca="false">$F28+($L28-$F28)*I$13/5</f>
        <v>0.157</v>
      </c>
      <c r="J28" s="16" t="n">
        <f aca="false">$F28+($L28-$F28)*J$13/5</f>
        <v>0.156</v>
      </c>
      <c r="K28" s="16" t="n">
        <f aca="false">$F28+($L28-$F28)*K$13/5</f>
        <v>0.155</v>
      </c>
      <c r="L28" s="17" t="n">
        <v>0.155</v>
      </c>
    </row>
    <row r="29" customFormat="false" ht="15" hidden="false" customHeight="true" outlineLevel="0" collapsed="false">
      <c r="A29" s="1" t="s">
        <v>50</v>
      </c>
      <c r="B29" s="18" t="n">
        <f aca="false">$B$6</f>
        <v>29.14</v>
      </c>
      <c r="C29" s="18" t="n">
        <f aca="false">B29+B31</f>
        <v>30.66985</v>
      </c>
      <c r="D29" s="18" t="n">
        <f aca="false">C29+C31</f>
        <v>32.3336893625</v>
      </c>
      <c r="E29" s="18" t="n">
        <f aca="false">D29+D31</f>
        <v>34.1443759668</v>
      </c>
      <c r="F29" s="18" t="n">
        <f aca="false">E29+E31</f>
        <v>36.0564610209408</v>
      </c>
      <c r="G29" s="18" t="n">
        <f aca="false">F29+F31</f>
        <v>38.0756228381135</v>
      </c>
      <c r="H29" s="18" t="n">
        <f aca="false">G29+G31</f>
        <v>40.1945312490545</v>
      </c>
      <c r="I29" s="18" t="n">
        <f aca="false">H29+H31</f>
        <v>42.4172888271272</v>
      </c>
      <c r="J29" s="18" t="n">
        <f aca="false">I29+I31</f>
        <v>44.7481188481779</v>
      </c>
      <c r="K29" s="18" t="n">
        <f aca="false">J29+J31</f>
        <v>47.1913661372884</v>
      </c>
      <c r="L29" s="18" t="n">
        <f aca="false">K29+K31</f>
        <v>49.7514977502363</v>
      </c>
    </row>
    <row r="30" customFormat="false" ht="15" hidden="false" customHeight="true" outlineLevel="0" collapsed="false">
      <c r="A30" s="1" t="s">
        <v>51</v>
      </c>
      <c r="B30" s="18" t="n">
        <f aca="false">B28*B29</f>
        <v>4.371</v>
      </c>
      <c r="C30" s="18" t="n">
        <f aca="false">C28*C29</f>
        <v>4.75382675</v>
      </c>
      <c r="D30" s="18" t="n">
        <f aca="false">D28*D29</f>
        <v>5.173390298</v>
      </c>
      <c r="E30" s="18" t="n">
        <f aca="false">E28*E29</f>
        <v>5.463100154688</v>
      </c>
      <c r="F30" s="18" t="n">
        <f aca="false">F28*F29</f>
        <v>5.76903376335053</v>
      </c>
      <c r="G30" s="18" t="n">
        <f aca="false">G28*G29</f>
        <v>6.05402403126005</v>
      </c>
      <c r="H30" s="18" t="n">
        <f aca="false">H28*H29</f>
        <v>6.35073593735061</v>
      </c>
      <c r="I30" s="18" t="n">
        <f aca="false">I28*I29</f>
        <v>6.65951434585898</v>
      </c>
      <c r="J30" s="18" t="n">
        <f aca="false">J28*J29</f>
        <v>6.98070654031575</v>
      </c>
      <c r="K30" s="18" t="n">
        <f aca="false">K28*K29</f>
        <v>7.3146617512797</v>
      </c>
      <c r="L30" s="18"/>
    </row>
    <row r="31" customFormat="false" ht="15" hidden="false" customHeight="true" outlineLevel="0" collapsed="false">
      <c r="A31" s="1" t="s">
        <v>52</v>
      </c>
      <c r="B31" s="18" t="n">
        <f aca="false">B30*(1-$B$7)</f>
        <v>1.52985</v>
      </c>
      <c r="C31" s="18" t="n">
        <f aca="false">C30*(1-$B$7)</f>
        <v>1.6638393625</v>
      </c>
      <c r="D31" s="18" t="n">
        <f aca="false">D30*(1-$B$7)</f>
        <v>1.8106866043</v>
      </c>
      <c r="E31" s="18" t="n">
        <f aca="false">E30*(1-$B$7)</f>
        <v>1.9120850541408</v>
      </c>
      <c r="F31" s="18" t="n">
        <f aca="false">F30*(1-$B$7)</f>
        <v>2.01916181717269</v>
      </c>
      <c r="G31" s="18" t="n">
        <f aca="false">G30*(1-$B$7)</f>
        <v>2.11890841094102</v>
      </c>
      <c r="H31" s="18" t="n">
        <f aca="false">H30*(1-$B$7)</f>
        <v>2.22275757807271</v>
      </c>
      <c r="I31" s="18" t="n">
        <f aca="false">I30*(1-$B$7)</f>
        <v>2.33083002105064</v>
      </c>
      <c r="J31" s="18" t="n">
        <f aca="false">J30*(1-$B$7)</f>
        <v>2.44324728911051</v>
      </c>
      <c r="K31" s="18" t="n">
        <f aca="false">K30*(1-$B$7)</f>
        <v>2.56013161294789</v>
      </c>
      <c r="L31" s="18"/>
    </row>
    <row r="32" customFormat="false" ht="15" hidden="false" customHeight="true" outlineLevel="0" collapsed="false">
      <c r="A32" s="1" t="s">
        <v>53</v>
      </c>
      <c r="B32" s="18" t="n">
        <f aca="false">(B28-$B$8)*B29</f>
        <v>1.392892</v>
      </c>
      <c r="C32" s="18" t="n">
        <f aca="false">(C28-$B$8)*C29</f>
        <v>1.61936808</v>
      </c>
      <c r="D32" s="18" t="n">
        <f aca="false">(D28-$B$8)*D29</f>
        <v>1.8688872451525</v>
      </c>
      <c r="E32" s="18" t="n">
        <f aca="false">(E28-$B$8)*E29</f>
        <v>1.97354493088104</v>
      </c>
      <c r="F32" s="18" t="n">
        <f aca="false">(F28-$B$8)*F29</f>
        <v>2.08406344701038</v>
      </c>
      <c r="G32" s="18" t="n">
        <f aca="false">(G28-$B$8)*G29</f>
        <v>2.16269537720485</v>
      </c>
      <c r="H32" s="18" t="n">
        <f aca="false">(H28-$B$8)*H29</f>
        <v>2.24285484369724</v>
      </c>
      <c r="I32" s="18" t="n">
        <f aca="false">(I28-$B$8)*I29</f>
        <v>2.32446742772657</v>
      </c>
      <c r="J32" s="18" t="n">
        <f aca="false">(J28-$B$8)*J29</f>
        <v>2.40744879403197</v>
      </c>
      <c r="K32" s="18" t="n">
        <f aca="false">(K28-$B$8)*K29</f>
        <v>2.49170413204883</v>
      </c>
      <c r="L32" s="18" t="n">
        <f aca="false">(L28-$B$8)*L29</f>
        <v>2.62687908121248</v>
      </c>
    </row>
    <row r="33" customFormat="false" ht="15" hidden="false" customHeight="true" outlineLevel="0" collapsed="false">
      <c r="A33" s="1" t="s">
        <v>54</v>
      </c>
      <c r="B33" s="19" t="n">
        <f aca="false">1/(1+$B$8)^B$12</f>
        <v>0.907276356378153</v>
      </c>
      <c r="C33" s="19" t="n">
        <f aca="false">1/(1+$B$8)^C$12</f>
        <v>0.823150386842817</v>
      </c>
      <c r="D33" s="19" t="n">
        <f aca="false">1/(1+$B$8)^D$12</f>
        <v>0.746824883726018</v>
      </c>
      <c r="E33" s="19" t="n">
        <f aca="false">1/(1+$B$8)^E$12</f>
        <v>0.677576559359479</v>
      </c>
      <c r="F33" s="19" t="n">
        <f aca="false">1/(1+$B$8)^F$12</f>
        <v>0.614749191942913</v>
      </c>
      <c r="G33" s="19" t="n">
        <f aca="false">1/(1+$B$8)^G$12</f>
        <v>0.55774740695238</v>
      </c>
      <c r="H33" s="19" t="n">
        <f aca="false">1/(1+$B$8)^H$12</f>
        <v>0.506031035159118</v>
      </c>
      <c r="I33" s="19" t="n">
        <f aca="false">1/(1+$B$8)^I$12</f>
        <v>0.459109993793429</v>
      </c>
      <c r="J33" s="19" t="n">
        <f aca="false">1/(1+$B$8)^J$12</f>
        <v>0.416539642345699</v>
      </c>
      <c r="K33" s="19" t="n">
        <f aca="false">1/(1+$B$8)^K$12</f>
        <v>0.377916568994465</v>
      </c>
      <c r="L33" s="19"/>
    </row>
    <row r="34" customFormat="false" ht="15" hidden="false" customHeight="true" outlineLevel="0" collapsed="false">
      <c r="A34" s="1" t="s">
        <v>55</v>
      </c>
      <c r="B34" s="18" t="n">
        <f aca="false">B32*B33</f>
        <v>1.26373797858828</v>
      </c>
      <c r="C34" s="18" t="n">
        <f aca="false">C32*C33</f>
        <v>1.33298346149291</v>
      </c>
      <c r="D34" s="18" t="n">
        <f aca="false">D32*D33</f>
        <v>1.39573149955805</v>
      </c>
      <c r="E34" s="18" t="n">
        <f aca="false">E32*E33</f>
        <v>1.33722778400772</v>
      </c>
      <c r="F34" s="18" t="n">
        <f aca="false">F32*F33</f>
        <v>1.28117632000739</v>
      </c>
      <c r="G34" s="18" t="n">
        <f aca="false">G32*G33</f>
        <v>1.2062377386639</v>
      </c>
      <c r="H34" s="18" t="n">
        <f aca="false">H32*H33</f>
        <v>1.13495415826776</v>
      </c>
      <c r="I34" s="18" t="n">
        <f aca="false">I32*I33</f>
        <v>1.06718622631658</v>
      </c>
      <c r="J34" s="18" t="n">
        <f aca="false">J32*J33</f>
        <v>1.00279785963166</v>
      </c>
      <c r="K34" s="18" t="n">
        <f aca="false">K32*K33</f>
        <v>0.941656276533223</v>
      </c>
      <c r="L34" s="18"/>
    </row>
    <row r="35" customFormat="false" ht="15" hidden="false" customHeight="true" outlineLevel="0" collapsed="false">
      <c r="A35" s="1" t="s">
        <v>56</v>
      </c>
      <c r="B35" s="12" t="n">
        <v>0.04</v>
      </c>
    </row>
    <row r="36" customFormat="false" ht="15" hidden="false" customHeight="true" outlineLevel="0" collapsed="false">
      <c r="A36" s="1" t="s">
        <v>57</v>
      </c>
      <c r="B36" s="8" t="n">
        <f aca="false">L32/($B$8-B35)/(1+$B$8)^$K$12</f>
        <v>15.9604683205008</v>
      </c>
    </row>
    <row r="37" customFormat="false" ht="15" hidden="false" customHeight="true" outlineLevel="0" collapsed="false">
      <c r="A37" s="1" t="s">
        <v>58</v>
      </c>
      <c r="B37" s="20" t="n">
        <f aca="false">$B$6+SUM(B34:K34)+B36</f>
        <v>57.0641576235683</v>
      </c>
    </row>
    <row r="38" customFormat="false" ht="15" hidden="false" customHeight="true" outlineLevel="0" collapsed="false">
      <c r="A38" s="1" t="s">
        <v>59</v>
      </c>
      <c r="B38" s="7" t="n">
        <f aca="false">B37/$B$4-1</f>
        <v>0.123420762350001</v>
      </c>
    </row>
    <row r="39" customFormat="false" ht="15" hidden="false" customHeight="true" outlineLevel="0" collapsed="false">
      <c r="A39" s="14" t="s">
        <v>61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</row>
    <row r="40" customFormat="false" ht="15" hidden="false" customHeight="true" outlineLevel="0" collapsed="false">
      <c r="A40" s="1" t="s">
        <v>49</v>
      </c>
      <c r="B40" s="12" t="n">
        <v>0.155</v>
      </c>
      <c r="C40" s="12" t="n">
        <v>0.165</v>
      </c>
      <c r="D40" s="12" t="n">
        <v>0.175</v>
      </c>
      <c r="E40" s="12" t="n">
        <v>0.18</v>
      </c>
      <c r="F40" s="12" t="n">
        <v>0.18</v>
      </c>
      <c r="G40" s="16" t="n">
        <f aca="false">$F40+($L40-$F40)*G$13/5</f>
        <v>0.178</v>
      </c>
      <c r="H40" s="16" t="n">
        <f aca="false">$F40+($L40-$F40)*H$13/5</f>
        <v>0.176</v>
      </c>
      <c r="I40" s="16" t="n">
        <f aca="false">$F40+($L40-$F40)*I$13/5</f>
        <v>0.174</v>
      </c>
      <c r="J40" s="16" t="n">
        <f aca="false">$F40+($L40-$F40)*J$13/5</f>
        <v>0.172</v>
      </c>
      <c r="K40" s="16" t="n">
        <f aca="false">$F40+($L40-$F40)*K$13/5</f>
        <v>0.17</v>
      </c>
      <c r="L40" s="17" t="n">
        <v>0.17</v>
      </c>
    </row>
    <row r="41" customFormat="false" ht="15" hidden="false" customHeight="true" outlineLevel="0" collapsed="false">
      <c r="A41" s="1" t="s">
        <v>50</v>
      </c>
      <c r="B41" s="18" t="n">
        <f aca="false">$B$6</f>
        <v>29.14</v>
      </c>
      <c r="C41" s="18" t="n">
        <f aca="false">B41+B43</f>
        <v>30.720845</v>
      </c>
      <c r="D41" s="18" t="n">
        <f aca="false">C41+C43</f>
        <v>32.49497379875</v>
      </c>
      <c r="E41" s="18" t="n">
        <f aca="false">D41+D43</f>
        <v>34.4852909439234</v>
      </c>
      <c r="F41" s="18" t="n">
        <f aca="false">E41+E43</f>
        <v>36.6578642733906</v>
      </c>
      <c r="G41" s="18" t="n">
        <f aca="false">F41+F43</f>
        <v>38.9673097226142</v>
      </c>
      <c r="H41" s="18" t="n">
        <f aca="false">G41+G43</f>
        <v>41.3949731183331</v>
      </c>
      <c r="I41" s="18" t="n">
        <f aca="false">H41+H43</f>
        <v>43.9449034624224</v>
      </c>
      <c r="J41" s="18" t="n">
        <f aca="false">I41+I43</f>
        <v>46.6211480832839</v>
      </c>
      <c r="K41" s="18" t="n">
        <f aca="false">J41+J43</f>
        <v>49.4277411978976</v>
      </c>
      <c r="L41" s="18" t="n">
        <f aca="false">K41+K43</f>
        <v>52.3686917991725</v>
      </c>
    </row>
    <row r="42" customFormat="false" ht="15" hidden="false" customHeight="true" outlineLevel="0" collapsed="false">
      <c r="A42" s="1" t="s">
        <v>51</v>
      </c>
      <c r="B42" s="18" t="n">
        <f aca="false">B40*B41</f>
        <v>4.5167</v>
      </c>
      <c r="C42" s="18" t="n">
        <f aca="false">C40*C41</f>
        <v>5.068939425</v>
      </c>
      <c r="D42" s="18" t="n">
        <f aca="false">D40*D41</f>
        <v>5.68662041478125</v>
      </c>
      <c r="E42" s="18" t="n">
        <f aca="false">E40*E41</f>
        <v>6.20735236990622</v>
      </c>
      <c r="F42" s="18" t="n">
        <f aca="false">F40*F41</f>
        <v>6.59841556921031</v>
      </c>
      <c r="G42" s="18" t="n">
        <f aca="false">G40*G41</f>
        <v>6.93618113062533</v>
      </c>
      <c r="H42" s="18" t="n">
        <f aca="false">H40*H41</f>
        <v>7.28551526882662</v>
      </c>
      <c r="I42" s="18" t="n">
        <f aca="false">I40*I41</f>
        <v>7.6464132024615</v>
      </c>
      <c r="J42" s="18" t="n">
        <f aca="false">J40*J41</f>
        <v>8.01883747032484</v>
      </c>
      <c r="K42" s="18" t="n">
        <f aca="false">K40*K41</f>
        <v>8.4027160036426</v>
      </c>
      <c r="L42" s="18"/>
    </row>
    <row r="43" customFormat="false" ht="15" hidden="false" customHeight="true" outlineLevel="0" collapsed="false">
      <c r="A43" s="1" t="s">
        <v>52</v>
      </c>
      <c r="B43" s="18" t="n">
        <f aca="false">B42*(1-$B$7)</f>
        <v>1.580845</v>
      </c>
      <c r="C43" s="18" t="n">
        <f aca="false">C42*(1-$B$7)</f>
        <v>1.77412879875</v>
      </c>
      <c r="D43" s="18" t="n">
        <f aca="false">D42*(1-$B$7)</f>
        <v>1.99031714517344</v>
      </c>
      <c r="E43" s="18" t="n">
        <f aca="false">E42*(1-$B$7)</f>
        <v>2.17257332946718</v>
      </c>
      <c r="F43" s="18" t="n">
        <f aca="false">F42*(1-$B$7)</f>
        <v>2.30944544922361</v>
      </c>
      <c r="G43" s="18" t="n">
        <f aca="false">G42*(1-$B$7)</f>
        <v>2.42766339571887</v>
      </c>
      <c r="H43" s="18" t="n">
        <f aca="false">H42*(1-$B$7)</f>
        <v>2.54993034408932</v>
      </c>
      <c r="I43" s="18" t="n">
        <f aca="false">I42*(1-$B$7)</f>
        <v>2.67624462086153</v>
      </c>
      <c r="J43" s="18" t="n">
        <f aca="false">J42*(1-$B$7)</f>
        <v>2.80659311461369</v>
      </c>
      <c r="K43" s="18" t="n">
        <f aca="false">K42*(1-$B$7)</f>
        <v>2.94095060127491</v>
      </c>
      <c r="L43" s="18"/>
    </row>
    <row r="44" customFormat="false" ht="15" hidden="false" customHeight="true" outlineLevel="0" collapsed="false">
      <c r="A44" s="1" t="s">
        <v>53</v>
      </c>
      <c r="B44" s="18" t="n">
        <f aca="false">(B40-$B$8)*B41</f>
        <v>1.538592</v>
      </c>
      <c r="C44" s="18" t="n">
        <f aca="false">(C40-$B$8)*C41</f>
        <v>1.929269066</v>
      </c>
      <c r="D44" s="18" t="n">
        <f aca="false">(D40-$B$8)*D41</f>
        <v>2.365634092549</v>
      </c>
      <c r="E44" s="18" t="n">
        <f aca="false">(E40-$B$8)*E41</f>
        <v>2.68295563543724</v>
      </c>
      <c r="F44" s="18" t="n">
        <f aca="false">(F40-$B$8)*F41</f>
        <v>2.85198184046979</v>
      </c>
      <c r="G44" s="18" t="n">
        <f aca="false">(G40-$B$8)*G41</f>
        <v>2.95372207697416</v>
      </c>
      <c r="H44" s="18" t="n">
        <f aca="false">(H40-$B$8)*H41</f>
        <v>3.05494901613298</v>
      </c>
      <c r="I44" s="18" t="n">
        <f aca="false">(I40-$B$8)*I41</f>
        <v>3.15524406860193</v>
      </c>
      <c r="J44" s="18" t="n">
        <f aca="false">(J40-$B$8)*J41</f>
        <v>3.25415613621322</v>
      </c>
      <c r="K44" s="18" t="n">
        <f aca="false">(K40-$B$8)*K41</f>
        <v>3.35120085321746</v>
      </c>
      <c r="L44" s="18" t="n">
        <f aca="false">(L40-$B$8)*L41</f>
        <v>3.5505973039839</v>
      </c>
    </row>
    <row r="45" customFormat="false" ht="15" hidden="false" customHeight="true" outlineLevel="0" collapsed="false">
      <c r="A45" s="1" t="s">
        <v>54</v>
      </c>
      <c r="B45" s="19" t="n">
        <f aca="false">1/(1+$B$8)^B$12</f>
        <v>0.907276356378153</v>
      </c>
      <c r="C45" s="19" t="n">
        <f aca="false">1/(1+$B$8)^C$12</f>
        <v>0.823150386842817</v>
      </c>
      <c r="D45" s="19" t="n">
        <f aca="false">1/(1+$B$8)^D$12</f>
        <v>0.746824883726018</v>
      </c>
      <c r="E45" s="19" t="n">
        <f aca="false">1/(1+$B$8)^E$12</f>
        <v>0.677576559359479</v>
      </c>
      <c r="F45" s="19" t="n">
        <f aca="false">1/(1+$B$8)^F$12</f>
        <v>0.614749191942913</v>
      </c>
      <c r="G45" s="19" t="n">
        <f aca="false">1/(1+$B$8)^G$12</f>
        <v>0.55774740695238</v>
      </c>
      <c r="H45" s="19" t="n">
        <f aca="false">1/(1+$B$8)^H$12</f>
        <v>0.506031035159118</v>
      </c>
      <c r="I45" s="19" t="n">
        <f aca="false">1/(1+$B$8)^I$12</f>
        <v>0.459109993793429</v>
      </c>
      <c r="J45" s="19" t="n">
        <f aca="false">1/(1+$B$8)^J$12</f>
        <v>0.416539642345699</v>
      </c>
      <c r="K45" s="19" t="n">
        <f aca="false">1/(1+$B$8)^K$12</f>
        <v>0.377916568994465</v>
      </c>
      <c r="L45" s="19"/>
    </row>
    <row r="46" customFormat="false" ht="15" hidden="false" customHeight="true" outlineLevel="0" collapsed="false">
      <c r="A46" s="1" t="s">
        <v>55</v>
      </c>
      <c r="B46" s="18" t="n">
        <f aca="false">B44*B45</f>
        <v>1.39592814371257</v>
      </c>
      <c r="C46" s="18" t="n">
        <f aca="false">C44*C45</f>
        <v>1.58807857800178</v>
      </c>
      <c r="D46" s="18" t="n">
        <f aca="false">D44*D45</f>
        <v>1.76671440610621</v>
      </c>
      <c r="E46" s="18" t="n">
        <f aca="false">E44*E45</f>
        <v>1.81790784837369</v>
      </c>
      <c r="F46" s="18" t="n">
        <f aca="false">F44*F45</f>
        <v>1.75325353186467</v>
      </c>
      <c r="G46" s="18" t="n">
        <f aca="false">G44*G45</f>
        <v>1.64743082929033</v>
      </c>
      <c r="H46" s="18" t="n">
        <f aca="false">H44*H45</f>
        <v>1.5458990129921</v>
      </c>
      <c r="I46" s="18" t="n">
        <f aca="false">I44*I45</f>
        <v>1.44860408475259</v>
      </c>
      <c r="J46" s="18" t="n">
        <f aca="false">J44*J45</f>
        <v>1.35548503311532</v>
      </c>
      <c r="K46" s="18" t="n">
        <f aca="false">K44*K45</f>
        <v>1.26647432845927</v>
      </c>
      <c r="L46" s="18"/>
    </row>
    <row r="47" customFormat="false" ht="15" hidden="false" customHeight="true" outlineLevel="0" collapsed="false">
      <c r="A47" s="1" t="s">
        <v>56</v>
      </c>
      <c r="B47" s="12" t="n">
        <v>0.04</v>
      </c>
    </row>
    <row r="48" customFormat="false" ht="15" hidden="false" customHeight="true" outlineLevel="0" collapsed="false">
      <c r="A48" s="1" t="s">
        <v>57</v>
      </c>
      <c r="B48" s="8" t="n">
        <f aca="false">L44/($B$8-B47)/(1+$B$8)^$K$12</f>
        <v>21.5728223633857</v>
      </c>
    </row>
    <row r="49" customFormat="false" ht="15" hidden="false" customHeight="true" outlineLevel="0" collapsed="false">
      <c r="A49" s="1" t="s">
        <v>58</v>
      </c>
      <c r="B49" s="20" t="n">
        <f aca="false">$B$6+SUM(B46:K46)+B48</f>
        <v>66.2985981600542</v>
      </c>
    </row>
    <row r="50" customFormat="false" ht="15" hidden="false" customHeight="true" outlineLevel="0" collapsed="false">
      <c r="A50" s="1" t="s">
        <v>59</v>
      </c>
      <c r="B50" s="7" t="n">
        <f aca="false">B49/$B$4-1</f>
        <v>0.305218981396874</v>
      </c>
    </row>
    <row r="52" customFormat="false" ht="15" hidden="false" customHeight="true" outlineLevel="0" collapsed="false">
      <c r="A52" s="14" t="s">
        <v>62</v>
      </c>
      <c r="B52" s="15"/>
      <c r="C52" s="14" t="s">
        <v>63</v>
      </c>
      <c r="D52" s="15"/>
      <c r="E52" s="15"/>
      <c r="F52" s="15"/>
      <c r="G52" s="15"/>
      <c r="H52" s="15"/>
      <c r="I52" s="15"/>
      <c r="J52" s="15"/>
      <c r="K52" s="15"/>
      <c r="L52" s="15"/>
    </row>
    <row r="53" customFormat="false" ht="15" hidden="false" customHeight="true" outlineLevel="0" collapsed="false">
      <c r="A53" s="1" t="s">
        <v>64</v>
      </c>
      <c r="B53" s="8" t="n">
        <f aca="false">B25</f>
        <v>37.1089172553692</v>
      </c>
      <c r="C53" s="7" t="n">
        <f aca="false">B53/$B$4-1</f>
        <v>-0.269437597098746</v>
      </c>
    </row>
    <row r="54" customFormat="false" ht="15" hidden="false" customHeight="true" outlineLevel="0" collapsed="false">
      <c r="A54" s="1" t="s">
        <v>65</v>
      </c>
      <c r="B54" s="8" t="n">
        <f aca="false">B37</f>
        <v>57.0641576235683</v>
      </c>
      <c r="C54" s="7" t="n">
        <f aca="false">B54/$B$4-1</f>
        <v>0.123420762350001</v>
      </c>
    </row>
    <row r="55" customFormat="false" ht="15" hidden="false" customHeight="true" outlineLevel="0" collapsed="false">
      <c r="A55" s="1" t="s">
        <v>66</v>
      </c>
      <c r="B55" s="8" t="n">
        <f aca="false">B49</f>
        <v>66.2985981600542</v>
      </c>
      <c r="C55" s="7" t="n">
        <f aca="false">B55/$B$4-1</f>
        <v>0.305218981396874</v>
      </c>
    </row>
    <row r="56" customFormat="false" ht="15" hidden="false" customHeight="true" outlineLevel="0" collapsed="false">
      <c r="A56" s="1" t="s">
        <v>67</v>
      </c>
      <c r="B56" s="8" t="n">
        <f aca="false">INDEX(B25:B49,1+($B$9-1)*12)</f>
        <v>57.0641576235683</v>
      </c>
      <c r="C56" s="7" t="n">
        <f aca="false">B56/$B$4-1</f>
        <v>0.123420762350001</v>
      </c>
    </row>
    <row r="57" customFormat="false" ht="15" hidden="false" customHeight="true" outlineLevel="0" collapsed="false">
      <c r="A57" s="1" t="s">
        <v>68</v>
      </c>
      <c r="B57" s="21" t="n">
        <f aca="false">B54/$B$6</f>
        <v>1.95827582785066</v>
      </c>
    </row>
    <row r="58" customFormat="false" ht="15" hidden="false" customHeight="true" outlineLevel="0" collapsed="false">
      <c r="A58" s="1" t="s">
        <v>69</v>
      </c>
      <c r="B58" s="21" t="n">
        <f aca="false">B4/B6</f>
        <v>1.74313658201784</v>
      </c>
    </row>
    <row r="60" customFormat="false" ht="15" hidden="false" customHeight="true" outlineLevel="0" collapsed="false">
      <c r="A60" s="9" t="s">
        <v>70</v>
      </c>
    </row>
    <row r="61" customFormat="false" ht="15" hidden="false" customHeight="true" outlineLevel="0" collapsed="false">
      <c r="A61" s="1" t="s">
        <v>71</v>
      </c>
      <c r="B61" s="12" t="n">
        <v>0.05</v>
      </c>
      <c r="C61" s="12" t="n">
        <v>0.06</v>
      </c>
      <c r="D61" s="12" t="n">
        <v>0.07</v>
      </c>
      <c r="E61" s="12" t="n">
        <v>0.08</v>
      </c>
      <c r="F61" s="12" t="n">
        <v>0.09</v>
      </c>
      <c r="G61" s="12" t="n">
        <v>0.1</v>
      </c>
      <c r="H61" s="12" t="n">
        <v>0.11</v>
      </c>
      <c r="I61" s="12" t="n">
        <v>0.12</v>
      </c>
      <c r="J61" s="12" t="n">
        <v>0.13</v>
      </c>
      <c r="K61" s="12" t="n">
        <v>0.14</v>
      </c>
    </row>
    <row r="62" customFormat="false" ht="15" hidden="false" customHeight="true" outlineLevel="0" collapsed="false">
      <c r="A62" s="1" t="s">
        <v>65</v>
      </c>
      <c r="B62" s="8" t="n">
        <f aca="false">IF(B$61&gt;$B$35,$B$6+SUMPRODUCT(($B$28:$K$28-B$61)*$B$29:$K$29/(1+B$61)^$B$12:$K$12)+($L$28-B$61)*$L$29/(B$61-$B$35)/(1+B$61)^$K$12,"n/a")</f>
        <v>380.162343386952</v>
      </c>
      <c r="C62" s="8" t="n">
        <f aca="false">IF(C$61&gt;$B$35,$B$6+SUMPRODUCT(($B$28:$K$28-C$61)*$B$29:$K$29/(1+C$61)^$B$12:$K$12)+($L$28-C$61)*$L$29/(C$61-$B$35)/(1+C$61)^$K$12,"n/a")</f>
        <v>187.18520530772</v>
      </c>
      <c r="D62" s="8" t="n">
        <f aca="false">IF(D$61&gt;$B$35,$B$6+SUMPRODUCT(($B$28:$K$28-D$61)*$B$29:$K$29/(1+D$61)^$B$12:$K$12)+($L$28-D$61)*$L$29/(D$61-$B$35)/(1+D$61)^$K$12,"n/a")</f>
        <v>123.02839114445</v>
      </c>
      <c r="E62" s="8" t="n">
        <f aca="false">IF(E$61&gt;$B$35,$B$6+SUMPRODUCT(($B$28:$K$28-E$61)*$B$29:$K$29/(1+E$61)^$B$12:$K$12)+($L$28-E$61)*$L$29/(E$61-$B$35)/(1+E$61)^$K$12,"n/a")</f>
        <v>91.0638294788459</v>
      </c>
      <c r="F62" s="8" t="n">
        <f aca="false">IF(F$61&gt;$B$35,$B$6+SUMPRODUCT(($B$28:$K$28-F$61)*$B$29:$K$29/(1+F$61)^$B$12:$K$12)+($L$28-F$61)*$L$29/(F$61-$B$35)/(1+F$61)^$K$12,"n/a")</f>
        <v>71.9670485364214</v>
      </c>
      <c r="G62" s="8" t="n">
        <f aca="false">IF(G$61&gt;$B$35,$B$6+SUMPRODUCT(($B$28:$K$28-G$61)*$B$29:$K$29/(1+G$61)^$B$12:$K$12)+($L$28-G$61)*$L$29/(G$61-$B$35)/(1+G$61)^$K$12,"n/a")</f>
        <v>59.2973954947593</v>
      </c>
      <c r="H62" s="8" t="n">
        <f aca="false">IF(H$61&gt;$B$35,$B$6+SUMPRODUCT(($B$28:$K$28-H$61)*$B$29:$K$29/(1+H$61)^$B$12:$K$12)+($L$28-H$61)*$L$29/(H$61-$B$35)/(1+H$61)^$K$12,"n/a")</f>
        <v>50.295223235083</v>
      </c>
      <c r="I62" s="8" t="n">
        <f aca="false">IF(I$61&gt;$B$35,$B$6+SUMPRODUCT(($B$28:$K$28-I$61)*$B$29:$K$29/(1+I$61)^$B$12:$K$12)+($L$28-I$61)*$L$29/(I$61-$B$35)/(1+I$61)^$K$12,"n/a")</f>
        <v>43.5811965287824</v>
      </c>
      <c r="J62" s="8" t="n">
        <f aca="false">IF(J$61&gt;$B$35,$B$6+SUMPRODUCT(($B$28:$K$28-J$61)*$B$29:$K$29/(1+J$61)^$B$12:$K$12)+($L$28-J$61)*$L$29/(J$61-$B$35)/(1+J$61)^$K$12,"n/a")</f>
        <v>38.3894014043861</v>
      </c>
      <c r="K62" s="8" t="n">
        <f aca="false">IF(K$61&gt;$B$35,$B$6+SUMPRODUCT(($B$28:$K$28-K$61)*$B$29:$K$29/(1+K$61)^$B$12:$K$12)+($L$28-K$61)*$L$29/(K$61-$B$35)/(1+K$61)^$K$12,"n/a")</f>
        <v>34.2605945899219</v>
      </c>
    </row>
    <row r="63" customFormat="false" ht="15" hidden="false" customHeight="true" outlineLevel="0" collapsed="false">
      <c r="A63" s="1" t="s">
        <v>72</v>
      </c>
      <c r="B63" s="7" t="n">
        <f aca="false">IFERROR(B62/$B$4-1,"n/a")</f>
        <v>6.48424733511077</v>
      </c>
      <c r="C63" s="7" t="n">
        <f aca="false">IFERROR(C62/$B$4-1,"n/a")</f>
        <v>2.68511084373896</v>
      </c>
      <c r="D63" s="7" t="n">
        <f aca="false">IFERROR(D62/$B$4-1,"n/a")</f>
        <v>1.42205711476424</v>
      </c>
      <c r="E63" s="7" t="n">
        <f aca="false">IFERROR(E62/$B$4-1,"n/a")</f>
        <v>0.792771522371216</v>
      </c>
      <c r="F63" s="7" t="n">
        <f aca="false">IFERROR(F62/$B$4-1,"n/a")</f>
        <v>0.416813633948644</v>
      </c>
      <c r="G63" s="7" t="n">
        <f aca="false">IFERROR(G62/$B$4-1,"n/a")</f>
        <v>0.167386465100094</v>
      </c>
      <c r="H63" s="7" t="n">
        <f aca="false">IFERROR(H62/$B$4-1,"n/a")</f>
        <v>-0.0098390937083771</v>
      </c>
      <c r="I63" s="7" t="n">
        <f aca="false">IFERROR(I62/$B$4-1,"n/a")</f>
        <v>-0.14201798348691</v>
      </c>
      <c r="J63" s="7" t="n">
        <f aca="false">IFERROR(J62/$B$4-1,"n/a")</f>
        <v>-0.244228735025375</v>
      </c>
      <c r="K63" s="7" t="n">
        <f aca="false">IFERROR(K62/$B$4-1,"n/a")</f>
        <v>-0.325512460086192</v>
      </c>
    </row>
    <row r="65" customFormat="false" ht="15" hidden="false" customHeight="true" outlineLevel="0" collapsed="false">
      <c r="A65" s="9" t="s">
        <v>73</v>
      </c>
      <c r="B65" s="22" t="n">
        <f aca="false">IFERROR(IF(MATCH($B$4,$B$62:$K$62,-1)=10,"above 14%",INDEX($B$61:$K$61,MATCH($B$4,$B$62:$K$62,-1))+(INDEX($B$62:$K$62,MATCH($B$4,$B$62:$K$62,-1))-$B$4)/(INDEX($B$62:$K$62,MATCH($B$4,$B$62:$K$62,-1))-INDEX($B$62:$K$62,MATCH($B$4,$B$62:$K$62,-1)+1))*(INDEX($B$61:$K$61,MATCH($B$4,$B$62:$K$62,-1)+1)-INDEX($B$61:$K$61,MATCH($B$4,$B$62:$K$62,-1)))),"below 5%")</f>
        <v>0.10944482648132</v>
      </c>
      <c r="C65" s="3" t="s">
        <v>74</v>
      </c>
    </row>
    <row r="66" customFormat="false" ht="15" hidden="false" customHeight="true" outlineLevel="0" collapsed="false">
      <c r="A66" s="3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46"/>
  </cols>
  <sheetData>
    <row r="1" customFormat="false" ht="15.75" hidden="false" customHeight="true" outlineLevel="0" collapsed="false">
      <c r="A1" s="2" t="s">
        <v>76</v>
      </c>
    </row>
    <row r="2" customFormat="false" ht="15" hidden="false" customHeight="true" outlineLevel="0" collapsed="false">
      <c r="A2" s="3" t="s">
        <v>77</v>
      </c>
    </row>
    <row r="5" customFormat="false" ht="15" hidden="false" customHeight="true" outlineLevel="0" collapsed="false">
      <c r="A5" s="1" t="s">
        <v>78</v>
      </c>
      <c r="B5" s="13" t="n">
        <v>2</v>
      </c>
      <c r="C5" s="3" t="s">
        <v>79</v>
      </c>
    </row>
    <row r="6" customFormat="false" ht="15" hidden="false" customHeight="true" outlineLevel="0" collapsed="false">
      <c r="A6" s="1" t="s">
        <v>80</v>
      </c>
      <c r="B6" s="13" t="n">
        <v>2</v>
      </c>
      <c r="C6" s="3" t="s">
        <v>81</v>
      </c>
    </row>
    <row r="7" customFormat="false" ht="15" hidden="false" customHeight="true" outlineLevel="0" collapsed="false">
      <c r="A7" s="1" t="s">
        <v>82</v>
      </c>
      <c r="B7" s="12" t="n">
        <v>0.0503</v>
      </c>
      <c r="C7" s="3" t="s">
        <v>83</v>
      </c>
    </row>
    <row r="8" customFormat="false" ht="15" hidden="false" customHeight="true" outlineLevel="0" collapsed="false">
      <c r="A8" s="1" t="s">
        <v>84</v>
      </c>
      <c r="B8" s="12" t="n">
        <v>0.05</v>
      </c>
      <c r="C8" s="3" t="s">
        <v>29</v>
      </c>
    </row>
    <row r="9" customFormat="false" ht="15" hidden="false" customHeight="true" outlineLevel="0" collapsed="false">
      <c r="A9" s="1" t="s">
        <v>85</v>
      </c>
      <c r="B9" s="12" t="n">
        <v>0.012</v>
      </c>
      <c r="C9" s="3" t="s">
        <v>86</v>
      </c>
    </row>
    <row r="33" customFormat="false" ht="15" hidden="false" customHeight="true" outlineLevel="0" collapsed="false">
      <c r="A33" s="14" t="s">
        <v>87</v>
      </c>
      <c r="B33" s="14" t="s">
        <v>88</v>
      </c>
      <c r="C33" s="14" t="s">
        <v>89</v>
      </c>
    </row>
    <row r="34" customFormat="false" ht="15" hidden="false" customHeight="true" outlineLevel="0" collapsed="false">
      <c r="A34" s="1" t="s">
        <v>90</v>
      </c>
      <c r="B34" s="23" t="n">
        <v>1.21</v>
      </c>
      <c r="C34" s="3" t="s">
        <v>91</v>
      </c>
    </row>
    <row r="35" customFormat="false" ht="15" hidden="false" customHeight="true" outlineLevel="0" collapsed="false">
      <c r="A35" s="1" t="s">
        <v>92</v>
      </c>
      <c r="B35" s="24" t="n">
        <f aca="false">0.67*B34+0.33</f>
        <v>1.1407</v>
      </c>
      <c r="C35" s="3" t="s">
        <v>93</v>
      </c>
    </row>
    <row r="36" customFormat="false" ht="15" hidden="false" customHeight="true" outlineLevel="0" collapsed="false">
      <c r="A36" s="1" t="s">
        <v>94</v>
      </c>
      <c r="B36" s="24" t="n">
        <f aca="false">IF($B$6=1,B34,B35)</f>
        <v>1.1407</v>
      </c>
      <c r="C36" s="3" t="s">
        <v>95</v>
      </c>
    </row>
    <row r="37" customFormat="false" ht="15" hidden="false" customHeight="true" outlineLevel="0" collapsed="false">
      <c r="A37" s="1" t="s">
        <v>96</v>
      </c>
      <c r="B37" s="16" t="n">
        <f aca="false">$B$7+B36*$B$8</f>
        <v>0.107335</v>
      </c>
      <c r="C37" s="3" t="s">
        <v>97</v>
      </c>
    </row>
    <row r="38" customFormat="false" ht="15" hidden="false" customHeight="true" outlineLevel="0" collapsed="false">
      <c r="A38" s="1" t="s">
        <v>98</v>
      </c>
      <c r="B38" s="17" t="n">
        <v>0.1022</v>
      </c>
      <c r="C38" s="3" t="s">
        <v>99</v>
      </c>
    </row>
    <row r="39" customFormat="false" ht="15" hidden="false" customHeight="true" outlineLevel="0" collapsed="false">
      <c r="A39" s="1" t="s">
        <v>100</v>
      </c>
      <c r="B39" s="22" t="n">
        <f aca="false">IF($B$5=1,B37,B38)</f>
        <v>0.1022</v>
      </c>
      <c r="C39" s="3" t="s">
        <v>101</v>
      </c>
    </row>
    <row r="40" customFormat="false" ht="15" hidden="false" customHeight="true" outlineLevel="0" collapsed="false">
      <c r="A40" s="1" t="s">
        <v>102</v>
      </c>
      <c r="B40" s="16" t="n">
        <f aca="false">B39</f>
        <v>0.1022</v>
      </c>
      <c r="C4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2026-10-28T13:32:48Z</dcterms:created>
  <dc:creator>openpyxl</dc:creator>
  <dc:description/>
  <dc:language>en-US</dc:language>
  <cp:lastModifiedBy/>
  <dcterms:modified xsi:type="dcterms:W3CDTF">2026-10-28T20:30:28Z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