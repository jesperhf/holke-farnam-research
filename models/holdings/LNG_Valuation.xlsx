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LNG" sheetId="2" state="visible" r:id="rId4"/>
    <sheet name="WACC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<sst xmlns="http://schemas.openxmlformats.org/spreadsheetml/2006/main" count="166" uniqueCount="127">
  <si>
    <t xml:space="preserve">Cheniere Energy (LNG): valuation summary</t>
  </si>
  <si>
    <t xml:space="preserve">Values link to the model sheet (green). Switch the discount rate on the WACC tab.</t>
  </si>
  <si>
    <t xml:space="preserve">Company</t>
  </si>
  <si>
    <t xml:space="preserve">Method</t>
  </si>
  <si>
    <t xml:space="preserve">Share price</t>
  </si>
  <si>
    <t xml:space="preserve">Discount rate</t>
  </si>
  <si>
    <t xml:space="preserve">Bear value</t>
  </si>
  <si>
    <t xml:space="preserve">Base value</t>
  </si>
  <si>
    <t xml:space="preserve">Bull value</t>
  </si>
  <si>
    <t xml:space="preserve">Base vs price</t>
  </si>
  <si>
    <t xml:space="preserve">Implied return at price (base case)</t>
  </si>
  <si>
    <t xml:space="preserve">Base value (rounded)</t>
  </si>
  <si>
    <t xml:space="preserve">Cheniere Energy (LNG)</t>
  </si>
  <si>
    <t xml:space="preserve">10-year DCF</t>
  </si>
  <si>
    <t xml:space="preserve">Exit plan on the positions page</t>
  </si>
  <si>
    <t xml:space="preserve">Trim above (bull value, rounded)</t>
  </si>
  <si>
    <t xml:space="preserve">Exit below (halfway, bear to base)</t>
  </si>
  <si>
    <t xml:space="preserve">Thesis-break signal</t>
  </si>
  <si>
    <t xml:space="preserve">Sell on a cut to cash flow guidance, or if new long-term contracting stalls as the 2027 to 2028 LNG supply wave arrives.</t>
  </si>
  <si>
    <t xml:space="preserve">Cheniere Energy (LNG): 10-year scenario DCF</t>
  </si>
  <si>
    <t xml:space="preserve">Units: $ billions unless noted. Blue = input, black = formula, green = link, yellow = key lever. Years 6 to 10 fade growth, margin and reinvestment toward each scenario's terminal levels.</t>
  </si>
  <si>
    <t xml:space="preserve">Share price ($)</t>
  </si>
  <si>
    <t xml:space="preserve">Oct 28, 2026 close (before Q3 results)</t>
  </si>
  <si>
    <t xml:space="preserve">Price date</t>
  </si>
  <si>
    <t xml:space="preserve">Text</t>
  </si>
  <si>
    <t xml:space="preserve">Shares outstanding (billions)</t>
  </si>
  <si>
    <t xml:space="preserve">Stock Analysis statistics, Oct 23, 2026</t>
  </si>
  <si>
    <t xml:space="preserve">Net cash, negative = net debt</t>
  </si>
  <si>
    <t xml:space="preserve">Stock Analysis statistics, Oct 23, 2026: cash less total debt</t>
  </si>
  <si>
    <t xml:space="preserve">Other non-operating assets, less outside claims</t>
  </si>
  <si>
    <t xml:space="preserve">Less public share of CQP: about 51.4% of CQP market cap $30.77B (Stock Analysis, Oct 16, 2026)</t>
  </si>
  <si>
    <t xml:space="preserve">Tax rate</t>
  </si>
  <si>
    <t xml:space="preserve">Analyst assumption (normalized, near the reported effective rate)</t>
  </si>
  <si>
    <t xml:space="preserve">Discount rate (WACC), from WACC tab</t>
  </si>
  <si>
    <t xml:space="preserve">Calculated or assumed, per the switch in WACC!B5</t>
  </si>
  <si>
    <t xml:space="preserve">Working capital, % of revenue change</t>
  </si>
  <si>
    <t xml:space="preserve">Analyst assumption</t>
  </si>
  <si>
    <t xml:space="preserve">Base-year revenue (2026E)</t>
  </si>
  <si>
    <t xml:space="preserve">2026E revenue about $24.3B: $17.77B for nine months plus about $6.5B in Q4 (Q3 2026 release, Oct 29). 2026 EBITDA guidance raised to $8.75B to $9.25B. Margin is the lever</t>
  </si>
  <si>
    <t xml:space="preserve">Selected scenario (1 Bear, 2 Base, 3 Bull)</t>
  </si>
  <si>
    <t xml:space="preserve">Lever</t>
  </si>
  <si>
    <t xml:space="preserve">Year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</si>
  <si>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</si>
  <si>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</si>
  <si>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</si>
  <si>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</si>
  <si>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</si>
  <si>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</si>
  <si>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</si>
  <si>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</si>
  <si>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</si>
  <si>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</si>
  <si>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Terminal</t>
  </si>
  <si>
    <t xml:space="preserve">Discount period (years, mid-year)</t>
  </si>
  <si>
    <t xml:space="preserve">Fade step (years 6 to 10)</t>
  </si>
  <si>
    <t xml:space="preserve">Bear: LNG glut from 2027, weaker spot margins</t>
  </si>
  <si>
    <t xml:space="preserve">Revenue</t>
  </si>
  <si>
    <t xml:space="preserve">Revenue growth (terminal column = terminal growth, input)</t>
  </si>
  <si>
    <t xml:space="preserve">Operating margin</t>
  </si>
  <si>
    <t xml:space="preserve">Operating income</t>
  </si>
  <si>
    <t xml:space="preserve">NOPAT</t>
  </si>
  <si>
    <t xml:space="preserve">Net reinvestment, % of revenue</t>
  </si>
  <si>
    <t xml:space="preserve">Net reinvestment</t>
  </si>
  <si>
    <t xml:space="preserve">Change in working capital</t>
  </si>
  <si>
    <t xml:space="preserve">Free cash flow</t>
  </si>
  <si>
    <t xml:space="preserve">Discount factor</t>
  </si>
  <si>
    <t xml:space="preserve">PV of free cash flow</t>
  </si>
  <si>
    <t xml:space="preserve">Terminal value</t>
  </si>
  <si>
    <t xml:space="preserve">PV of terminal value</t>
  </si>
  <si>
    <t xml:space="preserve">Equity value (PV FCF + PV TV + net cash + other)</t>
  </si>
  <si>
    <t xml:space="preserve">Value per share ($)</t>
  </si>
  <si>
    <t xml:space="preserve">Value vs share price</t>
  </si>
  <si>
    <t xml:space="preserve">Base: 2027 near 2026 as spot margins normalize, trains 8 and 9 in 2028</t>
  </si>
  <si>
    <t xml:space="preserve">Bull: more trains sanctioned at good returns</t>
  </si>
  <si>
    <t xml:space="preserve">Outputs</t>
  </si>
  <si>
    <t xml:space="preserve">vs price</t>
  </si>
  <si>
    <t xml:space="preserve">Bear value per share</t>
  </si>
  <si>
    <t xml:space="preserve">Base value per share</t>
  </si>
  <si>
    <t xml:space="preserve">Bull value per share</t>
  </si>
  <si>
    <t xml:space="preserve">Selected scenario value per share</t>
  </si>
  <si>
    <t xml:space="preserve">Share of base value from terminal value</t>
  </si>
  <si>
    <t xml:space="preserve">Base value per share at other discount rates</t>
  </si>
  <si>
    <t xml:space="preserve">vs share price</t>
  </si>
  <si>
    <t xml:space="preserve">Implied annual return at today's price, base case</t>
  </si>
  <si>
    <t xml:space="preserve">Discount rate at which base value equals the price (interpolated from the row above)</t>
  </si>
  <si>
    <t xml:space="preserve">Discount rates: calculated (CAPM) versus assumed</t>
  </si>
  <si>
    <t xml:space="preserve">Blue = input, black = formula, green = link. The yellow switches set the rate used on the model sheet.</t>
  </si>
  <si>
    <t xml:space="preserve">Rate used in valuations (1 = Calculated, 2 = Assumed)</t>
  </si>
  <si>
    <t xml:space="preserve">Switch. 2 reproduces the doc's figures</t>
  </si>
  <si>
    <t xml:space="preserve">Beta used (1 = Raw 5-year, 2 = Blume adjusted)</t>
  </si>
  <si>
    <t xml:space="preserve">Blume adjusted = 0.67 x raw + 0.33</t>
  </si>
  <si>
    <t xml:space="preserve">Risk-free rate (10-year Treasury)</t>
  </si>
  <si>
    <t xml:space="preserve">10-year Treasury yield at the close on 2026-10-28; assumed rates below move with it</t>
  </si>
  <si>
    <t xml:space="preserve">Equity risk premium</t>
  </si>
  <si>
    <t xml:space="preserve">Credit spread over risk-free (pre-tax cost of debt)</t>
  </si>
  <si>
    <t xml:space="preserve">Analyst assumption: investment-grade spread</t>
  </si>
  <si>
    <t xml:space="preserve">Item</t>
  </si>
  <si>
    <t xml:space="preserve">LNG</t>
  </si>
  <si>
    <t xml:space="preserve">Source / note</t>
  </si>
  <si>
    <t xml:space="preserve">Raw beta (5-year)</t>
  </si>
  <si>
    <t xml:space="preserve">Beta override (blank = none)</t>
  </si>
  <si>
    <t xml:space="preserve">Cheniere's 0.06 raw beta reflects its own history, not its risk; 0.80 used instead</t>
  </si>
  <si>
    <t xml:space="preserve">Adjusted beta</t>
  </si>
  <si>
    <t xml:space="preserve">Blume: 0.67 x raw (or override) + 0.33</t>
  </si>
  <si>
    <t xml:space="preserve">Beta used</t>
  </si>
  <si>
    <t xml:space="preserve">Per switch in B6</t>
  </si>
  <si>
    <t xml:space="preserve">Cost of equity</t>
  </si>
  <si>
    <t xml:space="preserve">Risk-free + beta x ERP</t>
  </si>
  <si>
    <t xml:space="preserve">Pre-tax cost of debt</t>
  </si>
  <si>
    <t xml:space="preserve">Risk-free + spread</t>
  </si>
  <si>
    <t xml:space="preserve">Linked from company sheet</t>
  </si>
  <si>
    <t xml:space="preserve">After-tax cost of debt</t>
  </si>
  <si>
    <t xml:space="preserve">Market value of equity ($B)</t>
  </si>
  <si>
    <t xml:space="preserve">Price x shares</t>
  </si>
  <si>
    <t xml:space="preserve">Debt ($B)</t>
  </si>
  <si>
    <t xml:space="preserve">Stock Analysis, total debt</t>
  </si>
  <si>
    <t xml:space="preserve">Equity weight</t>
  </si>
  <si>
    <t xml:space="preserve">Debt weight</t>
  </si>
  <si>
    <t xml:space="preserve">Calculated WACC (CAPM)</t>
  </si>
  <si>
    <t xml:space="preserve">Weighted cost of capital</t>
  </si>
  <si>
    <t xml:space="preserve">Assumed WACC</t>
  </si>
  <si>
    <t xml:space="preserve">Analyst assumption used in the doc</t>
  </si>
  <si>
    <t xml:space="preserve">WACC used</t>
  </si>
  <si>
    <t xml:space="preserve">Per switch in B5; feeds each sheet's B10</t>
  </si>
  <si>
    <t xml:space="preserve">Check: WACC above every terminal growth rate</t>
  </si>
  <si>
    <t xml:space="preserve">Link row read by company sheets</t>
  </si>
  <si>
    <t xml:space="preserve">Same as WACC used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</si>
</sst>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.00;&quot;($&quot;#,##0.00\);\-"/>
    <numFmt numFmtId="166" formatCode="0.0%;\(0.0%\);\-"/>
    <numFmt numFmtId="167" formatCode="0.0%;\-0.0%;0.0%"/>
    <numFmt numFmtId="168" formatCode="0.000"/>
    <numFmt numFmtId="169" formatCode="#,##0.0;\(#,##0.0\);\-"/>
    <numFmt numFmtId="170" formatCode="0"/>
    <numFmt numFmtId="171" formatCode="0.00"/>
    <numFmt numFmtId="172" formatCode="#,##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8"/>
    <col collapsed="false" customWidth="true" hidden="false" outlineLevel="0" max="10" min="3" style="1" width="13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43.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</row>
    <row r="5" customFormat="false" ht="15" hidden="false" customHeight="true" outlineLevel="0" collapsed="false">
      <c r="A5" s="1" t="s">
        <v>12</v>
      </c>
      <c r="B5" s="1" t="s">
        <v>13</v>
      </c>
      <c r="C5" s="5" t="n">
        <f aca="false">LNG!B4</f>
        <v>297.77</v>
      </c>
      <c r="D5" s="6" t="n">
        <f aca="false">LNG!B10</f>
        <v>0.0722</v>
      </c>
      <c r="E5" s="5" t="n">
        <f aca="false">LNG!B75</f>
        <v>181.632914629396</v>
      </c>
      <c r="F5" s="5" t="n">
        <f aca="false">LNG!B76</f>
        <v>379.866227557491</v>
      </c>
      <c r="G5" s="5" t="n">
        <f aca="false">LNG!B77</f>
        <v>532.479526906825</v>
      </c>
      <c r="H5" s="7" t="n">
        <f aca="false">F5/C5-1</f>
        <v>0.275703487784165</v>
      </c>
      <c r="I5" s="6" t="n">
        <f aca="false">LNG!B86</f>
        <v>0.0819262899203144</v>
      </c>
      <c r="J5" s="8" t="n">
        <f aca="false">IF(F5&lt;10,ROUND(F5*4,0)/4,IF(F5&lt;100,ROUND(F5,0),ROUND(F5/5,0)*5))</f>
        <v>380</v>
      </c>
    </row>
    <row r="8" customFormat="false" ht="15" hidden="false" customHeight="true" outlineLevel="0" collapsed="false">
      <c r="A8" s="9" t="s">
        <v>14</v>
      </c>
    </row>
    <row r="9" customFormat="false" ht="15" hidden="false" customHeight="true" outlineLevel="0" collapsed="false">
      <c r="A9" s="1" t="s">
        <v>11</v>
      </c>
      <c r="C9" s="8" t="n">
        <v>380</v>
      </c>
    </row>
    <row r="10" customFormat="false" ht="15" hidden="false" customHeight="true" outlineLevel="0" collapsed="false">
      <c r="A10" s="1" t="s">
        <v>15</v>
      </c>
      <c r="C10" s="8" t="n">
        <v>530</v>
      </c>
    </row>
    <row r="11" customFormat="false" ht="15" hidden="false" customHeight="true" outlineLevel="0" collapsed="false">
      <c r="A11" s="1" t="s">
        <v>16</v>
      </c>
      <c r="C11" s="8" t="n">
        <v>280</v>
      </c>
    </row>
    <row r="12" customFormat="false" ht="15" hidden="false" customHeight="true" outlineLevel="0" collapsed="false">
      <c r="A12" s="1" t="s">
        <v>17</v>
      </c>
      <c r="C12" s="1" t="s">
        <v>18</v>
      </c>
    </row>
    <row r="13" customFormat="false" ht="15" hidden="false" customHeight="true" outlineLevel="0" collapsed="false">
      <c r="A13" s="3"/>
    </row>
    <row r="15" customFormat="false" ht="15" hidden="false" customHeight="true" outlineLevel="0" collapsed="false">
      <c r="A15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6"/>
    <col collapsed="false" customWidth="true" hidden="false" outlineLevel="0" max="2" min="2" style="1" width="11"/>
    <col collapsed="false" customWidth="true" hidden="false" outlineLevel="0" max="3" min="3" style="1" width="12"/>
    <col collapsed="false" customWidth="true" hidden="false" outlineLevel="0" max="12" min="4" style="1" width="11"/>
  </cols>
  <sheetData>
    <row r="1" customFormat="false" ht="15.75" hidden="false" customHeight="true" outlineLevel="0" collapsed="false">
      <c r="A1" s="2" t="s">
        <v>19</v>
      </c>
    </row>
    <row r="2" customFormat="false" ht="15" hidden="false" customHeight="true" outlineLevel="0" collapsed="false">
      <c r="A2" s="3" t="s">
        <v>20</v>
      </c>
    </row>
    <row r="4" customFormat="false" ht="15" hidden="false" customHeight="true" outlineLevel="0" collapsed="false">
      <c r="A4" s="1" t="s">
        <v>21</v>
      </c>
      <c r="B4" s="10" t="n">
        <v>297.77</v>
      </c>
      <c r="C4" s="3" t="s">
        <v>22</v>
      </c>
    </row>
    <row r="5" customFormat="false" ht="15" hidden="false" customHeight="true" outlineLevel="0" collapsed="false">
      <c r="A5" s="1" t="s">
        <v>23</v>
      </c>
      <c r="B5" s="11" t="s">
        <v>22</v>
      </c>
      <c r="C5" s="3" t="s">
        <v>24</v>
      </c>
    </row>
    <row r="6" customFormat="false" ht="15" hidden="false" customHeight="true" outlineLevel="0" collapsed="false">
      <c r="A6" s="1" t="s">
        <v>25</v>
      </c>
      <c r="B6" s="12" t="n">
        <v>0.2051</v>
      </c>
      <c r="C6" s="3" t="s">
        <v>26</v>
      </c>
    </row>
    <row r="7" customFormat="false" ht="15" hidden="false" customHeight="true" outlineLevel="0" collapsed="false">
      <c r="A7" s="1" t="s">
        <v>27</v>
      </c>
      <c r="B7" s="13" t="n">
        <v>-22.27</v>
      </c>
      <c r="C7" s="3" t="s">
        <v>28</v>
      </c>
    </row>
    <row r="8" customFormat="false" ht="15" hidden="false" customHeight="true" outlineLevel="0" collapsed="false">
      <c r="A8" s="1" t="s">
        <v>29</v>
      </c>
      <c r="B8" s="13" t="n">
        <v>-15.82</v>
      </c>
      <c r="C8" s="3" t="s">
        <v>30</v>
      </c>
    </row>
    <row r="9" customFormat="false" ht="15" hidden="false" customHeight="true" outlineLevel="0" collapsed="false">
      <c r="A9" s="1" t="s">
        <v>31</v>
      </c>
      <c r="B9" s="14" t="n">
        <v>0.18</v>
      </c>
      <c r="C9" s="3" t="s">
        <v>32</v>
      </c>
    </row>
    <row r="10" customFormat="false" ht="15" hidden="false" customHeight="true" outlineLevel="0" collapsed="false">
      <c r="A10" s="1" t="s">
        <v>33</v>
      </c>
      <c r="B10" s="15" t="n">
        <f aca="false">WACC!B29</f>
        <v>0.0722</v>
      </c>
      <c r="C10" s="3" t="s">
        <v>34</v>
      </c>
    </row>
    <row r="11" customFormat="false" ht="15" hidden="false" customHeight="true" outlineLevel="0" collapsed="false">
      <c r="A11" s="1" t="s">
        <v>35</v>
      </c>
      <c r="B11" s="14" t="n">
        <v>0</v>
      </c>
      <c r="C11" s="3" t="s">
        <v>36</v>
      </c>
    </row>
    <row r="12" customFormat="false" ht="15" hidden="false" customHeight="true" outlineLevel="0" collapsed="false">
      <c r="A12" s="1" t="s">
        <v>37</v>
      </c>
      <c r="B12" s="13" t="n">
        <v>24.3</v>
      </c>
      <c r="C12" s="3" t="s">
        <v>38</v>
      </c>
    </row>
    <row r="13" customFormat="false" ht="15" hidden="false" customHeight="true" outlineLevel="0" collapsed="false">
      <c r="A13" s="1" t="s">
        <v>39</v>
      </c>
      <c r="B13" s="16" t="n">
        <v>2</v>
      </c>
      <c r="C13" s="3" t="s">
        <v>40</v>
      </c>
    </row>
    <row r="15" customFormat="false" ht="15" hidden="false" customHeight="true" outlineLevel="0" collapsed="false">
      <c r="A15" s="9" t="s">
        <v>41</v>
      </c>
      <c r="B15" s="17" t="s">
        <v>42</v>
      </c>
      <c r="C15" s="17" t="s">
        <v>43</v>
      </c>
      <c r="D15" s="17" t="s">
        <v>44</v>
      </c>
      <c r="E15" s="17" t="s">
        <v>45</v>
      </c>
      <c r="F15" s="17" t="s">
        <v>46</v>
      </c>
      <c r="G15" s="17" t="s">
        <v>47</v>
      </c>
      <c r="H15" s="17" t="s">
        <v>48</v>
      </c>
      <c r="I15" s="17" t="s">
        <v>49</v>
      </c>
      <c r="J15" s="17" t="s">
        <v>50</v>
      </c>
      <c r="K15" s="17" t="s">
        <v>51</v>
      </c>
      <c r="L15" s="9" t="s">
        <v>52</v>
      </c>
    </row>
    <row r="16" customFormat="false" ht="15" hidden="false" customHeight="true" outlineLevel="0" collapsed="false">
      <c r="A16" s="1" t="s">
        <v>53</v>
      </c>
      <c r="B16" s="11" t="n">
        <v>0.5</v>
      </c>
      <c r="C16" s="1" t="n">
        <f aca="false">B16+1</f>
        <v>1.5</v>
      </c>
      <c r="D16" s="1" t="n">
        <f aca="false">C16+1</f>
        <v>2.5</v>
      </c>
      <c r="E16" s="1" t="n">
        <f aca="false">D16+1</f>
        <v>3.5</v>
      </c>
      <c r="F16" s="1" t="n">
        <f aca="false">E16+1</f>
        <v>4.5</v>
      </c>
      <c r="G16" s="1" t="n">
        <f aca="false">F16+1</f>
        <v>5.5</v>
      </c>
      <c r="H16" s="1" t="n">
        <f aca="false">G16+1</f>
        <v>6.5</v>
      </c>
      <c r="I16" s="1" t="n">
        <f aca="false">H16+1</f>
        <v>7.5</v>
      </c>
      <c r="J16" s="1" t="n">
        <f aca="false">I16+1</f>
        <v>8.5</v>
      </c>
      <c r="K16" s="1" t="n">
        <f aca="false">J16+1</f>
        <v>9.5</v>
      </c>
    </row>
    <row r="17" customFormat="false" ht="15" hidden="false" customHeight="true" outlineLevel="0" collapsed="false">
      <c r="A17" s="1" t="s">
        <v>54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1</v>
      </c>
      <c r="H17" s="1" t="n">
        <v>2</v>
      </c>
      <c r="I17" s="1" t="n">
        <v>3</v>
      </c>
      <c r="J17" s="1" t="n">
        <v>4</v>
      </c>
      <c r="K17" s="1" t="n">
        <v>5</v>
      </c>
    </row>
    <row r="19" customFormat="false" ht="15" hidden="false" customHeight="true" outlineLevel="0" collapsed="false">
      <c r="A19" s="18" t="s">
        <v>55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</row>
    <row r="20" customFormat="false" ht="15" hidden="false" customHeight="true" outlineLevel="0" collapsed="false">
      <c r="A20" s="1" t="s">
        <v>56</v>
      </c>
      <c r="B20" s="13" t="n">
        <v>22.5</v>
      </c>
      <c r="C20" s="13" t="n">
        <v>21.5</v>
      </c>
      <c r="D20" s="13" t="n">
        <v>22</v>
      </c>
      <c r="E20" s="13" t="n">
        <v>23</v>
      </c>
      <c r="F20" s="13" t="n">
        <v>24</v>
      </c>
      <c r="G20" s="20" t="n">
        <f aca="false">F20*(1+$F21+($L21-$F21)*G$17/5)</f>
        <v>24.8587826086957</v>
      </c>
      <c r="H20" s="20" t="n">
        <f aca="false">G20*(1+$F21+($L21-$F21)*H$17/5)</f>
        <v>25.5569901550095</v>
      </c>
      <c r="I20" s="20" t="n">
        <f aca="false">H20*(1+$F21+($L21-$F21)*I$17/5)</f>
        <v>26.0781305194746</v>
      </c>
      <c r="J20" s="20" t="n">
        <f aca="false">I20*(1+$F21+($L21-$F21)*J$17/5)</f>
        <v>26.4092093938958</v>
      </c>
      <c r="K20" s="20" t="n">
        <f aca="false">J20*(1+$F21+($L21-$F21)*K$17/5)</f>
        <v>26.5412554408653</v>
      </c>
      <c r="L20" s="20" t="n">
        <f aca="false">K20*(1+L21)</f>
        <v>26.6739617180696</v>
      </c>
    </row>
    <row r="21" customFormat="false" ht="15" hidden="false" customHeight="true" outlineLevel="0" collapsed="false">
      <c r="A21" s="1" t="s">
        <v>57</v>
      </c>
      <c r="B21" s="7" t="n">
        <f aca="false">B20/$B$12-1</f>
        <v>-0.0740740740740741</v>
      </c>
      <c r="C21" s="7" t="n">
        <f aca="false">C20/B20-1</f>
        <v>-0.0444444444444444</v>
      </c>
      <c r="D21" s="7" t="n">
        <f aca="false">D20/C20-1</f>
        <v>0.0232558139534884</v>
      </c>
      <c r="E21" s="7" t="n">
        <f aca="false">E20/D20-1</f>
        <v>0.0454545454545454</v>
      </c>
      <c r="F21" s="7" t="n">
        <f aca="false">F20/E20-1</f>
        <v>0.0434782608695652</v>
      </c>
      <c r="G21" s="7" t="n">
        <f aca="false">G20/F20-1</f>
        <v>0.0357826086956521</v>
      </c>
      <c r="H21" s="7" t="n">
        <f aca="false">H20/G20-1</f>
        <v>0.0280869565217392</v>
      </c>
      <c r="I21" s="7" t="n">
        <f aca="false">I20/H20-1</f>
        <v>0.0203913043478261</v>
      </c>
      <c r="J21" s="7" t="n">
        <f aca="false">J20/I20-1</f>
        <v>0.012695652173913</v>
      </c>
      <c r="K21" s="7" t="n">
        <f aca="false">K20/J20-1</f>
        <v>0.00499999999999989</v>
      </c>
      <c r="L21" s="21" t="n">
        <v>0.005</v>
      </c>
    </row>
    <row r="22" customFormat="false" ht="15" hidden="false" customHeight="true" outlineLevel="0" collapsed="false">
      <c r="A22" s="1" t="s">
        <v>58</v>
      </c>
      <c r="B22" s="22" t="n">
        <v>0.29</v>
      </c>
      <c r="C22" s="22" t="n">
        <v>0.28</v>
      </c>
      <c r="D22" s="22" t="n">
        <v>0.28</v>
      </c>
      <c r="E22" s="22" t="n">
        <v>0.28</v>
      </c>
      <c r="F22" s="22" t="n">
        <v>0.28</v>
      </c>
      <c r="G22" s="7" t="n">
        <f aca="false">$F22+($L22-$F22)*G$17/5</f>
        <v>0.278</v>
      </c>
      <c r="H22" s="7" t="n">
        <f aca="false">$F22+($L22-$F22)*H$17/5</f>
        <v>0.276</v>
      </c>
      <c r="I22" s="7" t="n">
        <f aca="false">$F22+($L22-$F22)*I$17/5</f>
        <v>0.274</v>
      </c>
      <c r="J22" s="7" t="n">
        <f aca="false">$F22+($L22-$F22)*J$17/5</f>
        <v>0.272</v>
      </c>
      <c r="K22" s="7" t="n">
        <f aca="false">$F22+($L22-$F22)*K$17/5</f>
        <v>0.27</v>
      </c>
      <c r="L22" s="21" t="n">
        <v>0.27</v>
      </c>
    </row>
    <row r="23" customFormat="false" ht="15" hidden="false" customHeight="true" outlineLevel="0" collapsed="false">
      <c r="A23" s="1" t="s">
        <v>59</v>
      </c>
      <c r="B23" s="20" t="n">
        <f aca="false">B20*B22</f>
        <v>6.525</v>
      </c>
      <c r="C23" s="20" t="n">
        <f aca="false">C20*C22</f>
        <v>6.02</v>
      </c>
      <c r="D23" s="20" t="n">
        <f aca="false">D20*D22</f>
        <v>6.16</v>
      </c>
      <c r="E23" s="20" t="n">
        <f aca="false">E20*E22</f>
        <v>6.44</v>
      </c>
      <c r="F23" s="20" t="n">
        <f aca="false">F20*F22</f>
        <v>6.72</v>
      </c>
      <c r="G23" s="20" t="n">
        <f aca="false">G20*G22</f>
        <v>6.91074156521739</v>
      </c>
      <c r="H23" s="20" t="n">
        <f aca="false">H20*H22</f>
        <v>7.05372928278261</v>
      </c>
      <c r="I23" s="20" t="n">
        <f aca="false">I20*I22</f>
        <v>7.14540776233605</v>
      </c>
      <c r="J23" s="20" t="n">
        <f aca="false">J20*J22</f>
        <v>7.18330495513966</v>
      </c>
      <c r="K23" s="20" t="n">
        <f aca="false">K20*K22</f>
        <v>7.16613896903363</v>
      </c>
      <c r="L23" s="20" t="n">
        <f aca="false">L20*L22</f>
        <v>7.20196966387879</v>
      </c>
    </row>
    <row r="24" customFormat="false" ht="15" hidden="false" customHeight="true" outlineLevel="0" collapsed="false">
      <c r="A24" s="1" t="s">
        <v>60</v>
      </c>
      <c r="B24" s="20" t="n">
        <f aca="false">B23*(1-$B$9)</f>
        <v>5.3505</v>
      </c>
      <c r="C24" s="20" t="n">
        <f aca="false">C23*(1-$B$9)</f>
        <v>4.9364</v>
      </c>
      <c r="D24" s="20" t="n">
        <f aca="false">D23*(1-$B$9)</f>
        <v>5.0512</v>
      </c>
      <c r="E24" s="20" t="n">
        <f aca="false">E23*(1-$B$9)</f>
        <v>5.2808</v>
      </c>
      <c r="F24" s="20" t="n">
        <f aca="false">F23*(1-$B$9)</f>
        <v>5.5104</v>
      </c>
      <c r="G24" s="20" t="n">
        <f aca="false">G23*(1-$B$9)</f>
        <v>5.66680808347826</v>
      </c>
      <c r="H24" s="20" t="n">
        <f aca="false">H23*(1-$B$9)</f>
        <v>5.78405801188174</v>
      </c>
      <c r="I24" s="20" t="n">
        <f aca="false">I23*(1-$B$9)</f>
        <v>5.85923436511556</v>
      </c>
      <c r="J24" s="20" t="n">
        <f aca="false">J23*(1-$B$9)</f>
        <v>5.89031006321452</v>
      </c>
      <c r="K24" s="20" t="n">
        <f aca="false">K23*(1-$B$9)</f>
        <v>5.87623395460757</v>
      </c>
      <c r="L24" s="20" t="n">
        <f aca="false">L23*(1-$B$9)</f>
        <v>5.90561512438061</v>
      </c>
    </row>
    <row r="25" customFormat="false" ht="15" hidden="false" customHeight="true" outlineLevel="0" collapsed="false">
      <c r="A25" s="1" t="s">
        <v>61</v>
      </c>
      <c r="B25" s="22" t="n">
        <v>0.08</v>
      </c>
      <c r="C25" s="22" t="n">
        <v>0.07</v>
      </c>
      <c r="D25" s="22" t="n">
        <v>0.05</v>
      </c>
      <c r="E25" s="22" t="n">
        <v>0.03</v>
      </c>
      <c r="F25" s="22" t="n">
        <v>0.02</v>
      </c>
      <c r="G25" s="7" t="n">
        <f aca="false">$F25+($L25-$F25)*G$17/5</f>
        <v>0.019</v>
      </c>
      <c r="H25" s="7" t="n">
        <f aca="false">$F25+($L25-$F25)*H$17/5</f>
        <v>0.018</v>
      </c>
      <c r="I25" s="7" t="n">
        <f aca="false">$F25+($L25-$F25)*I$17/5</f>
        <v>0.017</v>
      </c>
      <c r="J25" s="7" t="n">
        <f aca="false">$F25+($L25-$F25)*J$17/5</f>
        <v>0.016</v>
      </c>
      <c r="K25" s="7" t="n">
        <f aca="false">$F25+($L25-$F25)*K$17/5</f>
        <v>0.015</v>
      </c>
      <c r="L25" s="21" t="n">
        <v>0.015</v>
      </c>
    </row>
    <row r="26" customFormat="false" ht="15" hidden="false" customHeight="true" outlineLevel="0" collapsed="false">
      <c r="A26" s="1" t="s">
        <v>62</v>
      </c>
      <c r="B26" s="20" t="n">
        <f aca="false">B20*B25</f>
        <v>1.8</v>
      </c>
      <c r="C26" s="20" t="n">
        <f aca="false">C20*C25</f>
        <v>1.505</v>
      </c>
      <c r="D26" s="20" t="n">
        <f aca="false">D20*D25</f>
        <v>1.1</v>
      </c>
      <c r="E26" s="20" t="n">
        <f aca="false">E20*E25</f>
        <v>0.69</v>
      </c>
      <c r="F26" s="20" t="n">
        <f aca="false">F20*F25</f>
        <v>0.48</v>
      </c>
      <c r="G26" s="20" t="n">
        <f aca="false">G20*G25</f>
        <v>0.472316869565217</v>
      </c>
      <c r="H26" s="20" t="n">
        <f aca="false">H20*H25</f>
        <v>0.46002582279017</v>
      </c>
      <c r="I26" s="20" t="n">
        <f aca="false">I20*I25</f>
        <v>0.443328218831069</v>
      </c>
      <c r="J26" s="20" t="n">
        <f aca="false">J20*J25</f>
        <v>0.422547350302333</v>
      </c>
      <c r="K26" s="20" t="n">
        <f aca="false">K20*K25</f>
        <v>0.398118831612979</v>
      </c>
      <c r="L26" s="20" t="n">
        <f aca="false">L20*L25</f>
        <v>0.400109425771044</v>
      </c>
    </row>
    <row r="27" customFormat="false" ht="15" hidden="false" customHeight="true" outlineLevel="0" collapsed="false">
      <c r="A27" s="1" t="s">
        <v>63</v>
      </c>
      <c r="B27" s="20" t="n">
        <f aca="false">$B$11*(B20-$B$12)</f>
        <v>-0</v>
      </c>
      <c r="C27" s="20" t="n">
        <f aca="false">$B$11*(C20-B20)</f>
        <v>-0</v>
      </c>
      <c r="D27" s="20" t="n">
        <f aca="false">$B$11*(D20-C20)</f>
        <v>0</v>
      </c>
      <c r="E27" s="20" t="n">
        <f aca="false">$B$11*(E20-D20)</f>
        <v>0</v>
      </c>
      <c r="F27" s="20" t="n">
        <f aca="false">$B$11*(F20-E20)</f>
        <v>0</v>
      </c>
      <c r="G27" s="20" t="n">
        <f aca="false">$B$11*(G20-F20)</f>
        <v>0</v>
      </c>
      <c r="H27" s="20" t="n">
        <f aca="false">$B$11*(H20-G20)</f>
        <v>0</v>
      </c>
      <c r="I27" s="20" t="n">
        <f aca="false">$B$11*(I20-H20)</f>
        <v>0</v>
      </c>
      <c r="J27" s="20" t="n">
        <f aca="false">$B$11*(J20-I20)</f>
        <v>0</v>
      </c>
      <c r="K27" s="20" t="n">
        <f aca="false">$B$11*(K20-J20)</f>
        <v>0</v>
      </c>
      <c r="L27" s="20" t="n">
        <f aca="false">$B$11*(L20-K20)</f>
        <v>0</v>
      </c>
    </row>
    <row r="28" customFormat="false" ht="15" hidden="false" customHeight="true" outlineLevel="0" collapsed="false">
      <c r="A28" s="1" t="s">
        <v>64</v>
      </c>
      <c r="B28" s="20" t="n">
        <f aca="false">B24-B26-B27</f>
        <v>3.5505</v>
      </c>
      <c r="C28" s="20" t="n">
        <f aca="false">C24-C26-C27</f>
        <v>3.4314</v>
      </c>
      <c r="D28" s="20" t="n">
        <f aca="false">D24-D26-D27</f>
        <v>3.9512</v>
      </c>
      <c r="E28" s="20" t="n">
        <f aca="false">E24-E26-E27</f>
        <v>4.5908</v>
      </c>
      <c r="F28" s="20" t="n">
        <f aca="false">F24-F26-F27</f>
        <v>5.0304</v>
      </c>
      <c r="G28" s="20" t="n">
        <f aca="false">G24-G26-G27</f>
        <v>5.19449121391304</v>
      </c>
      <c r="H28" s="20" t="n">
        <f aca="false">H24-H26-H27</f>
        <v>5.32403218909157</v>
      </c>
      <c r="I28" s="20" t="n">
        <f aca="false">I24-I26-I27</f>
        <v>5.4159061462845</v>
      </c>
      <c r="J28" s="20" t="n">
        <f aca="false">J24-J26-J27</f>
        <v>5.46776271291219</v>
      </c>
      <c r="K28" s="20" t="n">
        <f aca="false">K24-K26-K27</f>
        <v>5.47811512299459</v>
      </c>
      <c r="L28" s="20" t="n">
        <f aca="false">L24-L26-L27</f>
        <v>5.50550569860957</v>
      </c>
    </row>
    <row r="29" customFormat="false" ht="15" hidden="false" customHeight="true" outlineLevel="0" collapsed="false">
      <c r="A29" s="1" t="s">
        <v>65</v>
      </c>
      <c r="B29" s="23" t="n">
        <f aca="false">1/(1+$B$10)^B$16</f>
        <v>0.965744177733016</v>
      </c>
      <c r="C29" s="23" t="n">
        <f aca="false">1/(1+$B$10)^C$16</f>
        <v>0.900712719392852</v>
      </c>
      <c r="D29" s="23" t="n">
        <f aca="false">1/(1+$B$10)^D$16</f>
        <v>0.840060361306521</v>
      </c>
      <c r="E29" s="23" t="n">
        <f aca="false">1/(1+$B$10)^E$16</f>
        <v>0.78349222281899</v>
      </c>
      <c r="F29" s="23" t="n">
        <f aca="false">1/(1+$B$10)^F$16</f>
        <v>0.730733280002789</v>
      </c>
      <c r="G29" s="23" t="n">
        <f aca="false">1/(1+$B$10)^G$16</f>
        <v>0.681527028542053</v>
      </c>
      <c r="H29" s="23" t="n">
        <f aca="false">1/(1+$B$10)^H$16</f>
        <v>0.635634236655524</v>
      </c>
      <c r="I29" s="23" t="n">
        <f aca="false">1/(1+$B$10)^I$16</f>
        <v>0.592831781995452</v>
      </c>
      <c r="J29" s="23" t="n">
        <f aca="false">1/(1+$B$10)^J$16</f>
        <v>0.55291156686761</v>
      </c>
      <c r="K29" s="23" t="n">
        <f aca="false">1/(1+$B$10)^K$16</f>
        <v>0.515679506498424</v>
      </c>
    </row>
    <row r="30" customFormat="false" ht="15" hidden="false" customHeight="true" outlineLevel="0" collapsed="false">
      <c r="A30" s="1" t="s">
        <v>66</v>
      </c>
      <c r="B30" s="20" t="n">
        <f aca="false">B28*B29</f>
        <v>3.42887470304107</v>
      </c>
      <c r="C30" s="20" t="n">
        <f aca="false">C28*C29</f>
        <v>3.09070562532463</v>
      </c>
      <c r="D30" s="20" t="n">
        <f aca="false">D28*D29</f>
        <v>3.31924649959433</v>
      </c>
      <c r="E30" s="20" t="n">
        <f aca="false">E28*E29</f>
        <v>3.59685609651742</v>
      </c>
      <c r="F30" s="20" t="n">
        <f aca="false">F28*F29</f>
        <v>3.67588069172603</v>
      </c>
      <c r="G30" s="20" t="n">
        <f aca="false">G28*G29</f>
        <v>3.54018616180596</v>
      </c>
      <c r="H30" s="20" t="n">
        <f aca="false">H28*H29</f>
        <v>3.38413713644266</v>
      </c>
      <c r="I30" s="20" t="n">
        <f aca="false">I28*I29</f>
        <v>3.21072129182196</v>
      </c>
      <c r="J30" s="20" t="n">
        <f aca="false">J28*J29</f>
        <v>3.02318924885657</v>
      </c>
      <c r="K30" s="20" t="n">
        <f aca="false">K28*K29</f>
        <v>2.82495170316741</v>
      </c>
      <c r="L30" s="20"/>
    </row>
    <row r="31" customFormat="false" ht="15" hidden="false" customHeight="true" outlineLevel="0" collapsed="false">
      <c r="A31" s="1" t="s">
        <v>67</v>
      </c>
      <c r="B31" s="20" t="n">
        <f aca="false">L28/($B$10-L21)</f>
        <v>81.9271681340709</v>
      </c>
      <c r="C31" s="1" t="str">
        <f aca="false">IF($B$10&gt;L21,"","Discount rate must exceed terminal growth")</f>
        <v/>
      </c>
    </row>
    <row r="32" customFormat="false" ht="15" hidden="false" customHeight="true" outlineLevel="0" collapsed="false">
      <c r="A32" s="1" t="s">
        <v>68</v>
      </c>
      <c r="B32" s="20" t="n">
        <f aca="false">B31/(1+$B$10)^$K$16</f>
        <v>42.2481616321911</v>
      </c>
    </row>
    <row r="33" customFormat="false" ht="15" hidden="false" customHeight="true" outlineLevel="0" collapsed="false">
      <c r="A33" s="1" t="s">
        <v>69</v>
      </c>
      <c r="B33" s="20" t="n">
        <f aca="false">SUM(B30:K30)+B32+$B$7+$B$8</f>
        <v>37.2529107904892</v>
      </c>
    </row>
    <row r="34" customFormat="false" ht="15" hidden="false" customHeight="true" outlineLevel="0" collapsed="false">
      <c r="A34" s="1" t="s">
        <v>70</v>
      </c>
      <c r="B34" s="24" t="n">
        <f aca="false">B33/$B$6</f>
        <v>181.632914629396</v>
      </c>
    </row>
    <row r="35" customFormat="false" ht="15" hidden="false" customHeight="true" outlineLevel="0" collapsed="false">
      <c r="A35" s="1" t="s">
        <v>71</v>
      </c>
      <c r="B35" s="7" t="n">
        <f aca="false">B34/$B$4-1</f>
        <v>-0.390022787287517</v>
      </c>
    </row>
    <row r="37" customFormat="false" ht="15" hidden="false" customHeight="true" outlineLevel="0" collapsed="false">
      <c r="A37" s="18" t="s">
        <v>72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</row>
    <row r="38" customFormat="false" ht="15" hidden="false" customHeight="true" outlineLevel="0" collapsed="false">
      <c r="A38" s="1" t="s">
        <v>56</v>
      </c>
      <c r="B38" s="13" t="n">
        <v>24.6</v>
      </c>
      <c r="C38" s="13" t="n">
        <v>25.8</v>
      </c>
      <c r="D38" s="13" t="n">
        <v>27.2</v>
      </c>
      <c r="E38" s="13" t="n">
        <v>28.6</v>
      </c>
      <c r="F38" s="13" t="n">
        <v>30</v>
      </c>
      <c r="G38" s="20" t="n">
        <f aca="false">F38*(1+$F39+($L39-$F39)*G$17/5)</f>
        <v>31.2648251748252</v>
      </c>
      <c r="H38" s="20" t="n">
        <f aca="false">G38*(1+$F39+($L39-$F39)*H$17/5)</f>
        <v>32.3706817184214</v>
      </c>
      <c r="I38" s="20" t="n">
        <f aca="false">H38*(1+$F39+($L39-$F39)*I$17/5)</f>
        <v>33.2958493840381</v>
      </c>
      <c r="J38" s="20" t="n">
        <f aca="false">I38*(1+$F39+($L39-$F39)*J$17/5)</f>
        <v>34.0213729272596</v>
      </c>
      <c r="K38" s="20" t="n">
        <f aca="false">J38*(1+$F39+($L39-$F39)*K$17/5)</f>
        <v>34.5316935211685</v>
      </c>
      <c r="L38" s="20" t="n">
        <f aca="false">K38*(1+L39)</f>
        <v>35.049668923986</v>
      </c>
    </row>
    <row r="39" customFormat="false" ht="15" hidden="false" customHeight="true" outlineLevel="0" collapsed="false">
      <c r="A39" s="1" t="s">
        <v>57</v>
      </c>
      <c r="B39" s="7" t="n">
        <f aca="false">B38/$B$12-1</f>
        <v>0.0123456790123457</v>
      </c>
      <c r="C39" s="7" t="n">
        <f aca="false">C38/B38-1</f>
        <v>0.0487804878048781</v>
      </c>
      <c r="D39" s="7" t="n">
        <f aca="false">D38/C38-1</f>
        <v>0.0542635658914727</v>
      </c>
      <c r="E39" s="7" t="n">
        <f aca="false">E38/D38-1</f>
        <v>0.0514705882352942</v>
      </c>
      <c r="F39" s="7" t="n">
        <f aca="false">F38/E38-1</f>
        <v>0.048951048951049</v>
      </c>
      <c r="G39" s="7" t="n">
        <f aca="false">G38/F38-1</f>
        <v>0.0421608391608392</v>
      </c>
      <c r="H39" s="7" t="n">
        <f aca="false">H38/G38-1</f>
        <v>0.0353706293706293</v>
      </c>
      <c r="I39" s="7" t="n">
        <f aca="false">I38/H38-1</f>
        <v>0.0285804195804196</v>
      </c>
      <c r="J39" s="7" t="n">
        <f aca="false">J38/I38-1</f>
        <v>0.0217902097902098</v>
      </c>
      <c r="K39" s="7" t="n">
        <f aca="false">K38/J38-1</f>
        <v>0.0149999999999999</v>
      </c>
      <c r="L39" s="21" t="n">
        <v>0.015</v>
      </c>
    </row>
    <row r="40" customFormat="false" ht="15" hidden="false" customHeight="true" outlineLevel="0" collapsed="false">
      <c r="A40" s="1" t="s">
        <v>58</v>
      </c>
      <c r="B40" s="22" t="n">
        <v>0.31</v>
      </c>
      <c r="C40" s="22" t="n">
        <v>0.31</v>
      </c>
      <c r="D40" s="22" t="n">
        <v>0.31</v>
      </c>
      <c r="E40" s="22" t="n">
        <v>0.31</v>
      </c>
      <c r="F40" s="22" t="n">
        <v>0.31</v>
      </c>
      <c r="G40" s="7" t="n">
        <f aca="false">$F40+($L40-$F40)*G$17/5</f>
        <v>0.306</v>
      </c>
      <c r="H40" s="7" t="n">
        <f aca="false">$F40+($L40-$F40)*H$17/5</f>
        <v>0.302</v>
      </c>
      <c r="I40" s="7" t="n">
        <f aca="false">$F40+($L40-$F40)*I$17/5</f>
        <v>0.298</v>
      </c>
      <c r="J40" s="7" t="n">
        <f aca="false">$F40+($L40-$F40)*J$17/5</f>
        <v>0.294</v>
      </c>
      <c r="K40" s="7" t="n">
        <f aca="false">$F40+($L40-$F40)*K$17/5</f>
        <v>0.29</v>
      </c>
      <c r="L40" s="21" t="n">
        <v>0.29</v>
      </c>
    </row>
    <row r="41" customFormat="false" ht="15" hidden="false" customHeight="true" outlineLevel="0" collapsed="false">
      <c r="A41" s="1" t="s">
        <v>59</v>
      </c>
      <c r="B41" s="20" t="n">
        <f aca="false">B38*B40</f>
        <v>7.626</v>
      </c>
      <c r="C41" s="20" t="n">
        <f aca="false">C38*C40</f>
        <v>7.998</v>
      </c>
      <c r="D41" s="20" t="n">
        <f aca="false">D38*D40</f>
        <v>8.432</v>
      </c>
      <c r="E41" s="20" t="n">
        <f aca="false">E38*E40</f>
        <v>8.866</v>
      </c>
      <c r="F41" s="20" t="n">
        <f aca="false">F38*F40</f>
        <v>9.3</v>
      </c>
      <c r="G41" s="20" t="n">
        <f aca="false">G38*G40</f>
        <v>9.5670365034965</v>
      </c>
      <c r="H41" s="20" t="n">
        <f aca="false">H38*H40</f>
        <v>9.77594587896327</v>
      </c>
      <c r="I41" s="20" t="n">
        <f aca="false">I38*I40</f>
        <v>9.92216311644337</v>
      </c>
      <c r="J41" s="20" t="n">
        <f aca="false">J38*J40</f>
        <v>10.0022836406143</v>
      </c>
      <c r="K41" s="20" t="n">
        <f aca="false">K38*K40</f>
        <v>10.0141911211389</v>
      </c>
      <c r="L41" s="20" t="n">
        <f aca="false">L38*L40</f>
        <v>10.1644039879559</v>
      </c>
    </row>
    <row r="42" customFormat="false" ht="15" hidden="false" customHeight="true" outlineLevel="0" collapsed="false">
      <c r="A42" s="1" t="s">
        <v>60</v>
      </c>
      <c r="B42" s="20" t="n">
        <f aca="false">B41*(1-$B$9)</f>
        <v>6.25332</v>
      </c>
      <c r="C42" s="20" t="n">
        <f aca="false">C41*(1-$B$9)</f>
        <v>6.55836</v>
      </c>
      <c r="D42" s="20" t="n">
        <f aca="false">D41*(1-$B$9)</f>
        <v>6.91424</v>
      </c>
      <c r="E42" s="20" t="n">
        <f aca="false">E41*(1-$B$9)</f>
        <v>7.27012</v>
      </c>
      <c r="F42" s="20" t="n">
        <f aca="false">F41*(1-$B$9)</f>
        <v>7.626</v>
      </c>
      <c r="G42" s="20" t="n">
        <f aca="false">G41*(1-$B$9)</f>
        <v>7.84496993286713</v>
      </c>
      <c r="H42" s="20" t="n">
        <f aca="false">H41*(1-$B$9)</f>
        <v>8.01627562074989</v>
      </c>
      <c r="I42" s="20" t="n">
        <f aca="false">I41*(1-$B$9)</f>
        <v>8.13617375548356</v>
      </c>
      <c r="J42" s="20" t="n">
        <f aca="false">J41*(1-$B$9)</f>
        <v>8.20187258530373</v>
      </c>
      <c r="K42" s="20" t="n">
        <f aca="false">K41*(1-$B$9)</f>
        <v>8.21163671933386</v>
      </c>
      <c r="L42" s="20" t="n">
        <f aca="false">L41*(1-$B$9)</f>
        <v>8.33481127012387</v>
      </c>
    </row>
    <row r="43" customFormat="false" ht="15" hidden="false" customHeight="true" outlineLevel="0" collapsed="false">
      <c r="A43" s="1" t="s">
        <v>61</v>
      </c>
      <c r="B43" s="22" t="n">
        <v>0.08</v>
      </c>
      <c r="C43" s="22" t="n">
        <v>0.07</v>
      </c>
      <c r="D43" s="22" t="n">
        <v>0.05</v>
      </c>
      <c r="E43" s="22" t="n">
        <v>0.03</v>
      </c>
      <c r="F43" s="22" t="n">
        <v>0.02</v>
      </c>
      <c r="G43" s="7" t="n">
        <f aca="false">$F43+($L43-$F43)*G$17/5</f>
        <v>0.019</v>
      </c>
      <c r="H43" s="7" t="n">
        <f aca="false">$F43+($L43-$F43)*H$17/5</f>
        <v>0.018</v>
      </c>
      <c r="I43" s="7" t="n">
        <f aca="false">$F43+($L43-$F43)*I$17/5</f>
        <v>0.017</v>
      </c>
      <c r="J43" s="7" t="n">
        <f aca="false">$F43+($L43-$F43)*J$17/5</f>
        <v>0.016</v>
      </c>
      <c r="K43" s="7" t="n">
        <f aca="false">$F43+($L43-$F43)*K$17/5</f>
        <v>0.015</v>
      </c>
      <c r="L43" s="21" t="n">
        <v>0.015</v>
      </c>
    </row>
    <row r="44" customFormat="false" ht="15" hidden="false" customHeight="true" outlineLevel="0" collapsed="false">
      <c r="A44" s="1" t="s">
        <v>62</v>
      </c>
      <c r="B44" s="20" t="n">
        <f aca="false">B38*B43</f>
        <v>1.968</v>
      </c>
      <c r="C44" s="20" t="n">
        <f aca="false">C38*C43</f>
        <v>1.806</v>
      </c>
      <c r="D44" s="20" t="n">
        <f aca="false">D38*D43</f>
        <v>1.36</v>
      </c>
      <c r="E44" s="20" t="n">
        <f aca="false">E38*E43</f>
        <v>0.858</v>
      </c>
      <c r="F44" s="20" t="n">
        <f aca="false">F38*F43</f>
        <v>0.6</v>
      </c>
      <c r="G44" s="20" t="n">
        <f aca="false">G38*G43</f>
        <v>0.594031678321678</v>
      </c>
      <c r="H44" s="20" t="n">
        <f aca="false">H38*H43</f>
        <v>0.582672270931586</v>
      </c>
      <c r="I44" s="20" t="n">
        <f aca="false">I38*I43</f>
        <v>0.566029439528649</v>
      </c>
      <c r="J44" s="20" t="n">
        <f aca="false">J38*J43</f>
        <v>0.544341966836153</v>
      </c>
      <c r="K44" s="20" t="n">
        <f aca="false">K38*K43</f>
        <v>0.517975402817527</v>
      </c>
      <c r="L44" s="20" t="n">
        <f aca="false">L38*L43</f>
        <v>0.52574503385979</v>
      </c>
    </row>
    <row r="45" customFormat="false" ht="15" hidden="false" customHeight="true" outlineLevel="0" collapsed="false">
      <c r="A45" s="1" t="s">
        <v>63</v>
      </c>
      <c r="B45" s="20" t="n">
        <f aca="false">$B$11*(B38-$B$12)</f>
        <v>0</v>
      </c>
      <c r="C45" s="20" t="n">
        <f aca="false">$B$11*(C38-B38)</f>
        <v>0</v>
      </c>
      <c r="D45" s="20" t="n">
        <f aca="false">$B$11*(D38-C38)</f>
        <v>0</v>
      </c>
      <c r="E45" s="20" t="n">
        <f aca="false">$B$11*(E38-D38)</f>
        <v>0</v>
      </c>
      <c r="F45" s="20" t="n">
        <f aca="false">$B$11*(F38-E38)</f>
        <v>0</v>
      </c>
      <c r="G45" s="20" t="n">
        <f aca="false">$B$11*(G38-F38)</f>
        <v>0</v>
      </c>
      <c r="H45" s="20" t="n">
        <f aca="false">$B$11*(H38-G38)</f>
        <v>0</v>
      </c>
      <c r="I45" s="20" t="n">
        <f aca="false">$B$11*(I38-H38)</f>
        <v>0</v>
      </c>
      <c r="J45" s="20" t="n">
        <f aca="false">$B$11*(J38-I38)</f>
        <v>0</v>
      </c>
      <c r="K45" s="20" t="n">
        <f aca="false">$B$11*(K38-J38)</f>
        <v>0</v>
      </c>
      <c r="L45" s="20" t="n">
        <f aca="false">$B$11*(L38-K38)</f>
        <v>0</v>
      </c>
    </row>
    <row r="46" customFormat="false" ht="15" hidden="false" customHeight="true" outlineLevel="0" collapsed="false">
      <c r="A46" s="1" t="s">
        <v>64</v>
      </c>
      <c r="B46" s="20" t="n">
        <f aca="false">B42-B44-B45</f>
        <v>4.28532</v>
      </c>
      <c r="C46" s="20" t="n">
        <f aca="false">C42-C44-C45</f>
        <v>4.75236</v>
      </c>
      <c r="D46" s="20" t="n">
        <f aca="false">D42-D44-D45</f>
        <v>5.55424</v>
      </c>
      <c r="E46" s="20" t="n">
        <f aca="false">E42-E44-E45</f>
        <v>6.41212</v>
      </c>
      <c r="F46" s="20" t="n">
        <f aca="false">F42-F44-F45</f>
        <v>7.026</v>
      </c>
      <c r="G46" s="20" t="n">
        <f aca="false">G42-G44-G45</f>
        <v>7.25093825454546</v>
      </c>
      <c r="H46" s="20" t="n">
        <f aca="false">H42-H44-H45</f>
        <v>7.4336033498183</v>
      </c>
      <c r="I46" s="20" t="n">
        <f aca="false">I42-I44-I45</f>
        <v>7.57014431595491</v>
      </c>
      <c r="J46" s="20" t="n">
        <f aca="false">J42-J44-J45</f>
        <v>7.65753061846758</v>
      </c>
      <c r="K46" s="20" t="n">
        <f aca="false">K42-K44-K45</f>
        <v>7.69366131651633</v>
      </c>
      <c r="L46" s="20" t="n">
        <f aca="false">L42-L44-L45</f>
        <v>7.80906623626408</v>
      </c>
    </row>
    <row r="47" customFormat="false" ht="15" hidden="false" customHeight="true" outlineLevel="0" collapsed="false">
      <c r="A47" s="1" t="s">
        <v>65</v>
      </c>
      <c r="B47" s="23" t="n">
        <f aca="false">1/(1+$B$10)^B$16</f>
        <v>0.965744177733016</v>
      </c>
      <c r="C47" s="23" t="n">
        <f aca="false">1/(1+$B$10)^C$16</f>
        <v>0.900712719392852</v>
      </c>
      <c r="D47" s="23" t="n">
        <f aca="false">1/(1+$B$10)^D$16</f>
        <v>0.840060361306521</v>
      </c>
      <c r="E47" s="23" t="n">
        <f aca="false">1/(1+$B$10)^E$16</f>
        <v>0.78349222281899</v>
      </c>
      <c r="F47" s="23" t="n">
        <f aca="false">1/(1+$B$10)^F$16</f>
        <v>0.730733280002789</v>
      </c>
      <c r="G47" s="23" t="n">
        <f aca="false">1/(1+$B$10)^G$16</f>
        <v>0.681527028542053</v>
      </c>
      <c r="H47" s="23" t="n">
        <f aca="false">1/(1+$B$10)^H$16</f>
        <v>0.635634236655524</v>
      </c>
      <c r="I47" s="23" t="n">
        <f aca="false">1/(1+$B$10)^I$16</f>
        <v>0.592831781995452</v>
      </c>
      <c r="J47" s="23" t="n">
        <f aca="false">1/(1+$B$10)^J$16</f>
        <v>0.55291156686761</v>
      </c>
      <c r="K47" s="23" t="n">
        <f aca="false">1/(1+$B$10)^K$16</f>
        <v>0.515679506498424</v>
      </c>
    </row>
    <row r="48" customFormat="false" ht="15" hidden="false" customHeight="true" outlineLevel="0" collapsed="false">
      <c r="A48" s="1" t="s">
        <v>66</v>
      </c>
      <c r="B48" s="20" t="n">
        <f aca="false">B46*B47</f>
        <v>4.13852283972285</v>
      </c>
      <c r="C48" s="20" t="n">
        <f aca="false">C46*C47</f>
        <v>4.28051109913382</v>
      </c>
      <c r="D48" s="20" t="n">
        <f aca="false">D46*D47</f>
        <v>4.66589686118313</v>
      </c>
      <c r="E48" s="20" t="n">
        <f aca="false">E46*E47</f>
        <v>5.0238461517821</v>
      </c>
      <c r="F48" s="20" t="n">
        <f aca="false">F46*F47</f>
        <v>5.1341320252996</v>
      </c>
      <c r="G48" s="20" t="n">
        <f aca="false">G46*G47</f>
        <v>4.94171040276226</v>
      </c>
      <c r="H48" s="20" t="n">
        <f aca="false">H46*H47</f>
        <v>4.7250527908617</v>
      </c>
      <c r="I48" s="20" t="n">
        <f aca="false">I46*I47</f>
        <v>4.48782214479029</v>
      </c>
      <c r="J48" s="20" t="n">
        <f aca="false">J46*J47</f>
        <v>4.23393725259361</v>
      </c>
      <c r="K48" s="20" t="n">
        <f aca="false">K46*K47</f>
        <v>3.96746347086716</v>
      </c>
      <c r="L48" s="20"/>
    </row>
    <row r="49" customFormat="false" ht="15" hidden="false" customHeight="true" outlineLevel="0" collapsed="false">
      <c r="A49" s="1" t="s">
        <v>67</v>
      </c>
      <c r="B49" s="20" t="n">
        <f aca="false">L46/($B$10-L39)</f>
        <v>136.522136997624</v>
      </c>
      <c r="C49" s="1" t="str">
        <f aca="false">IF($B$10&gt;L39,"","Discount rate must exceed terminal growth")</f>
        <v/>
      </c>
    </row>
    <row r="50" customFormat="false" ht="15" hidden="false" customHeight="true" outlineLevel="0" collapsed="false">
      <c r="A50" s="1" t="s">
        <v>68</v>
      </c>
      <c r="B50" s="20" t="n">
        <f aca="false">B49/(1+$B$10)^$K$16</f>
        <v>70.4016682330448</v>
      </c>
    </row>
    <row r="51" customFormat="false" ht="15" hidden="false" customHeight="true" outlineLevel="0" collapsed="false">
      <c r="A51" s="1" t="s">
        <v>69</v>
      </c>
      <c r="B51" s="20" t="n">
        <f aca="false">SUM(B48:K48)+B50+$B$7+$B$8</f>
        <v>77.9105632720414</v>
      </c>
    </row>
    <row r="52" customFormat="false" ht="15" hidden="false" customHeight="true" outlineLevel="0" collapsed="false">
      <c r="A52" s="1" t="s">
        <v>70</v>
      </c>
      <c r="B52" s="24" t="n">
        <f aca="false">B51/$B$6</f>
        <v>379.866227557491</v>
      </c>
    </row>
    <row r="53" customFormat="false" ht="15" hidden="false" customHeight="true" outlineLevel="0" collapsed="false">
      <c r="A53" s="1" t="s">
        <v>71</v>
      </c>
      <c r="B53" s="7" t="n">
        <f aca="false">B52/$B$4-1</f>
        <v>0.275703487784165</v>
      </c>
    </row>
    <row r="55" customFormat="false" ht="15" hidden="false" customHeight="true" outlineLevel="0" collapsed="false">
      <c r="A55" s="18" t="s">
        <v>73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</row>
    <row r="56" customFormat="false" ht="15" hidden="false" customHeight="true" outlineLevel="0" collapsed="false">
      <c r="A56" s="1" t="s">
        <v>56</v>
      </c>
      <c r="B56" s="13" t="n">
        <v>25.8</v>
      </c>
      <c r="C56" s="13" t="n">
        <v>27.5</v>
      </c>
      <c r="D56" s="13" t="n">
        <v>29.5</v>
      </c>
      <c r="E56" s="13" t="n">
        <v>31.5</v>
      </c>
      <c r="F56" s="13" t="n">
        <v>33.5</v>
      </c>
      <c r="G56" s="20" t="n">
        <f aca="false">F56*(1+$F57+($L57-$F57)*G$17/5)</f>
        <v>35.3355873015873</v>
      </c>
      <c r="H56" s="20" t="n">
        <f aca="false">G56*(1+$F57+($L57-$F57)*H$17/5)</f>
        <v>36.9643896114891</v>
      </c>
      <c r="I56" s="20" t="n">
        <f aca="false">H56*(1+$F57+($L57-$F57)*I$17/5)</f>
        <v>38.3467404356901</v>
      </c>
      <c r="J56" s="20" t="n">
        <f aca="false">I56*(1+$F57+($L57-$F57)*J$17/5)</f>
        <v>39.4472310183525</v>
      </c>
      <c r="K56" s="20" t="n">
        <f aca="false">J56*(1+$F57+($L57-$F57)*K$17/5)</f>
        <v>40.2361756387195</v>
      </c>
      <c r="L56" s="20" t="n">
        <f aca="false">K56*(1+L57)</f>
        <v>41.0408991514939</v>
      </c>
    </row>
    <row r="57" customFormat="false" ht="15" hidden="false" customHeight="true" outlineLevel="0" collapsed="false">
      <c r="A57" s="1" t="s">
        <v>57</v>
      </c>
      <c r="B57" s="7" t="n">
        <f aca="false">B56/$B$12-1</f>
        <v>0.0617283950617285</v>
      </c>
      <c r="C57" s="7" t="n">
        <f aca="false">C56/B56-1</f>
        <v>0.065891472868217</v>
      </c>
      <c r="D57" s="7" t="n">
        <f aca="false">D56/C56-1</f>
        <v>0.0727272727272728</v>
      </c>
      <c r="E57" s="7" t="n">
        <f aca="false">E56/D56-1</f>
        <v>0.0677966101694916</v>
      </c>
      <c r="F57" s="7" t="n">
        <f aca="false">F56/E56-1</f>
        <v>0.0634920634920635</v>
      </c>
      <c r="G57" s="7" t="n">
        <f aca="false">G56/F56-1</f>
        <v>0.0547936507936508</v>
      </c>
      <c r="H57" s="7" t="n">
        <f aca="false">H56/G56-1</f>
        <v>0.0460952380952382</v>
      </c>
      <c r="I57" s="7" t="n">
        <f aca="false">I56/H56-1</f>
        <v>0.0373968253968253</v>
      </c>
      <c r="J57" s="7" t="n">
        <f aca="false">J56/I56-1</f>
        <v>0.0286984126984127</v>
      </c>
      <c r="K57" s="7" t="n">
        <f aca="false">K56/J56-1</f>
        <v>0.02</v>
      </c>
      <c r="L57" s="21" t="n">
        <v>0.02</v>
      </c>
    </row>
    <row r="58" customFormat="false" ht="15" hidden="false" customHeight="true" outlineLevel="0" collapsed="false">
      <c r="A58" s="1" t="s">
        <v>58</v>
      </c>
      <c r="B58" s="22" t="n">
        <v>0.32</v>
      </c>
      <c r="C58" s="22" t="n">
        <v>0.32</v>
      </c>
      <c r="D58" s="22" t="n">
        <v>0.33</v>
      </c>
      <c r="E58" s="22" t="n">
        <v>0.33</v>
      </c>
      <c r="F58" s="22" t="n">
        <v>0.33</v>
      </c>
      <c r="G58" s="7" t="n">
        <f aca="false">$F58+($L58-$F58)*G$17/5</f>
        <v>0.326</v>
      </c>
      <c r="H58" s="7" t="n">
        <f aca="false">$F58+($L58-$F58)*H$17/5</f>
        <v>0.322</v>
      </c>
      <c r="I58" s="7" t="n">
        <f aca="false">$F58+($L58-$F58)*I$17/5</f>
        <v>0.318</v>
      </c>
      <c r="J58" s="7" t="n">
        <f aca="false">$F58+($L58-$F58)*J$17/5</f>
        <v>0.314</v>
      </c>
      <c r="K58" s="7" t="n">
        <f aca="false">$F58+($L58-$F58)*K$17/5</f>
        <v>0.31</v>
      </c>
      <c r="L58" s="21" t="n">
        <v>0.31</v>
      </c>
    </row>
    <row r="59" customFormat="false" ht="15" hidden="false" customHeight="true" outlineLevel="0" collapsed="false">
      <c r="A59" s="1" t="s">
        <v>59</v>
      </c>
      <c r="B59" s="20" t="n">
        <f aca="false">B56*B58</f>
        <v>8.256</v>
      </c>
      <c r="C59" s="20" t="n">
        <f aca="false">C56*C58</f>
        <v>8.8</v>
      </c>
      <c r="D59" s="20" t="n">
        <f aca="false">D56*D58</f>
        <v>9.735</v>
      </c>
      <c r="E59" s="20" t="n">
        <f aca="false">E56*E58</f>
        <v>10.395</v>
      </c>
      <c r="F59" s="20" t="n">
        <f aca="false">F56*F58</f>
        <v>11.055</v>
      </c>
      <c r="G59" s="20" t="n">
        <f aca="false">G56*G58</f>
        <v>11.5194014603175</v>
      </c>
      <c r="H59" s="20" t="n">
        <f aca="false">H56*H58</f>
        <v>11.9025334548995</v>
      </c>
      <c r="I59" s="20" t="n">
        <f aca="false">I56*I58</f>
        <v>12.1942634585495</v>
      </c>
      <c r="J59" s="20" t="n">
        <f aca="false">J56*J58</f>
        <v>12.3864305397627</v>
      </c>
      <c r="K59" s="20" t="n">
        <f aca="false">K56*K58</f>
        <v>12.4732144480031</v>
      </c>
      <c r="L59" s="20" t="n">
        <f aca="false">L56*L58</f>
        <v>12.7226787369631</v>
      </c>
    </row>
    <row r="60" customFormat="false" ht="15" hidden="false" customHeight="true" outlineLevel="0" collapsed="false">
      <c r="A60" s="1" t="s">
        <v>60</v>
      </c>
      <c r="B60" s="20" t="n">
        <f aca="false">B59*(1-$B$9)</f>
        <v>6.76992</v>
      </c>
      <c r="C60" s="20" t="n">
        <f aca="false">C59*(1-$B$9)</f>
        <v>7.216</v>
      </c>
      <c r="D60" s="20" t="n">
        <f aca="false">D59*(1-$B$9)</f>
        <v>7.9827</v>
      </c>
      <c r="E60" s="20" t="n">
        <f aca="false">E59*(1-$B$9)</f>
        <v>8.5239</v>
      </c>
      <c r="F60" s="20" t="n">
        <f aca="false">F59*(1-$B$9)</f>
        <v>9.0651</v>
      </c>
      <c r="G60" s="20" t="n">
        <f aca="false">G59*(1-$B$9)</f>
        <v>9.44590919746032</v>
      </c>
      <c r="H60" s="20" t="n">
        <f aca="false">H59*(1-$B$9)</f>
        <v>9.76007743301757</v>
      </c>
      <c r="I60" s="20" t="n">
        <f aca="false">I59*(1-$B$9)</f>
        <v>9.99929603601056</v>
      </c>
      <c r="J60" s="20" t="n">
        <f aca="false">J59*(1-$B$9)</f>
        <v>10.1568730426054</v>
      </c>
      <c r="K60" s="20" t="n">
        <f aca="false">K59*(1-$B$9)</f>
        <v>10.2280358473625</v>
      </c>
      <c r="L60" s="20" t="n">
        <f aca="false">L59*(1-$B$9)</f>
        <v>10.4325965643098</v>
      </c>
    </row>
    <row r="61" customFormat="false" ht="15" hidden="false" customHeight="true" outlineLevel="0" collapsed="false">
      <c r="A61" s="1" t="s">
        <v>61</v>
      </c>
      <c r="B61" s="22" t="n">
        <v>0.09</v>
      </c>
      <c r="C61" s="22" t="n">
        <v>0.08</v>
      </c>
      <c r="D61" s="22" t="n">
        <v>0.06</v>
      </c>
      <c r="E61" s="22" t="n">
        <v>0.04</v>
      </c>
      <c r="F61" s="22" t="n">
        <v>0.03</v>
      </c>
      <c r="G61" s="7" t="n">
        <f aca="false">$F61+($L61-$F61)*G$17/5</f>
        <v>0.028</v>
      </c>
      <c r="H61" s="7" t="n">
        <f aca="false">$F61+($L61-$F61)*H$17/5</f>
        <v>0.026</v>
      </c>
      <c r="I61" s="7" t="n">
        <f aca="false">$F61+($L61-$F61)*I$17/5</f>
        <v>0.024</v>
      </c>
      <c r="J61" s="7" t="n">
        <f aca="false">$F61+($L61-$F61)*J$17/5</f>
        <v>0.022</v>
      </c>
      <c r="K61" s="7" t="n">
        <f aca="false">$F61+($L61-$F61)*K$17/5</f>
        <v>0.02</v>
      </c>
      <c r="L61" s="21" t="n">
        <v>0.02</v>
      </c>
    </row>
    <row r="62" customFormat="false" ht="15" hidden="false" customHeight="true" outlineLevel="0" collapsed="false">
      <c r="A62" s="1" t="s">
        <v>62</v>
      </c>
      <c r="B62" s="20" t="n">
        <f aca="false">B56*B61</f>
        <v>2.322</v>
      </c>
      <c r="C62" s="20" t="n">
        <f aca="false">C56*C61</f>
        <v>2.2</v>
      </c>
      <c r="D62" s="20" t="n">
        <f aca="false">D56*D61</f>
        <v>1.77</v>
      </c>
      <c r="E62" s="20" t="n">
        <f aca="false">E56*E61</f>
        <v>1.26</v>
      </c>
      <c r="F62" s="20" t="n">
        <f aca="false">F56*F61</f>
        <v>1.005</v>
      </c>
      <c r="G62" s="20" t="n">
        <f aca="false">G56*G61</f>
        <v>0.989396444444445</v>
      </c>
      <c r="H62" s="20" t="n">
        <f aca="false">H56*H61</f>
        <v>0.961074129898715</v>
      </c>
      <c r="I62" s="20" t="n">
        <f aca="false">I56*I61</f>
        <v>0.920321770456563</v>
      </c>
      <c r="J62" s="20" t="n">
        <f aca="false">J56*J61</f>
        <v>0.867839082403754</v>
      </c>
      <c r="K62" s="20" t="n">
        <f aca="false">K56*K61</f>
        <v>0.80472351277439</v>
      </c>
      <c r="L62" s="20" t="n">
        <f aca="false">L56*L61</f>
        <v>0.820817983029878</v>
      </c>
    </row>
    <row r="63" customFormat="false" ht="15" hidden="false" customHeight="true" outlineLevel="0" collapsed="false">
      <c r="A63" s="1" t="s">
        <v>63</v>
      </c>
      <c r="B63" s="20" t="n">
        <f aca="false">$B$11*(B56-$B$12)</f>
        <v>0</v>
      </c>
      <c r="C63" s="20" t="n">
        <f aca="false">$B$11*(C56-B56)</f>
        <v>0</v>
      </c>
      <c r="D63" s="20" t="n">
        <f aca="false">$B$11*(D56-C56)</f>
        <v>0</v>
      </c>
      <c r="E63" s="20" t="n">
        <f aca="false">$B$11*(E56-D56)</f>
        <v>0</v>
      </c>
      <c r="F63" s="20" t="n">
        <f aca="false">$B$11*(F56-E56)</f>
        <v>0</v>
      </c>
      <c r="G63" s="20" t="n">
        <f aca="false">$B$11*(G56-F56)</f>
        <v>0</v>
      </c>
      <c r="H63" s="20" t="n">
        <f aca="false">$B$11*(H56-G56)</f>
        <v>0</v>
      </c>
      <c r="I63" s="20" t="n">
        <f aca="false">$B$11*(I56-H56)</f>
        <v>0</v>
      </c>
      <c r="J63" s="20" t="n">
        <f aca="false">$B$11*(J56-I56)</f>
        <v>0</v>
      </c>
      <c r="K63" s="20" t="n">
        <f aca="false">$B$11*(K56-J56)</f>
        <v>0</v>
      </c>
      <c r="L63" s="20" t="n">
        <f aca="false">$B$11*(L56-K56)</f>
        <v>0</v>
      </c>
    </row>
    <row r="64" customFormat="false" ht="15" hidden="false" customHeight="true" outlineLevel="0" collapsed="false">
      <c r="A64" s="1" t="s">
        <v>64</v>
      </c>
      <c r="B64" s="20" t="n">
        <f aca="false">B60-B62-B63</f>
        <v>4.44792</v>
      </c>
      <c r="C64" s="20" t="n">
        <f aca="false">C60-C62-C63</f>
        <v>5.016</v>
      </c>
      <c r="D64" s="20" t="n">
        <f aca="false">D60-D62-D63</f>
        <v>6.2127</v>
      </c>
      <c r="E64" s="20" t="n">
        <f aca="false">E60-E62-E63</f>
        <v>7.2639</v>
      </c>
      <c r="F64" s="20" t="n">
        <f aca="false">F60-F62-F63</f>
        <v>8.0601</v>
      </c>
      <c r="G64" s="20" t="n">
        <f aca="false">G60-G62-G63</f>
        <v>8.45651275301587</v>
      </c>
      <c r="H64" s="20" t="n">
        <f aca="false">H60-H62-H63</f>
        <v>8.79900330311885</v>
      </c>
      <c r="I64" s="20" t="n">
        <f aca="false">I60-I62-I63</f>
        <v>9.078974265554</v>
      </c>
      <c r="J64" s="20" t="n">
        <f aca="false">J60-J62-J63</f>
        <v>9.28903396020164</v>
      </c>
      <c r="K64" s="20" t="n">
        <f aca="false">K60-K62-K63</f>
        <v>9.42331233458811</v>
      </c>
      <c r="L64" s="20" t="n">
        <f aca="false">L60-L62-L63</f>
        <v>9.61177858127988</v>
      </c>
    </row>
    <row r="65" customFormat="false" ht="15" hidden="false" customHeight="true" outlineLevel="0" collapsed="false">
      <c r="A65" s="1" t="s">
        <v>65</v>
      </c>
      <c r="B65" s="23" t="n">
        <f aca="false">1/(1+$B$10)^B$16</f>
        <v>0.965744177733016</v>
      </c>
      <c r="C65" s="23" t="n">
        <f aca="false">1/(1+$B$10)^C$16</f>
        <v>0.900712719392852</v>
      </c>
      <c r="D65" s="23" t="n">
        <f aca="false">1/(1+$B$10)^D$16</f>
        <v>0.840060361306521</v>
      </c>
      <c r="E65" s="23" t="n">
        <f aca="false">1/(1+$B$10)^E$16</f>
        <v>0.78349222281899</v>
      </c>
      <c r="F65" s="23" t="n">
        <f aca="false">1/(1+$B$10)^F$16</f>
        <v>0.730733280002789</v>
      </c>
      <c r="G65" s="23" t="n">
        <f aca="false">1/(1+$B$10)^G$16</f>
        <v>0.681527028542053</v>
      </c>
      <c r="H65" s="23" t="n">
        <f aca="false">1/(1+$B$10)^H$16</f>
        <v>0.635634236655524</v>
      </c>
      <c r="I65" s="23" t="n">
        <f aca="false">1/(1+$B$10)^I$16</f>
        <v>0.592831781995452</v>
      </c>
      <c r="J65" s="23" t="n">
        <f aca="false">1/(1+$B$10)^J$16</f>
        <v>0.55291156686761</v>
      </c>
      <c r="K65" s="23" t="n">
        <f aca="false">1/(1+$B$10)^K$16</f>
        <v>0.515679506498424</v>
      </c>
    </row>
    <row r="66" customFormat="false" ht="15" hidden="false" customHeight="true" outlineLevel="0" collapsed="false">
      <c r="A66" s="1" t="s">
        <v>66</v>
      </c>
      <c r="B66" s="20" t="n">
        <f aca="false">B64*B65</f>
        <v>4.29555284302224</v>
      </c>
      <c r="C66" s="20" t="n">
        <f aca="false">C64*C65</f>
        <v>4.51797500047455</v>
      </c>
      <c r="D66" s="20" t="n">
        <f aca="false">D64*D65</f>
        <v>5.21904300668903</v>
      </c>
      <c r="E66" s="20" t="n">
        <f aca="false">E64*E65</f>
        <v>5.69120915733486</v>
      </c>
      <c r="F66" s="20" t="n">
        <f aca="false">F64*F65</f>
        <v>5.88978331015048</v>
      </c>
      <c r="G66" s="20" t="n">
        <f aca="false">G64*G65</f>
        <v>5.76334200839088</v>
      </c>
      <c r="H66" s="20" t="n">
        <f aca="false">H64*H65</f>
        <v>5.59294774790738</v>
      </c>
      <c r="I66" s="20" t="n">
        <f aca="false">I64*I65</f>
        <v>5.38230449253923</v>
      </c>
      <c r="J66" s="20" t="n">
        <f aca="false">J64*J65</f>
        <v>5.13601432162153</v>
      </c>
      <c r="K66" s="20" t="n">
        <f aca="false">K64*K65</f>
        <v>4.85940905428091</v>
      </c>
      <c r="L66" s="20"/>
    </row>
    <row r="67" customFormat="false" ht="15" hidden="false" customHeight="true" outlineLevel="0" collapsed="false">
      <c r="A67" s="1" t="s">
        <v>67</v>
      </c>
      <c r="B67" s="20" t="n">
        <f aca="false">L64/($B$10-L57)</f>
        <v>184.133689296549</v>
      </c>
      <c r="C67" s="1" t="str">
        <f aca="false">IF($B$10&gt;L57,"","Discount rate must exceed terminal growth")</f>
        <v/>
      </c>
    </row>
    <row r="68" customFormat="false" ht="15" hidden="false" customHeight="true" outlineLevel="0" collapsed="false">
      <c r="A68" s="1" t="s">
        <v>68</v>
      </c>
      <c r="B68" s="20" t="n">
        <f aca="false">B67/(1+$B$10)^$K$16</f>
        <v>94.9539700261787</v>
      </c>
    </row>
    <row r="69" customFormat="false" ht="15" hidden="false" customHeight="true" outlineLevel="0" collapsed="false">
      <c r="A69" s="1" t="s">
        <v>69</v>
      </c>
      <c r="B69" s="20" t="n">
        <f aca="false">SUM(B66:K66)+B68+$B$7+$B$8</f>
        <v>109.21155096859</v>
      </c>
    </row>
    <row r="70" customFormat="false" ht="15" hidden="false" customHeight="true" outlineLevel="0" collapsed="false">
      <c r="A70" s="1" t="s">
        <v>70</v>
      </c>
      <c r="B70" s="24" t="n">
        <f aca="false">B69/$B$6</f>
        <v>532.479526906825</v>
      </c>
    </row>
    <row r="71" customFormat="false" ht="15" hidden="false" customHeight="true" outlineLevel="0" collapsed="false">
      <c r="A71" s="1" t="s">
        <v>71</v>
      </c>
      <c r="B71" s="7" t="n">
        <f aca="false">B70/$B$4-1</f>
        <v>0.788224223080986</v>
      </c>
    </row>
    <row r="74" customFormat="false" ht="15" hidden="false" customHeight="true" outlineLevel="0" collapsed="false">
      <c r="A74" s="18" t="s">
        <v>74</v>
      </c>
      <c r="B74" s="19"/>
      <c r="C74" s="18" t="s">
        <v>75</v>
      </c>
      <c r="D74" s="19"/>
      <c r="E74" s="19"/>
      <c r="F74" s="19"/>
      <c r="G74" s="19"/>
      <c r="H74" s="19"/>
      <c r="I74" s="19"/>
      <c r="J74" s="19"/>
      <c r="K74" s="19"/>
      <c r="L74" s="19"/>
    </row>
    <row r="75" customFormat="false" ht="15" hidden="false" customHeight="true" outlineLevel="0" collapsed="false">
      <c r="A75" s="1" t="s">
        <v>76</v>
      </c>
      <c r="B75" s="8" t="n">
        <f aca="false">B34</f>
        <v>181.632914629396</v>
      </c>
      <c r="C75" s="7" t="n">
        <f aca="false">B75/$B$4-1</f>
        <v>-0.390022787287517</v>
      </c>
    </row>
    <row r="76" customFormat="false" ht="15" hidden="false" customHeight="true" outlineLevel="0" collapsed="false">
      <c r="A76" s="1" t="s">
        <v>77</v>
      </c>
      <c r="B76" s="8" t="n">
        <f aca="false">B52</f>
        <v>379.866227557491</v>
      </c>
      <c r="C76" s="7" t="n">
        <f aca="false">B76/$B$4-1</f>
        <v>0.275703487784165</v>
      </c>
    </row>
    <row r="77" customFormat="false" ht="15" hidden="false" customHeight="true" outlineLevel="0" collapsed="false">
      <c r="A77" s="1" t="s">
        <v>78</v>
      </c>
      <c r="B77" s="8" t="n">
        <f aca="false">B70</f>
        <v>532.479526906825</v>
      </c>
      <c r="C77" s="7" t="n">
        <f aca="false">B77/$B$4-1</f>
        <v>0.788224223080986</v>
      </c>
    </row>
    <row r="78" customFormat="false" ht="15" hidden="false" customHeight="true" outlineLevel="0" collapsed="false">
      <c r="A78" s="1" t="s">
        <v>79</v>
      </c>
      <c r="B78" s="8" t="n">
        <f aca="false">INDEX(B34:B70,1+($B$13-1)*18)</f>
        <v>379.866227557491</v>
      </c>
      <c r="C78" s="7" t="n">
        <f aca="false">B78/$B$4-1</f>
        <v>0.275703487784165</v>
      </c>
    </row>
    <row r="79" customFormat="false" ht="15" hidden="false" customHeight="true" outlineLevel="0" collapsed="false">
      <c r="A79" s="1" t="s">
        <v>80</v>
      </c>
      <c r="B79" s="25" t="n">
        <f aca="false">B50/(SUM(B48:K48)+B50)</f>
        <v>0.606907986023661</v>
      </c>
    </row>
    <row r="81" customFormat="false" ht="15" hidden="false" customHeight="true" outlineLevel="0" collapsed="false">
      <c r="A81" s="9" t="s">
        <v>81</v>
      </c>
    </row>
    <row r="82" customFormat="false" ht="15" hidden="false" customHeight="true" outlineLevel="0" collapsed="false">
      <c r="A82" s="1" t="s">
        <v>5</v>
      </c>
      <c r="B82" s="14" t="n">
        <v>0.05</v>
      </c>
      <c r="C82" s="14" t="n">
        <v>0.06</v>
      </c>
      <c r="D82" s="14" t="n">
        <v>0.07</v>
      </c>
      <c r="E82" s="14" t="n">
        <v>0.08</v>
      </c>
      <c r="F82" s="14" t="n">
        <v>0.09</v>
      </c>
      <c r="G82" s="14" t="n">
        <v>0.1</v>
      </c>
      <c r="H82" s="14" t="n">
        <v>0.11</v>
      </c>
      <c r="I82" s="14" t="n">
        <v>0.12</v>
      </c>
      <c r="J82" s="14" t="n">
        <v>0.13</v>
      </c>
      <c r="K82" s="14" t="n">
        <v>0.14</v>
      </c>
    </row>
    <row r="83" customFormat="false" ht="15" hidden="false" customHeight="true" outlineLevel="0" collapsed="false">
      <c r="A83" s="1" t="s">
        <v>77</v>
      </c>
      <c r="B83" s="8" t="n">
        <f aca="false">IF(B82&gt;$L39,(SUMPRODUCT($B46:$K46/(1+B82)^$B$16:$K$16)+$L46/(B82-$L39)/(1+B82)^$K$16+$B$7+$B$8)/$B$6,"n/a")</f>
        <v>745.65839541152</v>
      </c>
      <c r="C83" s="8" t="n">
        <f aca="false">IF(C82&gt;$L39,(SUMPRODUCT($B46:$K46/(1+C82)^$B$16:$K$16)+$L46/(C82-$L39)/(1+C82)^$K$16+$B$7+$B$8)/$B$6,"n/a")</f>
        <v>536.132015349444</v>
      </c>
      <c r="D83" s="8" t="n">
        <f aca="false">IF(D82&gt;$L39,(SUMPRODUCT($B46:$K46/(1+D82)^$B$16:$K$16)+$L46/(D82-$L39)/(1+D82)^$K$16+$B$7+$B$8)/$B$6,"n/a")</f>
        <v>402.909773281145</v>
      </c>
      <c r="E83" s="8" t="n">
        <f aca="false">IF(E82&gt;$L39,(SUMPRODUCT($B46:$K46/(1+E82)^$B$16:$K$16)+$L46/(E82-$L39)/(1+E82)^$K$16+$B$7+$B$8)/$B$6,"n/a")</f>
        <v>310.770882452973</v>
      </c>
      <c r="F83" s="8" t="n">
        <f aca="false">IF(F82&gt;$L39,(SUMPRODUCT($B46:$K46/(1+F82)^$B$16:$K$16)+$L46/(F82-$L39)/(1+F82)^$K$16+$B$7+$B$8)/$B$6,"n/a")</f>
        <v>243.279056244114</v>
      </c>
      <c r="G83" s="8" t="n">
        <f aca="false">IF(G82&gt;$L39,(SUMPRODUCT($B46:$K46/(1+G82)^$B$16:$K$16)+$L46/(G82-$L39)/(1+G82)^$K$16+$B$7+$B$8)/$B$6,"n/a")</f>
        <v>191.732805762011</v>
      </c>
      <c r="H83" s="8" t="n">
        <f aca="false">IF(H82&gt;$L39,(SUMPRODUCT($B46:$K46/(1+H82)^$B$16:$K$16)+$L46/(H82-$L39)/(1+H82)^$K$16+$B$7+$B$8)/$B$6,"n/a")</f>
        <v>151.094495807724</v>
      </c>
      <c r="I83" s="8" t="n">
        <f aca="false">IF(I82&gt;$L39,(SUMPRODUCT($B46:$K46/(1+I82)^$B$16:$K$16)+$L46/(I82-$L39)/(1+I82)^$K$16+$B$7+$B$8)/$B$6,"n/a")</f>
        <v>118.245653794937</v>
      </c>
      <c r="J83" s="8" t="n">
        <f aca="false">IF(J82&gt;$L39,(SUMPRODUCT($B46:$K46/(1+J82)^$B$16:$K$16)+$L46/(J82-$L39)/(1+J82)^$K$16+$B$7+$B$8)/$B$6,"n/a")</f>
        <v>91.152551690006</v>
      </c>
      <c r="K83" s="8" t="n">
        <f aca="false">IF(K82&gt;$L39,(SUMPRODUCT($B46:$K46/(1+K82)^$B$16:$K$16)+$L46/(K82-$L39)/(1+K82)^$K$16+$B$7+$B$8)/$B$6,"n/a")</f>
        <v>68.4323081791424</v>
      </c>
    </row>
    <row r="84" customFormat="false" ht="15" hidden="false" customHeight="true" outlineLevel="0" collapsed="false">
      <c r="A84" s="1" t="s">
        <v>82</v>
      </c>
      <c r="B84" s="7" t="n">
        <f aca="false">IFERROR(B83/$B$4-1,"n/a")</f>
        <v>1.50414210770568</v>
      </c>
      <c r="C84" s="7" t="n">
        <f aca="false">IFERROR(C83/$B$4-1,"n/a")</f>
        <v>0.800490362862088</v>
      </c>
      <c r="D84" s="7" t="n">
        <f aca="false">IFERROR(D83/$B$4-1,"n/a")</f>
        <v>0.353090550697332</v>
      </c>
      <c r="E84" s="7" t="n">
        <f aca="false">IFERROR(E83/$B$4-1,"n/a")</f>
        <v>0.0436608202739472</v>
      </c>
      <c r="F84" s="7" t="n">
        <f aca="false">IFERROR(F83/$B$4-1,"n/a")</f>
        <v>-0.182996755065607</v>
      </c>
      <c r="G84" s="7" t="n">
        <f aca="false">IFERROR(G83/$B$4-1,"n/a")</f>
        <v>-0.35610435651002</v>
      </c>
      <c r="H84" s="7" t="n">
        <f aca="false">IFERROR(H83/$B$4-1,"n/a")</f>
        <v>-0.492579857582281</v>
      </c>
      <c r="I84" s="7" t="n">
        <f aca="false">IFERROR(I83/$B$4-1,"n/a")</f>
        <v>-0.602896014390512</v>
      </c>
      <c r="J84" s="7" t="n">
        <f aca="false">IFERROR(J83/$B$4-1,"n/a")</f>
        <v>-0.693882689021708</v>
      </c>
      <c r="K84" s="7" t="n">
        <f aca="false">IFERROR(K83/$B$4-1,"n/a")</f>
        <v>-0.770184007189635</v>
      </c>
    </row>
    <row r="86" customFormat="false" ht="15" hidden="false" customHeight="true" outlineLevel="0" collapsed="false">
      <c r="A86" s="9" t="s">
        <v>83</v>
      </c>
      <c r="B86" s="26" t="n">
        <f aca="false">IFERROR(IF(MATCH($B$4,$B$83:$K$83,-1)=10,"above 14%",INDEX($B$82:$K$82,MATCH($B$4,$B$83:$K$83,-1))+(INDEX($B$83:$K$83,MATCH($B$4,$B$83:$K$83,-1))-$B$4)/(INDEX($B$83:$K$83,MATCH($B$4,$B$83:$K$83,-1))-INDEX($B$83:$K$83,MATCH($B$4,$B$83:$K$83,-1)+1))*(INDEX($B$82:$K$82,MATCH($B$4,$B$83:$K$83,-1)+1)-INDEX($B$82:$K$82,MATCH($B$4,$B$83:$K$83,-1)))),"below 5%")</f>
        <v>0.0819262899203144</v>
      </c>
      <c r="C86" s="3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12"/>
    <col collapsed="false" customWidth="true" hidden="false" outlineLevel="0" max="3" min="3" style="1" width="46"/>
  </cols>
  <sheetData>
    <row r="1" customFormat="false" ht="15.75" hidden="false" customHeight="true" outlineLevel="0" collapsed="false">
      <c r="A1" s="2" t="s">
        <v>85</v>
      </c>
    </row>
    <row r="2" customFormat="false" ht="15" hidden="false" customHeight="true" outlineLevel="0" collapsed="false">
      <c r="A2" s="3" t="s">
        <v>86</v>
      </c>
    </row>
    <row r="5" customFormat="false" ht="15" hidden="false" customHeight="true" outlineLevel="0" collapsed="false">
      <c r="A5" s="1" t="s">
        <v>87</v>
      </c>
      <c r="B5" s="16" t="n">
        <v>2</v>
      </c>
      <c r="C5" s="3" t="s">
        <v>88</v>
      </c>
    </row>
    <row r="6" customFormat="false" ht="15" hidden="false" customHeight="true" outlineLevel="0" collapsed="false">
      <c r="A6" s="1" t="s">
        <v>89</v>
      </c>
      <c r="B6" s="16" t="n">
        <v>2</v>
      </c>
      <c r="C6" s="3" t="s">
        <v>90</v>
      </c>
    </row>
    <row r="7" customFormat="false" ht="15" hidden="false" customHeight="true" outlineLevel="0" collapsed="false">
      <c r="A7" s="1" t="s">
        <v>91</v>
      </c>
      <c r="B7" s="14" t="n">
        <v>0.0503</v>
      </c>
      <c r="C7" s="3" t="s">
        <v>92</v>
      </c>
    </row>
    <row r="8" customFormat="false" ht="15" hidden="false" customHeight="true" outlineLevel="0" collapsed="false">
      <c r="A8" s="1" t="s">
        <v>93</v>
      </c>
      <c r="B8" s="14" t="n">
        <v>0.05</v>
      </c>
      <c r="C8" s="3" t="s">
        <v>36</v>
      </c>
    </row>
    <row r="9" customFormat="false" ht="15" hidden="false" customHeight="true" outlineLevel="0" collapsed="false">
      <c r="A9" s="1" t="s">
        <v>94</v>
      </c>
      <c r="B9" s="14" t="n">
        <v>0.012</v>
      </c>
      <c r="C9" s="3" t="s">
        <v>95</v>
      </c>
    </row>
    <row r="12" customFormat="false" ht="15" hidden="false" customHeight="true" outlineLevel="0" collapsed="false">
      <c r="A12" s="18" t="s">
        <v>96</v>
      </c>
      <c r="B12" s="18" t="s">
        <v>97</v>
      </c>
      <c r="C12" s="18" t="s">
        <v>98</v>
      </c>
    </row>
    <row r="13" customFormat="false" ht="15" hidden="false" customHeight="true" outlineLevel="0" collapsed="false">
      <c r="A13" s="1" t="s">
        <v>99</v>
      </c>
      <c r="B13" s="27" t="n">
        <v>0.06</v>
      </c>
      <c r="C13" s="3" t="s">
        <v>26</v>
      </c>
    </row>
    <row r="14" customFormat="false" ht="15" hidden="false" customHeight="true" outlineLevel="0" collapsed="false">
      <c r="A14" s="1" t="s">
        <v>100</v>
      </c>
      <c r="B14" s="27" t="n">
        <v>0.8</v>
      </c>
      <c r="C14" s="3" t="s">
        <v>101</v>
      </c>
    </row>
    <row r="15" customFormat="false" ht="15" hidden="false" customHeight="true" outlineLevel="0" collapsed="false">
      <c r="A15" s="1" t="s">
        <v>102</v>
      </c>
      <c r="B15" s="28" t="n">
        <f aca="false">0.67*IF(ISNUMBER(B14),B14,B13)+0.33</f>
        <v>0.866</v>
      </c>
      <c r="C15" s="3" t="s">
        <v>103</v>
      </c>
    </row>
    <row r="16" customFormat="false" ht="15" hidden="false" customHeight="true" outlineLevel="0" collapsed="false">
      <c r="A16" s="1" t="s">
        <v>104</v>
      </c>
      <c r="B16" s="28" t="n">
        <f aca="false">IF($B$6=1,IF(ISNUMBER(B14),B14,B13),B15)</f>
        <v>0.866</v>
      </c>
      <c r="C16" s="3" t="s">
        <v>105</v>
      </c>
    </row>
    <row r="17" customFormat="false" ht="15" hidden="false" customHeight="true" outlineLevel="0" collapsed="false">
      <c r="A17" s="1" t="s">
        <v>106</v>
      </c>
      <c r="B17" s="25" t="n">
        <f aca="false">$B$7+B16*$B$8</f>
        <v>0.0936</v>
      </c>
      <c r="C17" s="3" t="s">
        <v>107</v>
      </c>
    </row>
    <row r="18" customFormat="false" ht="15" hidden="false" customHeight="true" outlineLevel="0" collapsed="false">
      <c r="A18" s="1" t="s">
        <v>108</v>
      </c>
      <c r="B18" s="25" t="n">
        <f aca="false">$B$7+$B$9</f>
        <v>0.0623</v>
      </c>
      <c r="C18" s="3" t="s">
        <v>109</v>
      </c>
    </row>
    <row r="19" customFormat="false" ht="15" hidden="false" customHeight="true" outlineLevel="0" collapsed="false">
      <c r="A19" s="1" t="s">
        <v>31</v>
      </c>
      <c r="B19" s="6" t="n">
        <f aca="false">LNG!B9</f>
        <v>0.18</v>
      </c>
      <c r="C19" s="3" t="s">
        <v>110</v>
      </c>
    </row>
    <row r="20" customFormat="false" ht="15" hidden="false" customHeight="true" outlineLevel="0" collapsed="false">
      <c r="A20" s="1" t="s">
        <v>111</v>
      </c>
      <c r="B20" s="25" t="n">
        <f aca="false">B18*(1-B19)</f>
        <v>0.051086</v>
      </c>
      <c r="C20" s="3"/>
    </row>
    <row r="21" customFormat="false" ht="15" hidden="false" customHeight="true" outlineLevel="0" collapsed="false">
      <c r="A21" s="1" t="s">
        <v>112</v>
      </c>
      <c r="B21" s="29" t="n">
        <f aca="false">LNG!B4*LNG!B6</f>
        <v>61.072627</v>
      </c>
      <c r="C21" s="3" t="s">
        <v>113</v>
      </c>
    </row>
    <row r="22" customFormat="false" ht="15" hidden="false" customHeight="true" outlineLevel="0" collapsed="false">
      <c r="A22" s="1" t="s">
        <v>114</v>
      </c>
      <c r="B22" s="30" t="n">
        <v>23.93</v>
      </c>
      <c r="C22" s="3" t="s">
        <v>115</v>
      </c>
    </row>
    <row r="23" customFormat="false" ht="15" hidden="false" customHeight="true" outlineLevel="0" collapsed="false">
      <c r="A23" s="1" t="s">
        <v>116</v>
      </c>
      <c r="B23" s="25" t="n">
        <f aca="false">B21/(B21+B22)</f>
        <v>0.718479288881272</v>
      </c>
      <c r="C23" s="3"/>
    </row>
    <row r="24" customFormat="false" ht="15" hidden="false" customHeight="true" outlineLevel="0" collapsed="false">
      <c r="A24" s="1" t="s">
        <v>117</v>
      </c>
      <c r="B24" s="25" t="n">
        <f aca="false">B22/(B21+B22)</f>
        <v>0.281520711118728</v>
      </c>
      <c r="C24" s="3"/>
    </row>
    <row r="25" customFormat="false" ht="15" hidden="false" customHeight="true" outlineLevel="0" collapsed="false">
      <c r="A25" s="1" t="s">
        <v>118</v>
      </c>
      <c r="B25" s="25" t="n">
        <f aca="false">B23*B17+B24*B20</f>
        <v>0.0816314284874984</v>
      </c>
      <c r="C25" s="3" t="s">
        <v>119</v>
      </c>
    </row>
    <row r="26" customFormat="false" ht="15" hidden="false" customHeight="true" outlineLevel="0" collapsed="false">
      <c r="A26" s="1" t="s">
        <v>120</v>
      </c>
      <c r="B26" s="31" t="n">
        <v>0.0722</v>
      </c>
      <c r="C26" s="3" t="s">
        <v>121</v>
      </c>
    </row>
    <row r="27" customFormat="false" ht="15" hidden="false" customHeight="true" outlineLevel="0" collapsed="false">
      <c r="A27" s="1" t="s">
        <v>122</v>
      </c>
      <c r="B27" s="26" t="n">
        <f aca="false">IF($B$5=1,B25,B26)</f>
        <v>0.0722</v>
      </c>
      <c r="C27" s="3" t="s">
        <v>123</v>
      </c>
    </row>
    <row r="28" customFormat="false" ht="15" hidden="false" customHeight="true" outlineLevel="0" collapsed="false">
      <c r="A28" s="1" t="s">
        <v>124</v>
      </c>
      <c r="B28" s="1" t="str">
        <f aca="false">IF(B27&gt;MAX(LNG!L21,LNG!L39,LNG!L57),"OK","WACC must exceed growth")</f>
        <v>OK</v>
      </c>
      <c r="C28" s="3"/>
    </row>
    <row r="29" customFormat="false" ht="15" hidden="false" customHeight="true" outlineLevel="0" collapsed="false">
      <c r="A29" s="1" t="s">
        <v>125</v>
      </c>
      <c r="B29" s="25" t="n">
        <f aca="false">B27</f>
        <v>0.0722</v>
      </c>
      <c r="C29" s="3" t="s">
        <v>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2026-10-29T13:37:43Z</dcterms:created>
  <dc:creator>openpyxl</dc:creator>
  <dc:description/>
  <dc:language>en-US</dc:language>
  <cp:lastModifiedBy/>
  <dcterms:modified xsi:type="dcterms:W3CDTF">2026-10-29T13:38:16Z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