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LNG"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<sst xmlns="http://schemas.openxmlformats.org/spreadsheetml/2006/main" count="174" uniqueCount="136">
  <si>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Cheniere Energy (LNG):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</si>
  <si>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</si>
  <si>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</si>
  <si>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</si>
  <si>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</si>
  <si>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</si>
  <si>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</si>
  <si>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</si>
  <si>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</si>
  <si>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</si>
  <si>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</si>
  <si>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</si>
  <si>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Cheniere Energy (LNG)</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</si>
  <si>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</si>
  <si>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</si>
  <si>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</si>
  <si>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</si>
  <si>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</si>
  <si>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on a cut to cash flow guidance, or if new long-term contracting stalls as the 2027 to 2028 LNG supply wave arrives.</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</si>
  <si>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</si>
  <si>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</si>
  <si>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</si>
  <si>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</si>
  <si>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</si>
  <si>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</si>
  <si>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</si>
  <si>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</si>
  <si>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Cheniere Energy (LNG):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</si>
  <si>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</si>
  <si>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</si>
  <si>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</si>
  <si>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</si>
  <si>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</si>
  <si>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</si>
  <si>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</si>
  <si>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</si>
  <si>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</si>
  <si>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</si>
  <si>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</si>
  <si>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Less public share of CQP: about 51.4% of CQP market cap $30.77B (Stock Analysis, Oct 16, 2026)</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</si>
  <si>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</si>
  <si>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</si>
  <si>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</si>
  <si>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</si>
  <si>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</si>
  <si>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</si>
  <si>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</si>
  <si>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2026E consensus $22.6B (Stock Analysis). Revenue swings with gas prices; margin is the lever</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</si>
  <si>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</si>
  <si>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</si>
  <si>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</si>
  <si>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</si>
  <si>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</si>
  <si>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</si>
  <si>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</si>
  <si>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</si>
  <si>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</si>
  <si>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</si>
  <si>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</si>
  <si>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</si>
  <si>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</si>
  <si>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</si>
  <si>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</si>
  <si>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</si>
  <si>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LNG glut from 2027, weaker spot margins</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</si>
  <si>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</si>
  <si>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</si>
  <si>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</si>
  <si>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</si>
  <si>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</si>
  <si>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</si>
  <si>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</si>
  <si>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</si>
  <si>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</si>
  <si>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</si>
  <si>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</si>
  <si>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</si>
  <si>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</si>
  <si>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</si>
  <si>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</si>
  <si>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</si>
  <si>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expansions come online, contracts hold</t>
  </si>
  <si>
    <t xml:space="preserve">Bull: more trains sanctioned at good returns</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</si>
  <si>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</si>
  <si>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</si>
  <si>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</si>
  <si>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</si>
  <si>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</si>
  <si>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</si>
  <si>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</si>
  <si>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</si>
  <si>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</si>
  <si>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</si>
  <si>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</si>
  <si>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</si>
  <si>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</si>
  <si>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</si>
  <si>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</si>
  <si>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</si>
  <si>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</si>
  <si>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</si>
  <si>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</si>
  <si>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</si>
  <si>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</si>
  <si>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</si>
  <si>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</si>
  <si>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LNG</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</si>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</sst>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LNG!B4</f>
        <v>297.605</v>
      </c>
      <c r="D5" s="5" t="n">
        <f aca="false">LNG!B10</f>
        <v>0.075</v>
      </c>
      <c r="E5" s="4" t="n">
        <f aca="false">LNG!B75</f>
        <v>135.17044339531</v>
      </c>
      <c r="F5" s="4" t="n">
        <f aca="false">LNG!B76</f>
        <v>305.060649546943</v>
      </c>
      <c r="G5" s="4" t="n">
        <f aca="false">LNG!B77</f>
        <v>441.024677778915</v>
      </c>
      <c r="H5" s="6" t="n">
        <f aca="false">F5/C5-1</f>
        <v>0.0250521649399122</v>
      </c>
      <c r="I5" s="5" t="n">
        <f aca="false">LNG!B86</f>
        <v>0.0762688670296594</v>
      </c>
      <c r="J5" s="7" t="n">
        <f aca="false">IF(F5&lt;10,ROUND(F5*4,0)/4,IF(F5&lt;100,ROUND(F5,0),ROUND(F5/5,0)*5))</f>
        <v>305</v>
      </c>
    </row>
    <row r="8" customFormat="false" ht="15" hidden="false" customHeight="false" outlineLevel="0" collapsed="false">
      <c r="A8" s="8" t="s">
        <v>14</v>
      </c>
    </row>
    <row r="9" customFormat="false" ht="15" hidden="false" customHeight="false" outlineLevel="0" collapsed="false">
      <c r="A9" s="0" t="s">
        <v>11</v>
      </c>
      <c r="C9" s="7" t="n">
        <v>305</v>
      </c>
    </row>
    <row r="10" customFormat="false" ht="15" hidden="false" customHeight="false" outlineLevel="0" collapsed="false">
      <c r="A10" s="0" t="s">
        <v>15</v>
      </c>
      <c r="C10" s="7" t="n">
        <v>440</v>
      </c>
    </row>
    <row r="11" customFormat="false" ht="15" hidden="false" customHeight="false" outlineLevel="0" collapsed="false">
      <c r="A11" s="0" t="s">
        <v>16</v>
      </c>
      <c r="C11" s="7" t="n">
        <v>220</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297.605</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0.20653</v>
      </c>
      <c r="C6" s="2" t="s">
        <v>35</v>
      </c>
    </row>
    <row r="7" customFormat="false" ht="15" hidden="false" customHeight="false" outlineLevel="0" collapsed="false">
      <c r="A7" s="0" t="s">
        <v>36</v>
      </c>
      <c r="B7" s="12" t="n">
        <v>-26.85</v>
      </c>
      <c r="C7" s="2" t="s">
        <v>37</v>
      </c>
    </row>
    <row r="8" customFormat="false" ht="15" hidden="false" customHeight="false" outlineLevel="0" collapsed="false">
      <c r="A8" s="0" t="s">
        <v>38</v>
      </c>
      <c r="B8" s="12" t="n">
        <v>-15.82</v>
      </c>
      <c r="C8" s="2" t="s">
        <v>39</v>
      </c>
    </row>
    <row r="9" customFormat="false" ht="15" hidden="false" customHeight="false" outlineLevel="0" collapsed="false">
      <c r="A9" s="0" t="s">
        <v>40</v>
      </c>
      <c r="B9" s="13" t="n">
        <v>0.18</v>
      </c>
      <c r="C9" s="2" t="s">
        <v>41</v>
      </c>
    </row>
    <row r="10" customFormat="false" ht="15" hidden="false" customHeight="false" outlineLevel="0" collapsed="false">
      <c r="A10" s="0" t="s">
        <v>42</v>
      </c>
      <c r="B10" s="14" t="n">
        <f aca="false">WACC!B29</f>
        <v>0.075</v>
      </c>
      <c r="C10" s="2" t="s">
        <v>43</v>
      </c>
    </row>
    <row r="11" customFormat="false" ht="15" hidden="false" customHeight="false" outlineLevel="0" collapsed="false">
      <c r="A11" s="0" t="s">
        <v>44</v>
      </c>
      <c r="B11" s="13" t="n">
        <v>0</v>
      </c>
      <c r="C11" s="2" t="s">
        <v>45</v>
      </c>
    </row>
    <row r="12" customFormat="false" ht="15" hidden="false" customHeight="false" outlineLevel="0" collapsed="false">
      <c r="A12" s="0" t="s">
        <v>46</v>
      </c>
      <c r="B12" s="12" t="n">
        <v>22.6</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21</v>
      </c>
      <c r="C20" s="12" t="n">
        <v>20.5</v>
      </c>
      <c r="D20" s="12" t="n">
        <v>21.5</v>
      </c>
      <c r="E20" s="12" t="n">
        <v>22.5</v>
      </c>
      <c r="F20" s="12" t="n">
        <v>23.5</v>
      </c>
      <c r="G20" s="20" t="n">
        <f aca="false">F20*(1+$F21+($L21-$F21)*G$17/5)</f>
        <v>24.3590555555556</v>
      </c>
      <c r="H20" s="20" t="n">
        <f aca="false">G20*(1+$F21+($L21-$F21)*H$17/5)</f>
        <v>25.0573484814815</v>
      </c>
      <c r="I20" s="20" t="n">
        <f aca="false">H20*(1+$F21+($L21-$F21)*I$17/5)</f>
        <v>25.57798449993</v>
      </c>
      <c r="J20" s="20" t="n">
        <f aca="false">I20*(1+$F21+($L21-$F21)*J$17/5)</f>
        <v>25.9076563001514</v>
      </c>
      <c r="K20" s="20" t="n">
        <f aca="false">J20*(1+$F21+($L21-$F21)*K$17/5)</f>
        <v>26.0371945816521</v>
      </c>
      <c r="L20" s="20" t="n">
        <f aca="false">K20*(1+L21)</f>
        <v>26.1673805545604</v>
      </c>
    </row>
    <row r="21" customFormat="false" ht="15" hidden="false" customHeight="false" outlineLevel="0" collapsed="false">
      <c r="A21" s="0" t="s">
        <v>66</v>
      </c>
      <c r="B21" s="6" t="n">
        <f aca="false">B20/$B$12-1</f>
        <v>-0.0707964601769913</v>
      </c>
      <c r="C21" s="6" t="n">
        <f aca="false">C20/B20-1</f>
        <v>-0.0238095238095238</v>
      </c>
      <c r="D21" s="6" t="n">
        <f aca="false">D20/C20-1</f>
        <v>0.0487804878048781</v>
      </c>
      <c r="E21" s="6" t="n">
        <f aca="false">E20/D20-1</f>
        <v>0.0465116279069768</v>
      </c>
      <c r="F21" s="6" t="n">
        <f aca="false">F20/E20-1</f>
        <v>0.0444444444444445</v>
      </c>
      <c r="G21" s="6" t="n">
        <f aca="false">G20/F20-1</f>
        <v>0.0365555555555557</v>
      </c>
      <c r="H21" s="6" t="n">
        <f aca="false">H20/G20-1</f>
        <v>0.0286666666666666</v>
      </c>
      <c r="I21" s="6" t="n">
        <f aca="false">I20/H20-1</f>
        <v>0.0207777777777778</v>
      </c>
      <c r="J21" s="6" t="n">
        <f aca="false">J20/I20-1</f>
        <v>0.012888888888889</v>
      </c>
      <c r="K21" s="6" t="n">
        <f aca="false">K20/J20-1</f>
        <v>0.00499999999999989</v>
      </c>
      <c r="L21" s="21" t="n">
        <v>0.005</v>
      </c>
    </row>
    <row r="22" customFormat="false" ht="15" hidden="false" customHeight="false" outlineLevel="0" collapsed="false">
      <c r="A22" s="0" t="s">
        <v>67</v>
      </c>
      <c r="B22" s="22" t="n">
        <v>0.29</v>
      </c>
      <c r="C22" s="22" t="n">
        <v>0.28</v>
      </c>
      <c r="D22" s="22" t="n">
        <v>0.28</v>
      </c>
      <c r="E22" s="22" t="n">
        <v>0.28</v>
      </c>
      <c r="F22" s="22" t="n">
        <v>0.28</v>
      </c>
      <c r="G22" s="6" t="n">
        <f aca="false">$F22+($L22-$F22)*G$17/5</f>
        <v>0.278</v>
      </c>
      <c r="H22" s="6" t="n">
        <f aca="false">$F22+($L22-$F22)*H$17/5</f>
        <v>0.276</v>
      </c>
      <c r="I22" s="6" t="n">
        <f aca="false">$F22+($L22-$F22)*I$17/5</f>
        <v>0.274</v>
      </c>
      <c r="J22" s="6" t="n">
        <f aca="false">$F22+($L22-$F22)*J$17/5</f>
        <v>0.272</v>
      </c>
      <c r="K22" s="6" t="n">
        <f aca="false">$F22+($L22-$F22)*K$17/5</f>
        <v>0.27</v>
      </c>
      <c r="L22" s="21" t="n">
        <v>0.27</v>
      </c>
    </row>
    <row r="23" customFormat="false" ht="15" hidden="false" customHeight="false" outlineLevel="0" collapsed="false">
      <c r="A23" s="0" t="s">
        <v>68</v>
      </c>
      <c r="B23" s="20" t="n">
        <f aca="false">B20*B22</f>
        <v>6.09</v>
      </c>
      <c r="C23" s="20" t="n">
        <f aca="false">C20*C22</f>
        <v>5.74</v>
      </c>
      <c r="D23" s="20" t="n">
        <f aca="false">D20*D22</f>
        <v>6.02</v>
      </c>
      <c r="E23" s="20" t="n">
        <f aca="false">E20*E22</f>
        <v>6.3</v>
      </c>
      <c r="F23" s="20" t="n">
        <f aca="false">F20*F22</f>
        <v>6.58</v>
      </c>
      <c r="G23" s="20" t="n">
        <f aca="false">G20*G22</f>
        <v>6.77181744444445</v>
      </c>
      <c r="H23" s="20" t="n">
        <f aca="false">H20*H22</f>
        <v>6.91582818088889</v>
      </c>
      <c r="I23" s="20" t="n">
        <f aca="false">I20*I22</f>
        <v>7.00836775298083</v>
      </c>
      <c r="J23" s="20" t="n">
        <f aca="false">J20*J22</f>
        <v>7.04688251364117</v>
      </c>
      <c r="K23" s="20" t="n">
        <f aca="false">K20*K22</f>
        <v>7.03004253704607</v>
      </c>
      <c r="L23" s="20" t="n">
        <f aca="false">L20*L22</f>
        <v>7.0651927497313</v>
      </c>
    </row>
    <row r="24" customFormat="false" ht="15" hidden="false" customHeight="false" outlineLevel="0" collapsed="false">
      <c r="A24" s="0" t="s">
        <v>69</v>
      </c>
      <c r="B24" s="20" t="n">
        <f aca="false">B23*(1-$B$9)</f>
        <v>4.9938</v>
      </c>
      <c r="C24" s="20" t="n">
        <f aca="false">C23*(1-$B$9)</f>
        <v>4.7068</v>
      </c>
      <c r="D24" s="20" t="n">
        <f aca="false">D23*(1-$B$9)</f>
        <v>4.9364</v>
      </c>
      <c r="E24" s="20" t="n">
        <f aca="false">E23*(1-$B$9)</f>
        <v>5.166</v>
      </c>
      <c r="F24" s="20" t="n">
        <f aca="false">F23*(1-$B$9)</f>
        <v>5.3956</v>
      </c>
      <c r="G24" s="20" t="n">
        <f aca="false">G23*(1-$B$9)</f>
        <v>5.55289030444445</v>
      </c>
      <c r="H24" s="20" t="n">
        <f aca="false">H23*(1-$B$9)</f>
        <v>5.67097910832889</v>
      </c>
      <c r="I24" s="20" t="n">
        <f aca="false">I23*(1-$B$9)</f>
        <v>5.74686155744428</v>
      </c>
      <c r="J24" s="20" t="n">
        <f aca="false">J23*(1-$B$9)</f>
        <v>5.77844366118576</v>
      </c>
      <c r="K24" s="20" t="n">
        <f aca="false">K23*(1-$B$9)</f>
        <v>5.76463488037778</v>
      </c>
      <c r="L24" s="20" t="n">
        <f aca="false">L23*(1-$B$9)</f>
        <v>5.79345805477967</v>
      </c>
    </row>
    <row r="25" customFormat="false" ht="15" hidden="false" customHeight="false" outlineLevel="0" collapsed="false">
      <c r="A25" s="0" t="s">
        <v>70</v>
      </c>
      <c r="B25" s="22" t="n">
        <v>0.08</v>
      </c>
      <c r="C25" s="22" t="n">
        <v>0.07</v>
      </c>
      <c r="D25" s="22" t="n">
        <v>0.05</v>
      </c>
      <c r="E25" s="22" t="n">
        <v>0.03</v>
      </c>
      <c r="F25" s="22" t="n">
        <v>0.02</v>
      </c>
      <c r="G25" s="6" t="n">
        <f aca="false">$F25+($L25-$F25)*G$17/5</f>
        <v>0.019</v>
      </c>
      <c r="H25" s="6" t="n">
        <f aca="false">$F25+($L25-$F25)*H$17/5</f>
        <v>0.018</v>
      </c>
      <c r="I25" s="6" t="n">
        <f aca="false">$F25+($L25-$F25)*I$17/5</f>
        <v>0.017</v>
      </c>
      <c r="J25" s="6" t="n">
        <f aca="false">$F25+($L25-$F25)*J$17/5</f>
        <v>0.016</v>
      </c>
      <c r="K25" s="6" t="n">
        <f aca="false">$F25+($L25-$F25)*K$17/5</f>
        <v>0.015</v>
      </c>
      <c r="L25" s="21" t="n">
        <v>0.015</v>
      </c>
    </row>
    <row r="26" customFormat="false" ht="15" hidden="false" customHeight="false" outlineLevel="0" collapsed="false">
      <c r="A26" s="0" t="s">
        <v>71</v>
      </c>
      <c r="B26" s="20" t="n">
        <f aca="false">B20*B25</f>
        <v>1.68</v>
      </c>
      <c r="C26" s="20" t="n">
        <f aca="false">C20*C25</f>
        <v>1.435</v>
      </c>
      <c r="D26" s="20" t="n">
        <f aca="false">D20*D25</f>
        <v>1.075</v>
      </c>
      <c r="E26" s="20" t="n">
        <f aca="false">E20*E25</f>
        <v>0.675</v>
      </c>
      <c r="F26" s="20" t="n">
        <f aca="false">F20*F25</f>
        <v>0.47</v>
      </c>
      <c r="G26" s="20" t="n">
        <f aca="false">G20*G25</f>
        <v>0.462822055555556</v>
      </c>
      <c r="H26" s="20" t="n">
        <f aca="false">H20*H25</f>
        <v>0.451032272666667</v>
      </c>
      <c r="I26" s="20" t="n">
        <f aca="false">I20*I25</f>
        <v>0.434825736498811</v>
      </c>
      <c r="J26" s="20" t="n">
        <f aca="false">J20*J25</f>
        <v>0.414522500802422</v>
      </c>
      <c r="K26" s="20" t="n">
        <f aca="false">K20*K25</f>
        <v>0.390557918724782</v>
      </c>
      <c r="L26" s="20" t="n">
        <f aca="false">L20*L25</f>
        <v>0.392510708318406</v>
      </c>
    </row>
    <row r="27" customFormat="false" ht="15" hidden="false" customHeight="false" outlineLevel="0" collapsed="false">
      <c r="A27" s="0" t="s">
        <v>72</v>
      </c>
      <c r="B27" s="20" t="n">
        <f aca="false">$B$11*(B20-$B$12)</f>
        <v>-0</v>
      </c>
      <c r="C27" s="20" t="n">
        <f aca="false">$B$11*(C20-B20)</f>
        <v>-0</v>
      </c>
      <c r="D27" s="20" t="n">
        <f aca="false">$B$11*(D20-C20)</f>
        <v>0</v>
      </c>
      <c r="E27" s="20" t="n">
        <f aca="false">$B$11*(E20-D20)</f>
        <v>0</v>
      </c>
      <c r="F27" s="20" t="n">
        <f aca="false">$B$11*(F20-E20)</f>
        <v>0</v>
      </c>
      <c r="G27" s="20" t="n">
        <f aca="false">$B$11*(G20-F20)</f>
        <v>0</v>
      </c>
      <c r="H27" s="20" t="n">
        <f aca="false">$B$11*(H20-G20)</f>
        <v>0</v>
      </c>
      <c r="I27" s="20" t="n">
        <f aca="false">$B$11*(I20-H20)</f>
        <v>0</v>
      </c>
      <c r="J27" s="20" t="n">
        <f aca="false">$B$11*(J20-I20)</f>
        <v>0</v>
      </c>
      <c r="K27" s="20" t="n">
        <f aca="false">$B$11*(K20-J20)</f>
        <v>0</v>
      </c>
      <c r="L27" s="20" t="n">
        <f aca="false">$B$11*(L20-K20)</f>
        <v>0</v>
      </c>
    </row>
    <row r="28" customFormat="false" ht="15" hidden="false" customHeight="false" outlineLevel="0" collapsed="false">
      <c r="A28" s="0" t="s">
        <v>73</v>
      </c>
      <c r="B28" s="20" t="n">
        <f aca="false">B24-B26-B27</f>
        <v>3.3138</v>
      </c>
      <c r="C28" s="20" t="n">
        <f aca="false">C24-C26-C27</f>
        <v>3.2718</v>
      </c>
      <c r="D28" s="20" t="n">
        <f aca="false">D24-D26-D27</f>
        <v>3.8614</v>
      </c>
      <c r="E28" s="20" t="n">
        <f aca="false">E24-E26-E27</f>
        <v>4.491</v>
      </c>
      <c r="F28" s="20" t="n">
        <f aca="false">F24-F26-F27</f>
        <v>4.9256</v>
      </c>
      <c r="G28" s="20" t="n">
        <f aca="false">G24-G26-G27</f>
        <v>5.09006824888889</v>
      </c>
      <c r="H28" s="20" t="n">
        <f aca="false">H24-H26-H27</f>
        <v>5.21994683566222</v>
      </c>
      <c r="I28" s="20" t="n">
        <f aca="false">I24-I26-I27</f>
        <v>5.31203582094547</v>
      </c>
      <c r="J28" s="20" t="n">
        <f aca="false">J24-J26-J27</f>
        <v>5.36392116038334</v>
      </c>
      <c r="K28" s="20" t="n">
        <f aca="false">K24-K26-K27</f>
        <v>5.374076961653</v>
      </c>
      <c r="L28" s="20" t="n">
        <f aca="false">L24-L26-L27</f>
        <v>5.40094734646126</v>
      </c>
    </row>
    <row r="29" customFormat="false" ht="15" hidden="false" customHeight="false" outlineLevel="0" collapsed="false">
      <c r="A29" s="0" t="s">
        <v>74</v>
      </c>
      <c r="B29" s="23" t="n">
        <f aca="false">1/(1+$B$10)^B$16</f>
        <v>0.964485644340824</v>
      </c>
      <c r="C29" s="23" t="n">
        <f aca="false">1/(1+$B$10)^C$16</f>
        <v>0.897195948224023</v>
      </c>
      <c r="D29" s="23" t="n">
        <f aca="false">1/(1+$B$10)^D$16</f>
        <v>0.834600882068858</v>
      </c>
      <c r="E29" s="23" t="n">
        <f aca="false">1/(1+$B$10)^E$16</f>
        <v>0.776372913552426</v>
      </c>
      <c r="F29" s="23" t="n">
        <f aca="false">1/(1+$B$10)^F$16</f>
        <v>0.722207361444118</v>
      </c>
      <c r="G29" s="23" t="n">
        <f aca="false">1/(1+$B$10)^G$16</f>
        <v>0.671820801343365</v>
      </c>
      <c r="H29" s="23" t="n">
        <f aca="false">1/(1+$B$10)^H$16</f>
        <v>0.624949582644991</v>
      </c>
      <c r="I29" s="23" t="n">
        <f aca="false">1/(1+$B$10)^I$16</f>
        <v>0.581348448972085</v>
      </c>
      <c r="J29" s="23" t="n">
        <f aca="false">1/(1+$B$10)^J$16</f>
        <v>0.540789254857753</v>
      </c>
      <c r="K29" s="23" t="n">
        <f aca="false">1/(1+$B$10)^K$16</f>
        <v>0.503059771960701</v>
      </c>
    </row>
    <row r="30" customFormat="false" ht="15" hidden="false" customHeight="false" outlineLevel="0" collapsed="false">
      <c r="A30" s="0" t="s">
        <v>75</v>
      </c>
      <c r="B30" s="20" t="n">
        <f aca="false">B28*B29</f>
        <v>3.19611252821662</v>
      </c>
      <c r="C30" s="20" t="n">
        <f aca="false">C28*C29</f>
        <v>2.93544570339936</v>
      </c>
      <c r="D30" s="20" t="n">
        <f aca="false">D28*D29</f>
        <v>3.22272784602069</v>
      </c>
      <c r="E30" s="20" t="n">
        <f aca="false">E28*E29</f>
        <v>3.48669075476395</v>
      </c>
      <c r="F30" s="20" t="n">
        <f aca="false">F28*F29</f>
        <v>3.55730457952915</v>
      </c>
      <c r="G30" s="20" t="n">
        <f aca="false">G28*G29</f>
        <v>3.41961372986095</v>
      </c>
      <c r="H30" s="20" t="n">
        <f aca="false">H28*H29</f>
        <v>3.26220359637615</v>
      </c>
      <c r="I30" s="20" t="n">
        <f aca="false">I28*I29</f>
        <v>3.0881437853908</v>
      </c>
      <c r="J30" s="20" t="n">
        <f aca="false">J28*J29</f>
        <v>2.90075092743944</v>
      </c>
      <c r="K30" s="20" t="n">
        <f aca="false">K28*K29</f>
        <v>2.70348193082841</v>
      </c>
      <c r="L30" s="20"/>
    </row>
    <row r="31" customFormat="false" ht="15" hidden="false" customHeight="false" outlineLevel="0" collapsed="false">
      <c r="A31" s="0" t="s">
        <v>76</v>
      </c>
      <c r="B31" s="20" t="n">
        <f aca="false">L28/($B$10-L21)</f>
        <v>77.1563906637323</v>
      </c>
      <c r="C31" s="0" t="str">
        <f aca="false">IF($B$10&gt;L21,"","Discount rate must exceed terminal growth")</f>
        <v/>
      </c>
    </row>
    <row r="32" customFormat="false" ht="15" hidden="false" customHeight="false" outlineLevel="0" collapsed="false">
      <c r="A32" s="0" t="s">
        <v>77</v>
      </c>
      <c r="B32" s="20" t="n">
        <f aca="false">B31/(1+$B$10)^$K$16</f>
        <v>38.8142762926079</v>
      </c>
    </row>
    <row r="33" customFormat="false" ht="15" hidden="false" customHeight="false" outlineLevel="0" collapsed="false">
      <c r="A33" s="0" t="s">
        <v>78</v>
      </c>
      <c r="B33" s="20" t="n">
        <f aca="false">SUM(B30:K30)+B32+$B$7+$B$8</f>
        <v>27.9167516744334</v>
      </c>
    </row>
    <row r="34" customFormat="false" ht="15" hidden="false" customHeight="false" outlineLevel="0" collapsed="false">
      <c r="A34" s="0" t="s">
        <v>79</v>
      </c>
      <c r="B34" s="24" t="n">
        <f aca="false">B33/$B$6</f>
        <v>135.17044339531</v>
      </c>
    </row>
    <row r="35" customFormat="false" ht="15" hidden="false" customHeight="false" outlineLevel="0" collapsed="false">
      <c r="A35" s="0" t="s">
        <v>80</v>
      </c>
      <c r="B35" s="6" t="n">
        <f aca="false">B34/$B$4-1</f>
        <v>-0.545805872228927</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23.4</v>
      </c>
      <c r="C38" s="12" t="n">
        <v>24.6</v>
      </c>
      <c r="D38" s="12" t="n">
        <v>25.8</v>
      </c>
      <c r="E38" s="12" t="n">
        <v>27.2</v>
      </c>
      <c r="F38" s="12" t="n">
        <v>28.6</v>
      </c>
      <c r="G38" s="20" t="n">
        <f aca="false">F38*(1+$F39+($L39-$F39)*G$17/5)</f>
        <v>29.8634470588235</v>
      </c>
      <c r="H38" s="20" t="n">
        <f aca="false">G38*(1+$F39+($L39-$F39)*H$17/5)</f>
        <v>30.9648812532872</v>
      </c>
      <c r="I38" s="20" t="n">
        <f aca="false">H38*(1+$F39+($L39-$F39)*I$17/5)</f>
        <v>31.8810774456639</v>
      </c>
      <c r="J38" s="20" t="n">
        <f aca="false">I38*(1+$F39+($L39-$F39)*J$17/5)</f>
        <v>32.5918379369525</v>
      </c>
      <c r="K38" s="20" t="n">
        <f aca="false">J38*(1+$F39+($L39-$F39)*K$17/5)</f>
        <v>33.0807155060068</v>
      </c>
      <c r="L38" s="20" t="n">
        <f aca="false">K38*(1+L39)</f>
        <v>33.5769262385969</v>
      </c>
    </row>
    <row r="39" customFormat="false" ht="15" hidden="false" customHeight="false" outlineLevel="0" collapsed="false">
      <c r="A39" s="0" t="s">
        <v>66</v>
      </c>
      <c r="B39" s="6" t="n">
        <f aca="false">B38/$B$12-1</f>
        <v>0.0353982300884954</v>
      </c>
      <c r="C39" s="6" t="n">
        <f aca="false">C38/B38-1</f>
        <v>0.0512820512820513</v>
      </c>
      <c r="D39" s="6" t="n">
        <f aca="false">D38/C38-1</f>
        <v>0.0487804878048781</v>
      </c>
      <c r="E39" s="6" t="n">
        <f aca="false">E38/D38-1</f>
        <v>0.0542635658914727</v>
      </c>
      <c r="F39" s="6" t="n">
        <f aca="false">F38/E38-1</f>
        <v>0.0514705882352942</v>
      </c>
      <c r="G39" s="6" t="n">
        <f aca="false">G38/F38-1</f>
        <v>0.0441764705882353</v>
      </c>
      <c r="H39" s="6" t="n">
        <f aca="false">H38/G38-1</f>
        <v>0.0368823529411766</v>
      </c>
      <c r="I39" s="6" t="n">
        <f aca="false">I38/H38-1</f>
        <v>0.0295882352941177</v>
      </c>
      <c r="J39" s="6" t="n">
        <f aca="false">J38/I38-1</f>
        <v>0.0222941176470588</v>
      </c>
      <c r="K39" s="6" t="n">
        <f aca="false">K38/J38-1</f>
        <v>0.0149999999999999</v>
      </c>
      <c r="L39" s="21" t="n">
        <v>0.015</v>
      </c>
    </row>
    <row r="40" customFormat="false" ht="15" hidden="false" customHeight="false" outlineLevel="0" collapsed="false">
      <c r="A40" s="0" t="s">
        <v>67</v>
      </c>
      <c r="B40" s="22" t="n">
        <v>0.31</v>
      </c>
      <c r="C40" s="22" t="n">
        <v>0.31</v>
      </c>
      <c r="D40" s="22" t="n">
        <v>0.31</v>
      </c>
      <c r="E40" s="22" t="n">
        <v>0.31</v>
      </c>
      <c r="F40" s="22" t="n">
        <v>0.31</v>
      </c>
      <c r="G40" s="6" t="n">
        <f aca="false">$F40+($L40-$F40)*G$17/5</f>
        <v>0.306</v>
      </c>
      <c r="H40" s="6" t="n">
        <f aca="false">$F40+($L40-$F40)*H$17/5</f>
        <v>0.302</v>
      </c>
      <c r="I40" s="6" t="n">
        <f aca="false">$F40+($L40-$F40)*I$17/5</f>
        <v>0.298</v>
      </c>
      <c r="J40" s="6" t="n">
        <f aca="false">$F40+($L40-$F40)*J$17/5</f>
        <v>0.294</v>
      </c>
      <c r="K40" s="6" t="n">
        <f aca="false">$F40+($L40-$F40)*K$17/5</f>
        <v>0.29</v>
      </c>
      <c r="L40" s="21" t="n">
        <v>0.29</v>
      </c>
    </row>
    <row r="41" customFormat="false" ht="15" hidden="false" customHeight="false" outlineLevel="0" collapsed="false">
      <c r="A41" s="0" t="s">
        <v>68</v>
      </c>
      <c r="B41" s="20" t="n">
        <f aca="false">B38*B40</f>
        <v>7.254</v>
      </c>
      <c r="C41" s="20" t="n">
        <f aca="false">C38*C40</f>
        <v>7.626</v>
      </c>
      <c r="D41" s="20" t="n">
        <f aca="false">D38*D40</f>
        <v>7.998</v>
      </c>
      <c r="E41" s="20" t="n">
        <f aca="false">E38*E40</f>
        <v>8.432</v>
      </c>
      <c r="F41" s="20" t="n">
        <f aca="false">F38*F40</f>
        <v>8.866</v>
      </c>
      <c r="G41" s="20" t="n">
        <f aca="false">G38*G40</f>
        <v>9.1382148</v>
      </c>
      <c r="H41" s="20" t="n">
        <f aca="false">H38*H40</f>
        <v>9.35139413849274</v>
      </c>
      <c r="I41" s="20" t="n">
        <f aca="false">I38*I40</f>
        <v>9.50056107880784</v>
      </c>
      <c r="J41" s="20" t="n">
        <f aca="false">J38*J40</f>
        <v>9.58200035346404</v>
      </c>
      <c r="K41" s="20" t="n">
        <f aca="false">K38*K40</f>
        <v>9.59340749674197</v>
      </c>
      <c r="L41" s="20" t="n">
        <f aca="false">L38*L40</f>
        <v>9.7373086091931</v>
      </c>
    </row>
    <row r="42" customFormat="false" ht="15" hidden="false" customHeight="false" outlineLevel="0" collapsed="false">
      <c r="A42" s="0" t="s">
        <v>69</v>
      </c>
      <c r="B42" s="20" t="n">
        <f aca="false">B41*(1-$B$9)</f>
        <v>5.94828</v>
      </c>
      <c r="C42" s="20" t="n">
        <f aca="false">C41*(1-$B$9)</f>
        <v>6.25332</v>
      </c>
      <c r="D42" s="20" t="n">
        <f aca="false">D41*(1-$B$9)</f>
        <v>6.55836</v>
      </c>
      <c r="E42" s="20" t="n">
        <f aca="false">E41*(1-$B$9)</f>
        <v>6.91424</v>
      </c>
      <c r="F42" s="20" t="n">
        <f aca="false">F41*(1-$B$9)</f>
        <v>7.27012</v>
      </c>
      <c r="G42" s="20" t="n">
        <f aca="false">G41*(1-$B$9)</f>
        <v>7.493336136</v>
      </c>
      <c r="H42" s="20" t="n">
        <f aca="false">H41*(1-$B$9)</f>
        <v>7.66814319356404</v>
      </c>
      <c r="I42" s="20" t="n">
        <f aca="false">I41*(1-$B$9)</f>
        <v>7.79046008462243</v>
      </c>
      <c r="J42" s="20" t="n">
        <f aca="false">J41*(1-$B$9)</f>
        <v>7.85724028984051</v>
      </c>
      <c r="K42" s="20" t="n">
        <f aca="false">K41*(1-$B$9)</f>
        <v>7.86659414732841</v>
      </c>
      <c r="L42" s="20" t="n">
        <f aca="false">L41*(1-$B$9)</f>
        <v>7.98459305953834</v>
      </c>
    </row>
    <row r="43" customFormat="false" ht="15" hidden="false" customHeight="false" outlineLevel="0" collapsed="false">
      <c r="A43" s="0" t="s">
        <v>70</v>
      </c>
      <c r="B43" s="22" t="n">
        <v>0.08</v>
      </c>
      <c r="C43" s="22" t="n">
        <v>0.07</v>
      </c>
      <c r="D43" s="22" t="n">
        <v>0.05</v>
      </c>
      <c r="E43" s="22" t="n">
        <v>0.03</v>
      </c>
      <c r="F43" s="22" t="n">
        <v>0.02</v>
      </c>
      <c r="G43" s="6" t="n">
        <f aca="false">$F43+($L43-$F43)*G$17/5</f>
        <v>0.019</v>
      </c>
      <c r="H43" s="6" t="n">
        <f aca="false">$F43+($L43-$F43)*H$17/5</f>
        <v>0.018</v>
      </c>
      <c r="I43" s="6" t="n">
        <f aca="false">$F43+($L43-$F43)*I$17/5</f>
        <v>0.017</v>
      </c>
      <c r="J43" s="6" t="n">
        <f aca="false">$F43+($L43-$F43)*J$17/5</f>
        <v>0.016</v>
      </c>
      <c r="K43" s="6" t="n">
        <f aca="false">$F43+($L43-$F43)*K$17/5</f>
        <v>0.015</v>
      </c>
      <c r="L43" s="21" t="n">
        <v>0.015</v>
      </c>
    </row>
    <row r="44" customFormat="false" ht="15" hidden="false" customHeight="false" outlineLevel="0" collapsed="false">
      <c r="A44" s="0" t="s">
        <v>71</v>
      </c>
      <c r="B44" s="20" t="n">
        <f aca="false">B38*B43</f>
        <v>1.872</v>
      </c>
      <c r="C44" s="20" t="n">
        <f aca="false">C38*C43</f>
        <v>1.722</v>
      </c>
      <c r="D44" s="20" t="n">
        <f aca="false">D38*D43</f>
        <v>1.29</v>
      </c>
      <c r="E44" s="20" t="n">
        <f aca="false">E38*E43</f>
        <v>0.816</v>
      </c>
      <c r="F44" s="20" t="n">
        <f aca="false">F38*F43</f>
        <v>0.572</v>
      </c>
      <c r="G44" s="20" t="n">
        <f aca="false">G38*G43</f>
        <v>0.567405494117647</v>
      </c>
      <c r="H44" s="20" t="n">
        <f aca="false">H38*H43</f>
        <v>0.55736786255917</v>
      </c>
      <c r="I44" s="20" t="n">
        <f aca="false">I38*I43</f>
        <v>0.541978316576286</v>
      </c>
      <c r="J44" s="20" t="n">
        <f aca="false">J38*J43</f>
        <v>0.52146940699124</v>
      </c>
      <c r="K44" s="20" t="n">
        <f aca="false">K38*K43</f>
        <v>0.496210732590102</v>
      </c>
      <c r="L44" s="20" t="n">
        <f aca="false">L38*L43</f>
        <v>0.503653893578953</v>
      </c>
    </row>
    <row r="45" customFormat="false" ht="15" hidden="false" customHeight="false" outlineLevel="0" collapsed="false">
      <c r="A45" s="0" t="s">
        <v>72</v>
      </c>
      <c r="B45" s="20" t="n">
        <f aca="false">$B$11*(B38-$B$12)</f>
        <v>0</v>
      </c>
      <c r="C45" s="20" t="n">
        <f aca="false">$B$11*(C38-B38)</f>
        <v>0</v>
      </c>
      <c r="D45" s="20" t="n">
        <f aca="false">$B$11*(D38-C38)</f>
        <v>0</v>
      </c>
      <c r="E45" s="20" t="n">
        <f aca="false">$B$11*(E38-D38)</f>
        <v>0</v>
      </c>
      <c r="F45" s="20" t="n">
        <f aca="false">$B$11*(F38-E38)</f>
        <v>0</v>
      </c>
      <c r="G45" s="20" t="n">
        <f aca="false">$B$11*(G38-F38)</f>
        <v>0</v>
      </c>
      <c r="H45" s="20" t="n">
        <f aca="false">$B$11*(H38-G38)</f>
        <v>0</v>
      </c>
      <c r="I45" s="20" t="n">
        <f aca="false">$B$11*(I38-H38)</f>
        <v>0</v>
      </c>
      <c r="J45" s="20" t="n">
        <f aca="false">$B$11*(J38-I38)</f>
        <v>0</v>
      </c>
      <c r="K45" s="20" t="n">
        <f aca="false">$B$11*(K38-J38)</f>
        <v>0</v>
      </c>
      <c r="L45" s="20" t="n">
        <f aca="false">$B$11*(L38-K38)</f>
        <v>0</v>
      </c>
    </row>
    <row r="46" customFormat="false" ht="15" hidden="false" customHeight="false" outlineLevel="0" collapsed="false">
      <c r="A46" s="0" t="s">
        <v>73</v>
      </c>
      <c r="B46" s="20" t="n">
        <f aca="false">B42-B44-B45</f>
        <v>4.07628</v>
      </c>
      <c r="C46" s="20" t="n">
        <f aca="false">C42-C44-C45</f>
        <v>4.53132</v>
      </c>
      <c r="D46" s="20" t="n">
        <f aca="false">D42-D44-D45</f>
        <v>5.26836</v>
      </c>
      <c r="E46" s="20" t="n">
        <f aca="false">E42-E44-E45</f>
        <v>6.09824</v>
      </c>
      <c r="F46" s="20" t="n">
        <f aca="false">F42-F44-F45</f>
        <v>6.69812</v>
      </c>
      <c r="G46" s="20" t="n">
        <f aca="false">G42-G44-G45</f>
        <v>6.92593064188235</v>
      </c>
      <c r="H46" s="20" t="n">
        <f aca="false">H42-H44-H45</f>
        <v>7.11077533100487</v>
      </c>
      <c r="I46" s="20" t="n">
        <f aca="false">I42-I44-I45</f>
        <v>7.24848176804614</v>
      </c>
      <c r="J46" s="20" t="n">
        <f aca="false">J42-J44-J45</f>
        <v>7.33577088284927</v>
      </c>
      <c r="K46" s="20" t="n">
        <f aca="false">K42-K44-K45</f>
        <v>7.37038341473831</v>
      </c>
      <c r="L46" s="20" t="n">
        <f aca="false">L42-L44-L45</f>
        <v>7.48093916595939</v>
      </c>
    </row>
    <row r="47" customFormat="false" ht="15" hidden="false" customHeight="false" outlineLevel="0" collapsed="false">
      <c r="A47" s="0" t="s">
        <v>74</v>
      </c>
      <c r="B47" s="23" t="n">
        <f aca="false">1/(1+$B$10)^B$16</f>
        <v>0.964485644340824</v>
      </c>
      <c r="C47" s="23" t="n">
        <f aca="false">1/(1+$B$10)^C$16</f>
        <v>0.897195948224023</v>
      </c>
      <c r="D47" s="23" t="n">
        <f aca="false">1/(1+$B$10)^D$16</f>
        <v>0.834600882068858</v>
      </c>
      <c r="E47" s="23" t="n">
        <f aca="false">1/(1+$B$10)^E$16</f>
        <v>0.776372913552426</v>
      </c>
      <c r="F47" s="23" t="n">
        <f aca="false">1/(1+$B$10)^F$16</f>
        <v>0.722207361444118</v>
      </c>
      <c r="G47" s="23" t="n">
        <f aca="false">1/(1+$B$10)^G$16</f>
        <v>0.671820801343365</v>
      </c>
      <c r="H47" s="23" t="n">
        <f aca="false">1/(1+$B$10)^H$16</f>
        <v>0.624949582644991</v>
      </c>
      <c r="I47" s="23" t="n">
        <f aca="false">1/(1+$B$10)^I$16</f>
        <v>0.581348448972085</v>
      </c>
      <c r="J47" s="23" t="n">
        <f aca="false">1/(1+$B$10)^J$16</f>
        <v>0.540789254857753</v>
      </c>
      <c r="K47" s="23" t="n">
        <f aca="false">1/(1+$B$10)^K$16</f>
        <v>0.503059771960701</v>
      </c>
    </row>
    <row r="48" customFormat="false" ht="15" hidden="false" customHeight="false" outlineLevel="0" collapsed="false">
      <c r="A48" s="0" t="s">
        <v>75</v>
      </c>
      <c r="B48" s="20" t="n">
        <f aca="false">B46*B47</f>
        <v>3.93151354231362</v>
      </c>
      <c r="C48" s="20" t="n">
        <f aca="false">C46*C47</f>
        <v>4.06548194410648</v>
      </c>
      <c r="D48" s="20" t="n">
        <f aca="false">D46*D47</f>
        <v>4.39697790305629</v>
      </c>
      <c r="E48" s="20" t="n">
        <f aca="false">E46*E47</f>
        <v>4.73450835634195</v>
      </c>
      <c r="F48" s="20" t="n">
        <f aca="false">F46*F47</f>
        <v>4.83743157183607</v>
      </c>
      <c r="G48" s="20" t="n">
        <f aca="false">G46*G47</f>
        <v>4.65298427387797</v>
      </c>
      <c r="H48" s="20" t="n">
        <f aca="false">H46*H47</f>
        <v>4.44387607539379</v>
      </c>
      <c r="I48" s="20" t="n">
        <f aca="false">I46*I47</f>
        <v>4.21389363325606</v>
      </c>
      <c r="J48" s="20" t="n">
        <f aca="false">J46*J47</f>
        <v>3.96710606954326</v>
      </c>
      <c r="K48" s="20" t="n">
        <f aca="false">K46*K47</f>
        <v>3.70774339988118</v>
      </c>
      <c r="L48" s="20"/>
    </row>
    <row r="49" customFormat="false" ht="15" hidden="false" customHeight="false" outlineLevel="0" collapsed="false">
      <c r="A49" s="0" t="s">
        <v>76</v>
      </c>
      <c r="B49" s="20" t="n">
        <f aca="false">L46/($B$10-L39)</f>
        <v>124.682319432656</v>
      </c>
      <c r="C49" s="0" t="str">
        <f aca="false">IF($B$10&gt;L39,"","Discount rate must exceed terminal growth")</f>
        <v/>
      </c>
    </row>
    <row r="50" customFormat="false" ht="15" hidden="false" customHeight="false" outlineLevel="0" collapsed="false">
      <c r="A50" s="0" t="s">
        <v>77</v>
      </c>
      <c r="B50" s="20" t="n">
        <f aca="false">B49/(1+$B$10)^$K$16</f>
        <v>62.7226591813234</v>
      </c>
    </row>
    <row r="51" customFormat="false" ht="15" hidden="false" customHeight="false" outlineLevel="0" collapsed="false">
      <c r="A51" s="0" t="s">
        <v>78</v>
      </c>
      <c r="B51" s="20" t="n">
        <f aca="false">SUM(B48:K48)+B50+$B$7+$B$8</f>
        <v>63.0041759509301</v>
      </c>
    </row>
    <row r="52" customFormat="false" ht="15" hidden="false" customHeight="false" outlineLevel="0" collapsed="false">
      <c r="A52" s="0" t="s">
        <v>79</v>
      </c>
      <c r="B52" s="24" t="n">
        <f aca="false">B51/$B$6</f>
        <v>305.060649546943</v>
      </c>
    </row>
    <row r="53" customFormat="false" ht="15" hidden="false" customHeight="false" outlineLevel="0" collapsed="false">
      <c r="A53" s="0" t="s">
        <v>80</v>
      </c>
      <c r="B53" s="6" t="n">
        <f aca="false">B52/$B$4-1</f>
        <v>0.0250521649399122</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24</v>
      </c>
      <c r="C56" s="12" t="n">
        <v>26</v>
      </c>
      <c r="D56" s="12" t="n">
        <v>28</v>
      </c>
      <c r="E56" s="12" t="n">
        <v>30</v>
      </c>
      <c r="F56" s="12" t="n">
        <v>32</v>
      </c>
      <c r="G56" s="20" t="n">
        <f aca="false">F56*(1+$F57+($L57-$F57)*G$17/5)</f>
        <v>33.8346666666667</v>
      </c>
      <c r="H56" s="20" t="n">
        <f aca="false">G56*(1+$F57+($L57-$F57)*H$17/5)</f>
        <v>35.4587306666667</v>
      </c>
      <c r="I56" s="20" t="n">
        <f aca="false">H56*(1+$F57+($L57-$F57)*I$17/5)</f>
        <v>36.8298015857778</v>
      </c>
      <c r="J56" s="20" t="n">
        <f aca="false">I56*(1+$F57+($L57-$F57)*J$17/5)</f>
        <v>37.9101424322939</v>
      </c>
      <c r="K56" s="20" t="n">
        <f aca="false">J56*(1+$F57+($L57-$F57)*K$17/5)</f>
        <v>38.6683452809398</v>
      </c>
      <c r="L56" s="20" t="n">
        <f aca="false">K56*(1+L57)</f>
        <v>39.4417121865586</v>
      </c>
    </row>
    <row r="57" customFormat="false" ht="15" hidden="false" customHeight="false" outlineLevel="0" collapsed="false">
      <c r="A57" s="0" t="s">
        <v>66</v>
      </c>
      <c r="B57" s="6" t="n">
        <f aca="false">B56/$B$12-1</f>
        <v>0.0619469026548671</v>
      </c>
      <c r="C57" s="6" t="n">
        <f aca="false">C56/B56-1</f>
        <v>0.0833333333333333</v>
      </c>
      <c r="D57" s="6" t="n">
        <f aca="false">D56/C56-1</f>
        <v>0.0769230769230769</v>
      </c>
      <c r="E57" s="6" t="n">
        <f aca="false">E56/D56-1</f>
        <v>0.0714285714285714</v>
      </c>
      <c r="F57" s="6" t="n">
        <f aca="false">F56/E56-1</f>
        <v>0.0666666666666667</v>
      </c>
      <c r="G57" s="6" t="n">
        <f aca="false">G56/F56-1</f>
        <v>0.0573333333333332</v>
      </c>
      <c r="H57" s="6" t="n">
        <f aca="false">H56/G56-1</f>
        <v>0.048</v>
      </c>
      <c r="I57" s="6" t="n">
        <f aca="false">I56/H56-1</f>
        <v>0.0386666666666666</v>
      </c>
      <c r="J57" s="6" t="n">
        <f aca="false">J56/I56-1</f>
        <v>0.0293333333333334</v>
      </c>
      <c r="K57" s="6" t="n">
        <f aca="false">K56/J56-1</f>
        <v>0.02</v>
      </c>
      <c r="L57" s="21" t="n">
        <v>0.02</v>
      </c>
    </row>
    <row r="58" customFormat="false" ht="15" hidden="false" customHeight="false" outlineLevel="0" collapsed="false">
      <c r="A58" s="0" t="s">
        <v>67</v>
      </c>
      <c r="B58" s="22" t="n">
        <v>0.32</v>
      </c>
      <c r="C58" s="22" t="n">
        <v>0.32</v>
      </c>
      <c r="D58" s="22" t="n">
        <v>0.33</v>
      </c>
      <c r="E58" s="22" t="n">
        <v>0.33</v>
      </c>
      <c r="F58" s="22" t="n">
        <v>0.33</v>
      </c>
      <c r="G58" s="6" t="n">
        <f aca="false">$F58+($L58-$F58)*G$17/5</f>
        <v>0.326</v>
      </c>
      <c r="H58" s="6" t="n">
        <f aca="false">$F58+($L58-$F58)*H$17/5</f>
        <v>0.322</v>
      </c>
      <c r="I58" s="6" t="n">
        <f aca="false">$F58+($L58-$F58)*I$17/5</f>
        <v>0.318</v>
      </c>
      <c r="J58" s="6" t="n">
        <f aca="false">$F58+($L58-$F58)*J$17/5</f>
        <v>0.314</v>
      </c>
      <c r="K58" s="6" t="n">
        <f aca="false">$F58+($L58-$F58)*K$17/5</f>
        <v>0.31</v>
      </c>
      <c r="L58" s="21" t="n">
        <v>0.31</v>
      </c>
    </row>
    <row r="59" customFormat="false" ht="15" hidden="false" customHeight="false" outlineLevel="0" collapsed="false">
      <c r="A59" s="0" t="s">
        <v>68</v>
      </c>
      <c r="B59" s="20" t="n">
        <f aca="false">B56*B58</f>
        <v>7.68</v>
      </c>
      <c r="C59" s="20" t="n">
        <f aca="false">C56*C58</f>
        <v>8.32</v>
      </c>
      <c r="D59" s="20" t="n">
        <f aca="false">D56*D58</f>
        <v>9.24</v>
      </c>
      <c r="E59" s="20" t="n">
        <f aca="false">E56*E58</f>
        <v>9.9</v>
      </c>
      <c r="F59" s="20" t="n">
        <f aca="false">F56*F58</f>
        <v>10.56</v>
      </c>
      <c r="G59" s="20" t="n">
        <f aca="false">G56*G58</f>
        <v>11.0301013333333</v>
      </c>
      <c r="H59" s="20" t="n">
        <f aca="false">H56*H58</f>
        <v>11.4177112746667</v>
      </c>
      <c r="I59" s="20" t="n">
        <f aca="false">I56*I58</f>
        <v>11.7118769042773</v>
      </c>
      <c r="J59" s="20" t="n">
        <f aca="false">J56*J58</f>
        <v>11.9037847237403</v>
      </c>
      <c r="K59" s="20" t="n">
        <f aca="false">K56*K58</f>
        <v>11.9871870370913</v>
      </c>
      <c r="L59" s="20" t="n">
        <f aca="false">L56*L58</f>
        <v>12.2269307778332</v>
      </c>
    </row>
    <row r="60" customFormat="false" ht="15" hidden="false" customHeight="false" outlineLevel="0" collapsed="false">
      <c r="A60" s="0" t="s">
        <v>69</v>
      </c>
      <c r="B60" s="20" t="n">
        <f aca="false">B59*(1-$B$9)</f>
        <v>6.2976</v>
      </c>
      <c r="C60" s="20" t="n">
        <f aca="false">C59*(1-$B$9)</f>
        <v>6.8224</v>
      </c>
      <c r="D60" s="20" t="n">
        <f aca="false">D59*(1-$B$9)</f>
        <v>7.5768</v>
      </c>
      <c r="E60" s="20" t="n">
        <f aca="false">E59*(1-$B$9)</f>
        <v>8.118</v>
      </c>
      <c r="F60" s="20" t="n">
        <f aca="false">F59*(1-$B$9)</f>
        <v>8.6592</v>
      </c>
      <c r="G60" s="20" t="n">
        <f aca="false">G59*(1-$B$9)</f>
        <v>9.04468309333333</v>
      </c>
      <c r="H60" s="20" t="n">
        <f aca="false">H59*(1-$B$9)</f>
        <v>9.36252324522667</v>
      </c>
      <c r="I60" s="20" t="n">
        <f aca="false">I59*(1-$B$9)</f>
        <v>9.60373906150742</v>
      </c>
      <c r="J60" s="20" t="n">
        <f aca="false">J59*(1-$B$9)</f>
        <v>9.76110347346704</v>
      </c>
      <c r="K60" s="20" t="n">
        <f aca="false">K59*(1-$B$9)</f>
        <v>9.8294933704149</v>
      </c>
      <c r="L60" s="20" t="n">
        <f aca="false">L59*(1-$B$9)</f>
        <v>10.0260832378232</v>
      </c>
    </row>
    <row r="61" customFormat="false" ht="15" hidden="false" customHeight="false" outlineLevel="0" collapsed="false">
      <c r="A61" s="0" t="s">
        <v>70</v>
      </c>
      <c r="B61" s="22" t="n">
        <v>0.09</v>
      </c>
      <c r="C61" s="22" t="n">
        <v>0.08</v>
      </c>
      <c r="D61" s="22" t="n">
        <v>0.06</v>
      </c>
      <c r="E61" s="22" t="n">
        <v>0.04</v>
      </c>
      <c r="F61" s="22" t="n">
        <v>0.03</v>
      </c>
      <c r="G61" s="6" t="n">
        <f aca="false">$F61+($L61-$F61)*G$17/5</f>
        <v>0.028</v>
      </c>
      <c r="H61" s="6" t="n">
        <f aca="false">$F61+($L61-$F61)*H$17/5</f>
        <v>0.026</v>
      </c>
      <c r="I61" s="6" t="n">
        <f aca="false">$F61+($L61-$F61)*I$17/5</f>
        <v>0.024</v>
      </c>
      <c r="J61" s="6" t="n">
        <f aca="false">$F61+($L61-$F61)*J$17/5</f>
        <v>0.022</v>
      </c>
      <c r="K61" s="6" t="n">
        <f aca="false">$F61+($L61-$F61)*K$17/5</f>
        <v>0.02</v>
      </c>
      <c r="L61" s="21" t="n">
        <v>0.02</v>
      </c>
    </row>
    <row r="62" customFormat="false" ht="15" hidden="false" customHeight="false" outlineLevel="0" collapsed="false">
      <c r="A62" s="0" t="s">
        <v>71</v>
      </c>
      <c r="B62" s="20" t="n">
        <f aca="false">B56*B61</f>
        <v>2.16</v>
      </c>
      <c r="C62" s="20" t="n">
        <f aca="false">C56*C61</f>
        <v>2.08</v>
      </c>
      <c r="D62" s="20" t="n">
        <f aca="false">D56*D61</f>
        <v>1.68</v>
      </c>
      <c r="E62" s="20" t="n">
        <f aca="false">E56*E61</f>
        <v>1.2</v>
      </c>
      <c r="F62" s="20" t="n">
        <f aca="false">F56*F61</f>
        <v>0.96</v>
      </c>
      <c r="G62" s="20" t="n">
        <f aca="false">G56*G61</f>
        <v>0.947370666666667</v>
      </c>
      <c r="H62" s="20" t="n">
        <f aca="false">H56*H61</f>
        <v>0.921926997333333</v>
      </c>
      <c r="I62" s="20" t="n">
        <f aca="false">I56*I61</f>
        <v>0.883915238058667</v>
      </c>
      <c r="J62" s="20" t="n">
        <f aca="false">J56*J61</f>
        <v>0.834023133510466</v>
      </c>
      <c r="K62" s="20" t="n">
        <f aca="false">K56*K61</f>
        <v>0.773366905618796</v>
      </c>
      <c r="L62" s="20" t="n">
        <f aca="false">L56*L61</f>
        <v>0.788834243731172</v>
      </c>
    </row>
    <row r="63" customFormat="false" ht="15" hidden="false" customHeight="false" outlineLevel="0" collapsed="false">
      <c r="A63" s="0" t="s">
        <v>72</v>
      </c>
      <c r="B63" s="20" t="n">
        <f aca="false">$B$11*(B56-$B$12)</f>
        <v>0</v>
      </c>
      <c r="C63" s="20" t="n">
        <f aca="false">$B$11*(C56-B56)</f>
        <v>0</v>
      </c>
      <c r="D63" s="20" t="n">
        <f aca="false">$B$11*(D56-C56)</f>
        <v>0</v>
      </c>
      <c r="E63" s="20" t="n">
        <f aca="false">$B$11*(E56-D56)</f>
        <v>0</v>
      </c>
      <c r="F63" s="20" t="n">
        <f aca="false">$B$11*(F56-E56)</f>
        <v>0</v>
      </c>
      <c r="G63" s="20" t="n">
        <f aca="false">$B$11*(G56-F56)</f>
        <v>0</v>
      </c>
      <c r="H63" s="20" t="n">
        <f aca="false">$B$11*(H56-G56)</f>
        <v>0</v>
      </c>
      <c r="I63" s="20" t="n">
        <f aca="false">$B$11*(I56-H56)</f>
        <v>0</v>
      </c>
      <c r="J63" s="20" t="n">
        <f aca="false">$B$11*(J56-I56)</f>
        <v>0</v>
      </c>
      <c r="K63" s="20" t="n">
        <f aca="false">$B$11*(K56-J56)</f>
        <v>0</v>
      </c>
      <c r="L63" s="20" t="n">
        <f aca="false">$B$11*(L56-K56)</f>
        <v>0</v>
      </c>
    </row>
    <row r="64" customFormat="false" ht="15" hidden="false" customHeight="false" outlineLevel="0" collapsed="false">
      <c r="A64" s="0" t="s">
        <v>73</v>
      </c>
      <c r="B64" s="20" t="n">
        <f aca="false">B60-B62-B63</f>
        <v>4.1376</v>
      </c>
      <c r="C64" s="20" t="n">
        <f aca="false">C60-C62-C63</f>
        <v>4.7424</v>
      </c>
      <c r="D64" s="20" t="n">
        <f aca="false">D60-D62-D63</f>
        <v>5.8968</v>
      </c>
      <c r="E64" s="20" t="n">
        <f aca="false">E60-E62-E63</f>
        <v>6.918</v>
      </c>
      <c r="F64" s="20" t="n">
        <f aca="false">F60-F62-F63</f>
        <v>7.6992</v>
      </c>
      <c r="G64" s="20" t="n">
        <f aca="false">G60-G62-G63</f>
        <v>8.09731242666667</v>
      </c>
      <c r="H64" s="20" t="n">
        <f aca="false">H60-H62-H63</f>
        <v>8.44059624789333</v>
      </c>
      <c r="I64" s="20" t="n">
        <f aca="false">I60-I62-I63</f>
        <v>8.71982382344875</v>
      </c>
      <c r="J64" s="20" t="n">
        <f aca="false">J60-J62-J63</f>
        <v>8.92708033995658</v>
      </c>
      <c r="K64" s="20" t="n">
        <f aca="false">K60-K62-K63</f>
        <v>9.05612646479611</v>
      </c>
      <c r="L64" s="20" t="n">
        <f aca="false">L60-L62-L63</f>
        <v>9.23724899409203</v>
      </c>
    </row>
    <row r="65" customFormat="false" ht="15" hidden="false" customHeight="false" outlineLevel="0" collapsed="false">
      <c r="A65" s="0" t="s">
        <v>74</v>
      </c>
      <c r="B65" s="23" t="n">
        <f aca="false">1/(1+$B$10)^B$16</f>
        <v>0.964485644340824</v>
      </c>
      <c r="C65" s="23" t="n">
        <f aca="false">1/(1+$B$10)^C$16</f>
        <v>0.897195948224023</v>
      </c>
      <c r="D65" s="23" t="n">
        <f aca="false">1/(1+$B$10)^D$16</f>
        <v>0.834600882068858</v>
      </c>
      <c r="E65" s="23" t="n">
        <f aca="false">1/(1+$B$10)^E$16</f>
        <v>0.776372913552426</v>
      </c>
      <c r="F65" s="23" t="n">
        <f aca="false">1/(1+$B$10)^F$16</f>
        <v>0.722207361444118</v>
      </c>
      <c r="G65" s="23" t="n">
        <f aca="false">1/(1+$B$10)^G$16</f>
        <v>0.671820801343365</v>
      </c>
      <c r="H65" s="23" t="n">
        <f aca="false">1/(1+$B$10)^H$16</f>
        <v>0.624949582644991</v>
      </c>
      <c r="I65" s="23" t="n">
        <f aca="false">1/(1+$B$10)^I$16</f>
        <v>0.581348448972085</v>
      </c>
      <c r="J65" s="23" t="n">
        <f aca="false">1/(1+$B$10)^J$16</f>
        <v>0.540789254857753</v>
      </c>
      <c r="K65" s="23" t="n">
        <f aca="false">1/(1+$B$10)^K$16</f>
        <v>0.503059771960701</v>
      </c>
    </row>
    <row r="66" customFormat="false" ht="15" hidden="false" customHeight="false" outlineLevel="0" collapsed="false">
      <c r="A66" s="0" t="s">
        <v>75</v>
      </c>
      <c r="B66" s="20" t="n">
        <f aca="false">B64*B65</f>
        <v>3.99065580202459</v>
      </c>
      <c r="C66" s="20" t="n">
        <f aca="false">C64*C65</f>
        <v>4.25486206485761</v>
      </c>
      <c r="D66" s="20" t="n">
        <f aca="false">D64*D65</f>
        <v>4.92147448138364</v>
      </c>
      <c r="E66" s="20" t="n">
        <f aca="false">E64*E65</f>
        <v>5.37094781595569</v>
      </c>
      <c r="F66" s="20" t="n">
        <f aca="false">F64*F65</f>
        <v>5.56041891723055</v>
      </c>
      <c r="G66" s="20" t="n">
        <f aca="false">G64*G65</f>
        <v>5.43994292321079</v>
      </c>
      <c r="H66" s="20" t="n">
        <f aca="false">H64*H65</f>
        <v>5.27494710239581</v>
      </c>
      <c r="I66" s="20" t="n">
        <f aca="false">I64*I65</f>
        <v>5.06925605507176</v>
      </c>
      <c r="J66" s="20" t="n">
        <f aca="false">J64*J65</f>
        <v>4.82766912510041</v>
      </c>
      <c r="K66" s="20" t="n">
        <f aca="false">K64*K65</f>
        <v>4.55577291422759</v>
      </c>
      <c r="L66" s="20"/>
    </row>
    <row r="67" customFormat="false" ht="15" hidden="false" customHeight="false" outlineLevel="0" collapsed="false">
      <c r="A67" s="0" t="s">
        <v>76</v>
      </c>
      <c r="B67" s="20" t="n">
        <f aca="false">L64/($B$10-L57)</f>
        <v>167.949981710764</v>
      </c>
      <c r="C67" s="0" t="str">
        <f aca="false">IF($B$10&gt;L57,"","Discount rate must exceed terminal growth")</f>
        <v/>
      </c>
    </row>
    <row r="68" customFormat="false" ht="15" hidden="false" customHeight="false" outlineLevel="0" collapsed="false">
      <c r="A68" s="0" t="s">
        <v>77</v>
      </c>
      <c r="B68" s="20" t="n">
        <f aca="false">B67/(1+$B$10)^$K$16</f>
        <v>84.4888795002209</v>
      </c>
    </row>
    <row r="69" customFormat="false" ht="15" hidden="false" customHeight="false" outlineLevel="0" collapsed="false">
      <c r="A69" s="0" t="s">
        <v>78</v>
      </c>
      <c r="B69" s="20" t="n">
        <f aca="false">SUM(B66:K66)+B68+$B$7+$B$8</f>
        <v>91.0848267016793</v>
      </c>
    </row>
    <row r="70" customFormat="false" ht="15" hidden="false" customHeight="false" outlineLevel="0" collapsed="false">
      <c r="A70" s="0" t="s">
        <v>79</v>
      </c>
      <c r="B70" s="24" t="n">
        <f aca="false">B69/$B$6</f>
        <v>441.024677778915</v>
      </c>
    </row>
    <row r="71" customFormat="false" ht="15" hidden="false" customHeight="false" outlineLevel="0" collapsed="false">
      <c r="A71" s="0" t="s">
        <v>80</v>
      </c>
      <c r="B71" s="6" t="n">
        <f aca="false">B70/$B$4-1</f>
        <v>0.481912863624317</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135.17044339531</v>
      </c>
      <c r="C75" s="6" t="n">
        <f aca="false">B75/$B$4-1</f>
        <v>-0.545805872228927</v>
      </c>
    </row>
    <row r="76" customFormat="false" ht="15" hidden="false" customHeight="false" outlineLevel="0" collapsed="false">
      <c r="A76" s="0" t="s">
        <v>86</v>
      </c>
      <c r="B76" s="7" t="n">
        <f aca="false">B52</f>
        <v>305.060649546943</v>
      </c>
      <c r="C76" s="6" t="n">
        <f aca="false">B76/$B$4-1</f>
        <v>0.0250521649399122</v>
      </c>
    </row>
    <row r="77" customFormat="false" ht="15" hidden="false" customHeight="false" outlineLevel="0" collapsed="false">
      <c r="A77" s="0" t="s">
        <v>87</v>
      </c>
      <c r="B77" s="7" t="n">
        <f aca="false">B70</f>
        <v>441.024677778915</v>
      </c>
      <c r="C77" s="6" t="n">
        <f aca="false">B77/$B$4-1</f>
        <v>0.481912863624317</v>
      </c>
    </row>
    <row r="78" customFormat="false" ht="15" hidden="false" customHeight="false" outlineLevel="0" collapsed="false">
      <c r="A78" s="0" t="s">
        <v>88</v>
      </c>
      <c r="B78" s="7" t="n">
        <f aca="false">INDEX(B34:B70,1+($B$13-1)*18)</f>
        <v>305.060649546943</v>
      </c>
      <c r="C78" s="6" t="n">
        <f aca="false">B78/$B$4-1</f>
        <v>0.0250521649399122</v>
      </c>
    </row>
    <row r="79" customFormat="false" ht="15" hidden="false" customHeight="false" outlineLevel="0" collapsed="false">
      <c r="A79" s="0" t="s">
        <v>89</v>
      </c>
      <c r="B79" s="25" t="n">
        <f aca="false">B50/(SUM(B48:K48)+B50)</f>
        <v>0.593547653595603</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678.564795340189</v>
      </c>
      <c r="C83" s="7" t="n">
        <f aca="false">IF(C82&gt;$L39,(SUMPRODUCT($B46:$K46/(1+C82)^$B$16:$K$16)+$L46/(C82-$L39)/(1+C82)^$K$16+$B$7+$B$8)/$B$6,"n/a")</f>
        <v>479.257586455029</v>
      </c>
      <c r="D83" s="7" t="n">
        <f aca="false">IF(D82&gt;$L39,(SUMPRODUCT($B46:$K46/(1+D82)^$B$16:$K$16)+$L46/(D82-$L39)/(1+D82)^$K$16+$B$7+$B$8)/$B$6,"n/a")</f>
        <v>352.541019348523</v>
      </c>
      <c r="E83" s="7" t="n">
        <f aca="false">IF(E82&gt;$L39,(SUMPRODUCT($B46:$K46/(1+E82)^$B$16:$K$16)+$L46/(E82-$L39)/(1+E82)^$K$16+$B$7+$B$8)/$B$6,"n/a")</f>
        <v>264.907928570543</v>
      </c>
      <c r="F83" s="7" t="n">
        <f aca="false">IF(F82&gt;$L39,(SUMPRODUCT($B46:$K46/(1+F82)^$B$16:$K$16)+$L46/(F82-$L39)/(1+F82)^$K$16+$B$7+$B$8)/$B$6,"n/a")</f>
        <v>200.721745461392</v>
      </c>
      <c r="G83" s="7" t="n">
        <f aca="false">IF(G82&gt;$L39,(SUMPRODUCT($B46:$K46/(1+G82)^$B$16:$K$16)+$L46/(G82-$L39)/(1+G82)^$K$16+$B$7+$B$8)/$B$6,"n/a")</f>
        <v>151.70438330211</v>
      </c>
      <c r="H83" s="7" t="n">
        <f aca="false">IF(H82&gt;$L39,(SUMPRODUCT($B46:$K46/(1+H82)^$B$16:$K$16)+$L46/(H82-$L39)/(1+H82)^$K$16+$B$7+$B$8)/$B$6,"n/a")</f>
        <v>113.063352117941</v>
      </c>
      <c r="I83" s="7" t="n">
        <f aca="false">IF(I82&gt;$L39,(SUMPRODUCT($B46:$K46/(1+I82)^$B$16:$K$16)+$L46/(I82-$L39)/(1+I82)^$K$16+$B$7+$B$8)/$B$6,"n/a")</f>
        <v>81.8319501680315</v>
      </c>
      <c r="J83" s="7" t="n">
        <f aca="false">IF(J82&gt;$L39,(SUMPRODUCT($B46:$K46/(1+J82)^$B$16:$K$16)+$L46/(J82-$L39)/(1+J82)^$K$16+$B$7+$B$8)/$B$6,"n/a")</f>
        <v>56.0754420679196</v>
      </c>
      <c r="K83" s="7" t="n">
        <f aca="false">IF(K82&gt;$L39,(SUMPRODUCT($B46:$K46/(1+K82)^$B$16:$K$16)+$L46/(K82-$L39)/(1+K82)^$K$16+$B$7+$B$8)/$B$6,"n/a")</f>
        <v>34.4782711100344</v>
      </c>
    </row>
    <row r="84" customFormat="false" ht="15" hidden="false" customHeight="false" outlineLevel="0" collapsed="false">
      <c r="A84" s="0" t="s">
        <v>91</v>
      </c>
      <c r="B84" s="6" t="n">
        <f aca="false">IFERROR(B83/$B$4-1,"n/a")</f>
        <v>1.28008533237072</v>
      </c>
      <c r="C84" s="6" t="n">
        <f aca="false">IFERROR(C83/$B$4-1,"n/a")</f>
        <v>0.610381500495722</v>
      </c>
      <c r="D84" s="6" t="n">
        <f aca="false">IFERROR(D83/$B$4-1,"n/a")</f>
        <v>0.184593737835461</v>
      </c>
      <c r="E84" s="6" t="n">
        <f aca="false">IFERROR(E83/$B$4-1,"n/a")</f>
        <v>-0.109867345741694</v>
      </c>
      <c r="F84" s="6" t="n">
        <f aca="false">IFERROR(F83/$B$4-1,"n/a")</f>
        <v>-0.325543100884084</v>
      </c>
      <c r="G84" s="6" t="n">
        <f aca="false">IFERROR(G83/$B$4-1,"n/a")</f>
        <v>-0.490249211867711</v>
      </c>
      <c r="H84" s="6" t="n">
        <f aca="false">IFERROR(H83/$B$4-1,"n/a")</f>
        <v>-0.620089205094199</v>
      </c>
      <c r="I84" s="6" t="n">
        <f aca="false">IFERROR(I83/$B$4-1,"n/a")</f>
        <v>-0.725031668930188</v>
      </c>
      <c r="J84" s="6" t="n">
        <f aca="false">IFERROR(J83/$B$4-1,"n/a")</f>
        <v>-0.811577621115507</v>
      </c>
      <c r="K84" s="6" t="n">
        <f aca="false">IFERROR(K83/$B$4-1,"n/a")</f>
        <v>-0.884147540834212</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0.0762688670296594</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0.06</v>
      </c>
      <c r="C13" s="2" t="s">
        <v>35</v>
      </c>
    </row>
    <row r="14" customFormat="false" ht="15" hidden="false" customHeight="false" outlineLevel="0" collapsed="false">
      <c r="A14" s="0" t="s">
        <v>109</v>
      </c>
      <c r="B14" s="27" t="n">
        <v>0.8</v>
      </c>
      <c r="C14" s="2" t="s">
        <v>110</v>
      </c>
    </row>
    <row r="15" customFormat="false" ht="15" hidden="false" customHeight="false" outlineLevel="0" collapsed="false">
      <c r="A15" s="0" t="s">
        <v>111</v>
      </c>
      <c r="B15" s="28" t="n">
        <f aca="false">0.67*IF(ISNUMBER(B14),B14,B13)+0.33</f>
        <v>0.866</v>
      </c>
      <c r="C15" s="2" t="s">
        <v>112</v>
      </c>
    </row>
    <row r="16" customFormat="false" ht="15" hidden="false" customHeight="false" outlineLevel="0" collapsed="false">
      <c r="A16" s="0" t="s">
        <v>113</v>
      </c>
      <c r="B16" s="28" t="n">
        <f aca="false">IF($B$6=1,IF(ISNUMBER(B14),B14,B13),B15)</f>
        <v>0.866</v>
      </c>
      <c r="C16" s="2" t="s">
        <v>114</v>
      </c>
    </row>
    <row r="17" customFormat="false" ht="15" hidden="false" customHeight="false" outlineLevel="0" collapsed="false">
      <c r="A17" s="0" t="s">
        <v>115</v>
      </c>
      <c r="B17" s="25" t="n">
        <f aca="false">$B$7+B16*$B$8</f>
        <v>0.0964</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LNG!B9</f>
        <v>0.18</v>
      </c>
      <c r="C19" s="2" t="s">
        <v>119</v>
      </c>
    </row>
    <row r="20" customFormat="false" ht="15" hidden="false" customHeight="false" outlineLevel="0" collapsed="false">
      <c r="A20" s="0" t="s">
        <v>120</v>
      </c>
      <c r="B20" s="25" t="n">
        <f aca="false">B18*(1-B19)</f>
        <v>0.053382</v>
      </c>
      <c r="C20" s="2"/>
    </row>
    <row r="21" customFormat="false" ht="15" hidden="false" customHeight="false" outlineLevel="0" collapsed="false">
      <c r="A21" s="0" t="s">
        <v>121</v>
      </c>
      <c r="B21" s="29" t="n">
        <f aca="false">LNG!B4*LNG!B6</f>
        <v>61.46436065</v>
      </c>
      <c r="C21" s="2" t="s">
        <v>122</v>
      </c>
    </row>
    <row r="22" customFormat="false" ht="15" hidden="false" customHeight="false" outlineLevel="0" collapsed="false">
      <c r="A22" s="0" t="s">
        <v>123</v>
      </c>
      <c r="B22" s="30" t="n">
        <v>27.97</v>
      </c>
      <c r="C22" s="2" t="s">
        <v>124</v>
      </c>
    </row>
    <row r="23" customFormat="false" ht="15" hidden="false" customHeight="false" outlineLevel="0" collapsed="false">
      <c r="A23" s="0" t="s">
        <v>125</v>
      </c>
      <c r="B23" s="25" t="n">
        <f aca="false">B21/(B21+B22)</f>
        <v>0.687256667384696</v>
      </c>
      <c r="C23" s="2"/>
    </row>
    <row r="24" customFormat="false" ht="15" hidden="false" customHeight="false" outlineLevel="0" collapsed="false">
      <c r="A24" s="0" t="s">
        <v>126</v>
      </c>
      <c r="B24" s="25" t="n">
        <f aca="false">B22/(B21+B22)</f>
        <v>0.312743332615304</v>
      </c>
      <c r="C24" s="2"/>
    </row>
    <row r="25" customFormat="false" ht="15" hidden="false" customHeight="false" outlineLevel="0" collapsed="false">
      <c r="A25" s="0" t="s">
        <v>127</v>
      </c>
      <c r="B25" s="25" t="n">
        <f aca="false">B23*B17+B24*B20</f>
        <v>0.0829464073175549</v>
      </c>
      <c r="C25" s="2" t="s">
        <v>128</v>
      </c>
    </row>
    <row r="26" customFormat="false" ht="15" hidden="false" customHeight="false" outlineLevel="0" collapsed="false">
      <c r="A26" s="0" t="s">
        <v>129</v>
      </c>
      <c r="B26" s="31" t="n">
        <v>0.075</v>
      </c>
      <c r="C26" s="2" t="s">
        <v>130</v>
      </c>
    </row>
    <row r="27" customFormat="false" ht="15" hidden="false" customHeight="false" outlineLevel="0" collapsed="false">
      <c r="A27" s="0" t="s">
        <v>131</v>
      </c>
      <c r="B27" s="26" t="n">
        <f aca="false">IF($B$5=1,B25,B26)</f>
        <v>0.075</v>
      </c>
      <c r="C27" s="2" t="s">
        <v>132</v>
      </c>
    </row>
    <row r="28" customFormat="false" ht="15" hidden="false" customHeight="false" outlineLevel="0" collapsed="false">
      <c r="A28" s="0" t="s">
        <v>133</v>
      </c>
      <c r="B28" s="0" t="str">
        <f aca="false">IF(B27&gt;MAX(LNG!L21,LNG!L39,LNG!L57),"OK","WACC must exceed growth")</f>
        <v>OK</v>
      </c>
      <c r="C28" s="2"/>
    </row>
    <row r="29" customFormat="false" ht="15" hidden="false" customHeight="false" outlineLevel="0" collapsed="false">
      <c r="A29" s="0" t="s">
        <v>134</v>
      </c>
      <c r="B29" s="25" t="n">
        <f aca="false">B27</f>
        <v>0.075</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2026-10-28T13:32:40Z</dcterms:created>
  <dc:creator>openpyxl</dc:creator>
  <dc:description/>
  <dc:language>en-US</dc:language>
  <cp:lastModifiedBy/>
  <dcterms:modified xsi:type="dcterms:W3CDTF">2026-10-28T13:32:40Z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