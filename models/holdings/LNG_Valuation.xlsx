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NG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<sst xmlns="http://schemas.openxmlformats.org/spreadsheetml/2006/main" count="166" uniqueCount="128">
  <si>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Cheniere Energy (LNG):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</si>
  <si>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</si>
  <si>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</si>
  <si>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</si>
  <si>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</si>
  <si>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</si>
  <si>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</si>
  <si>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</si>
  <si>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</si>
  <si>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</si>
  <si>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</si>
  <si>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</si>
  <si>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Cheniere Energy (LNG)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</si>
  <si>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</si>
  <si>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</si>
  <si>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</si>
  <si>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</si>
  <si>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</si>
  <si>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on a cut to cash flow guidance, or if new long-term contracting stalls as the 2027 to 2028 LNG supply wave arrives.</t>
  </si>
  <si>
    <t xml:space="preserve">Cheniere Energy (LNG):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</si>
  <si>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</si>
  <si>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</si>
  <si>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</si>
  <si>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</si>
  <si>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</si>
  <si>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</si>
  <si>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</si>
  <si>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</si>
  <si>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</si>
  <si>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</si>
  <si>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</si>
  <si>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Less public share of CQP: about 51.4% of CQP market cap $30.77B (Stock Analysis, Oct 16, 2026)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</si>
  <si>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</si>
  <si>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</si>
  <si>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</si>
  <si>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</si>
  <si>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</si>
  <si>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</si>
  <si>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</si>
  <si>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$22.6B (Stock Analysis). Revenue swings with gas prices; margin is the lever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</si>
  <si>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</si>
  <si>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</si>
  <si>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</si>
  <si>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</si>
  <si>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</si>
  <si>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</si>
  <si>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</si>
  <si>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</si>
  <si>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</si>
  <si>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</si>
  <si>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</si>
  <si>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</si>
  <si>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</si>
  <si>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</si>
  <si>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</si>
  <si>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</si>
  <si>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LNG glut from 2027, weaker spot margins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</si>
  <si>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</si>
  <si>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</si>
  <si>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</si>
  <si>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</si>
  <si>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</si>
  <si>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</si>
  <si>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</si>
  <si>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</si>
  <si>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</si>
  <si>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</si>
  <si>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</si>
  <si>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</si>
  <si>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</si>
  <si>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</si>
  <si>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</si>
  <si>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</si>
  <si>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expansions come online, contracts hold</t>
  </si>
  <si>
    <t xml:space="preserve">Bull: more trains sanctioned at good returns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</si>
  <si>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</si>
  <si>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</si>
  <si>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</si>
  <si>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</si>
  <si>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</si>
  <si>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</si>
  <si>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</si>
  <si>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</si>
  <si>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</si>
  <si>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</si>
  <si>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</si>
  <si>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</si>
  <si>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</si>
  <si>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</si>
  <si>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</si>
  <si>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</si>
  <si>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</si>
  <si>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</si>
  <si>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</si>
  <si>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</si>
  <si>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</si>
  <si>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</si>
  <si>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</si>
  <si>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LNG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</si>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</sst>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LNG!B4</f>
        <v>297.605</v>
      </c>
      <c r="D5" s="6" t="n">
        <f aca="false">LNG!B10</f>
        <v>0.075</v>
      </c>
      <c r="E5" s="5" t="n">
        <f aca="false">LNG!B75</f>
        <v>135.17044339531</v>
      </c>
      <c r="F5" s="5" t="n">
        <f aca="false">LNG!B76</f>
        <v>305.060649546943</v>
      </c>
      <c r="G5" s="5" t="n">
        <f aca="false">LNG!B77</f>
        <v>441.024677778915</v>
      </c>
      <c r="H5" s="7" t="n">
        <f aca="false">F5/C5-1</f>
        <v>0.0250521649399122</v>
      </c>
      <c r="I5" s="6" t="n">
        <f aca="false">LNG!B86</f>
        <v>0.0762688670296594</v>
      </c>
      <c r="J5" s="8" t="n">
        <f aca="false">IF(F5&lt;10,ROUND(F5*4,0)/4,IF(F5&lt;100,ROUND(F5,0),ROUND(F5/5,0)*5))</f>
        <v>305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305</v>
      </c>
    </row>
    <row r="10" customFormat="false" ht="15" hidden="false" customHeight="true" outlineLevel="0" collapsed="false">
      <c r="A10" s="1" t="s">
        <v>15</v>
      </c>
      <c r="C10" s="8" t="n">
        <v>440</v>
      </c>
    </row>
    <row r="11" customFormat="false" ht="15" hidden="false" customHeight="true" outlineLevel="0" collapsed="false">
      <c r="A11" s="1" t="s">
        <v>16</v>
      </c>
      <c r="C11" s="8" t="n">
        <v>220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297.605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0.20653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-26.85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-15.82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0.18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0.075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22.6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21</v>
      </c>
      <c r="C20" s="13" t="n">
        <v>20.5</v>
      </c>
      <c r="D20" s="13" t="n">
        <v>21.5</v>
      </c>
      <c r="E20" s="13" t="n">
        <v>22.5</v>
      </c>
      <c r="F20" s="13" t="n">
        <v>23.5</v>
      </c>
      <c r="G20" s="20" t="n">
        <f aca="false">F20*(1+$F21+($L21-$F21)*G$17/5)</f>
        <v>24.3590555555556</v>
      </c>
      <c r="H20" s="20" t="n">
        <f aca="false">G20*(1+$F21+($L21-$F21)*H$17/5)</f>
        <v>25.0573484814815</v>
      </c>
      <c r="I20" s="20" t="n">
        <f aca="false">H20*(1+$F21+($L21-$F21)*I$17/5)</f>
        <v>25.57798449993</v>
      </c>
      <c r="J20" s="20" t="n">
        <f aca="false">I20*(1+$F21+($L21-$F21)*J$17/5)</f>
        <v>25.9076563001514</v>
      </c>
      <c r="K20" s="20" t="n">
        <f aca="false">J20*(1+$F21+($L21-$F21)*K$17/5)</f>
        <v>26.0371945816521</v>
      </c>
      <c r="L20" s="20" t="n">
        <f aca="false">K20*(1+L21)</f>
        <v>26.1673805545604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-0.0707964601769913</v>
      </c>
      <c r="C21" s="7" t="n">
        <f aca="false">C20/B20-1</f>
        <v>-0.0238095238095238</v>
      </c>
      <c r="D21" s="7" t="n">
        <f aca="false">D20/C20-1</f>
        <v>0.0487804878048781</v>
      </c>
      <c r="E21" s="7" t="n">
        <f aca="false">E20/D20-1</f>
        <v>0.0465116279069768</v>
      </c>
      <c r="F21" s="7" t="n">
        <f aca="false">F20/E20-1</f>
        <v>0.0444444444444445</v>
      </c>
      <c r="G21" s="7" t="n">
        <f aca="false">G20/F20-1</f>
        <v>0.0365555555555557</v>
      </c>
      <c r="H21" s="7" t="n">
        <f aca="false">H20/G20-1</f>
        <v>0.0286666666666666</v>
      </c>
      <c r="I21" s="7" t="n">
        <f aca="false">I20/H20-1</f>
        <v>0.0207777777777778</v>
      </c>
      <c r="J21" s="7" t="n">
        <f aca="false">J20/I20-1</f>
        <v>0.012888888888889</v>
      </c>
      <c r="K21" s="7" t="n">
        <f aca="false">K20/J20-1</f>
        <v>0.00499999999999989</v>
      </c>
      <c r="L21" s="21" t="n">
        <v>0.005</v>
      </c>
    </row>
    <row r="22" customFormat="false" ht="15" hidden="false" customHeight="true" outlineLevel="0" collapsed="false">
      <c r="A22" s="1" t="s">
        <v>59</v>
      </c>
      <c r="B22" s="22" t="n">
        <v>0.29</v>
      </c>
      <c r="C22" s="22" t="n">
        <v>0.28</v>
      </c>
      <c r="D22" s="22" t="n">
        <v>0.28</v>
      </c>
      <c r="E22" s="22" t="n">
        <v>0.28</v>
      </c>
      <c r="F22" s="22" t="n">
        <v>0.28</v>
      </c>
      <c r="G22" s="7" t="n">
        <f aca="false">$F22+($L22-$F22)*G$17/5</f>
        <v>0.278</v>
      </c>
      <c r="H22" s="7" t="n">
        <f aca="false">$F22+($L22-$F22)*H$17/5</f>
        <v>0.276</v>
      </c>
      <c r="I22" s="7" t="n">
        <f aca="false">$F22+($L22-$F22)*I$17/5</f>
        <v>0.274</v>
      </c>
      <c r="J22" s="7" t="n">
        <f aca="false">$F22+($L22-$F22)*J$17/5</f>
        <v>0.272</v>
      </c>
      <c r="K22" s="7" t="n">
        <f aca="false">$F22+($L22-$F22)*K$17/5</f>
        <v>0.27</v>
      </c>
      <c r="L22" s="21" t="n">
        <v>0.27</v>
      </c>
    </row>
    <row r="23" customFormat="false" ht="15" hidden="false" customHeight="true" outlineLevel="0" collapsed="false">
      <c r="A23" s="1" t="s">
        <v>60</v>
      </c>
      <c r="B23" s="20" t="n">
        <f aca="false">B20*B22</f>
        <v>6.09</v>
      </c>
      <c r="C23" s="20" t="n">
        <f aca="false">C20*C22</f>
        <v>5.74</v>
      </c>
      <c r="D23" s="20" t="n">
        <f aca="false">D20*D22</f>
        <v>6.02</v>
      </c>
      <c r="E23" s="20" t="n">
        <f aca="false">E20*E22</f>
        <v>6.3</v>
      </c>
      <c r="F23" s="20" t="n">
        <f aca="false">F20*F22</f>
        <v>6.58</v>
      </c>
      <c r="G23" s="20" t="n">
        <f aca="false">G20*G22</f>
        <v>6.77181744444445</v>
      </c>
      <c r="H23" s="20" t="n">
        <f aca="false">H20*H22</f>
        <v>6.91582818088889</v>
      </c>
      <c r="I23" s="20" t="n">
        <f aca="false">I20*I22</f>
        <v>7.00836775298083</v>
      </c>
      <c r="J23" s="20" t="n">
        <f aca="false">J20*J22</f>
        <v>7.04688251364117</v>
      </c>
      <c r="K23" s="20" t="n">
        <f aca="false">K20*K22</f>
        <v>7.03004253704607</v>
      </c>
      <c r="L23" s="20" t="n">
        <f aca="false">L20*L22</f>
        <v>7.0651927497313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4.9938</v>
      </c>
      <c r="C24" s="20" t="n">
        <f aca="false">C23*(1-$B$9)</f>
        <v>4.7068</v>
      </c>
      <c r="D24" s="20" t="n">
        <f aca="false">D23*(1-$B$9)</f>
        <v>4.9364</v>
      </c>
      <c r="E24" s="20" t="n">
        <f aca="false">E23*(1-$B$9)</f>
        <v>5.166</v>
      </c>
      <c r="F24" s="20" t="n">
        <f aca="false">F23*(1-$B$9)</f>
        <v>5.3956</v>
      </c>
      <c r="G24" s="20" t="n">
        <f aca="false">G23*(1-$B$9)</f>
        <v>5.55289030444445</v>
      </c>
      <c r="H24" s="20" t="n">
        <f aca="false">H23*(1-$B$9)</f>
        <v>5.67097910832889</v>
      </c>
      <c r="I24" s="20" t="n">
        <f aca="false">I23*(1-$B$9)</f>
        <v>5.74686155744428</v>
      </c>
      <c r="J24" s="20" t="n">
        <f aca="false">J23*(1-$B$9)</f>
        <v>5.77844366118576</v>
      </c>
      <c r="K24" s="20" t="n">
        <f aca="false">K23*(1-$B$9)</f>
        <v>5.76463488037778</v>
      </c>
      <c r="L24" s="20" t="n">
        <f aca="false">L23*(1-$B$9)</f>
        <v>5.79345805477967</v>
      </c>
    </row>
    <row r="25" customFormat="false" ht="15" hidden="false" customHeight="true" outlineLevel="0" collapsed="false">
      <c r="A25" s="1" t="s">
        <v>62</v>
      </c>
      <c r="B25" s="22" t="n">
        <v>0.08</v>
      </c>
      <c r="C25" s="22" t="n">
        <v>0.07</v>
      </c>
      <c r="D25" s="22" t="n">
        <v>0.05</v>
      </c>
      <c r="E25" s="22" t="n">
        <v>0.03</v>
      </c>
      <c r="F25" s="22" t="n">
        <v>0.02</v>
      </c>
      <c r="G25" s="7" t="n">
        <f aca="false">$F25+($L25-$F25)*G$17/5</f>
        <v>0.019</v>
      </c>
      <c r="H25" s="7" t="n">
        <f aca="false">$F25+($L25-$F25)*H$17/5</f>
        <v>0.018</v>
      </c>
      <c r="I25" s="7" t="n">
        <f aca="false">$F25+($L25-$F25)*I$17/5</f>
        <v>0.017</v>
      </c>
      <c r="J25" s="7" t="n">
        <f aca="false">$F25+($L25-$F25)*J$17/5</f>
        <v>0.016</v>
      </c>
      <c r="K25" s="7" t="n">
        <f aca="false">$F25+($L25-$F25)*K$17/5</f>
        <v>0.015</v>
      </c>
      <c r="L25" s="21" t="n">
        <v>0.015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1.68</v>
      </c>
      <c r="C26" s="20" t="n">
        <f aca="false">C20*C25</f>
        <v>1.435</v>
      </c>
      <c r="D26" s="20" t="n">
        <f aca="false">D20*D25</f>
        <v>1.075</v>
      </c>
      <c r="E26" s="20" t="n">
        <f aca="false">E20*E25</f>
        <v>0.675</v>
      </c>
      <c r="F26" s="20" t="n">
        <f aca="false">F20*F25</f>
        <v>0.47</v>
      </c>
      <c r="G26" s="20" t="n">
        <f aca="false">G20*G25</f>
        <v>0.462822055555556</v>
      </c>
      <c r="H26" s="20" t="n">
        <f aca="false">H20*H25</f>
        <v>0.451032272666667</v>
      </c>
      <c r="I26" s="20" t="n">
        <f aca="false">I20*I25</f>
        <v>0.434825736498811</v>
      </c>
      <c r="J26" s="20" t="n">
        <f aca="false">J20*J25</f>
        <v>0.414522500802422</v>
      </c>
      <c r="K26" s="20" t="n">
        <f aca="false">K20*K25</f>
        <v>0.390557918724782</v>
      </c>
      <c r="L26" s="20" t="n">
        <f aca="false">L20*L25</f>
        <v>0.392510708318406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</v>
      </c>
      <c r="C27" s="20" t="n">
        <f aca="false">$B$11*(C20-B20)</f>
        <v>-0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3.3138</v>
      </c>
      <c r="C28" s="20" t="n">
        <f aca="false">C24-C26-C27</f>
        <v>3.2718</v>
      </c>
      <c r="D28" s="20" t="n">
        <f aca="false">D24-D26-D27</f>
        <v>3.8614</v>
      </c>
      <c r="E28" s="20" t="n">
        <f aca="false">E24-E26-E27</f>
        <v>4.491</v>
      </c>
      <c r="F28" s="20" t="n">
        <f aca="false">F24-F26-F27</f>
        <v>4.9256</v>
      </c>
      <c r="G28" s="20" t="n">
        <f aca="false">G24-G26-G27</f>
        <v>5.09006824888889</v>
      </c>
      <c r="H28" s="20" t="n">
        <f aca="false">H24-H26-H27</f>
        <v>5.21994683566222</v>
      </c>
      <c r="I28" s="20" t="n">
        <f aca="false">I24-I26-I27</f>
        <v>5.31203582094547</v>
      </c>
      <c r="J28" s="20" t="n">
        <f aca="false">J24-J26-J27</f>
        <v>5.36392116038334</v>
      </c>
      <c r="K28" s="20" t="n">
        <f aca="false">K24-K26-K27</f>
        <v>5.374076961653</v>
      </c>
      <c r="L28" s="20" t="n">
        <f aca="false">L24-L26-L27</f>
        <v>5.40094734646126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0.964485644340824</v>
      </c>
      <c r="C29" s="23" t="n">
        <f aca="false">1/(1+$B$10)^C$16</f>
        <v>0.897195948224023</v>
      </c>
      <c r="D29" s="23" t="n">
        <f aca="false">1/(1+$B$10)^D$16</f>
        <v>0.834600882068858</v>
      </c>
      <c r="E29" s="23" t="n">
        <f aca="false">1/(1+$B$10)^E$16</f>
        <v>0.776372913552426</v>
      </c>
      <c r="F29" s="23" t="n">
        <f aca="false">1/(1+$B$10)^F$16</f>
        <v>0.722207361444118</v>
      </c>
      <c r="G29" s="23" t="n">
        <f aca="false">1/(1+$B$10)^G$16</f>
        <v>0.671820801343365</v>
      </c>
      <c r="H29" s="23" t="n">
        <f aca="false">1/(1+$B$10)^H$16</f>
        <v>0.624949582644991</v>
      </c>
      <c r="I29" s="23" t="n">
        <f aca="false">1/(1+$B$10)^I$16</f>
        <v>0.581348448972085</v>
      </c>
      <c r="J29" s="23" t="n">
        <f aca="false">1/(1+$B$10)^J$16</f>
        <v>0.540789254857753</v>
      </c>
      <c r="K29" s="23" t="n">
        <f aca="false">1/(1+$B$10)^K$16</f>
        <v>0.503059771960701</v>
      </c>
    </row>
    <row r="30" customFormat="false" ht="15" hidden="false" customHeight="true" outlineLevel="0" collapsed="false">
      <c r="A30" s="1" t="s">
        <v>67</v>
      </c>
      <c r="B30" s="20" t="n">
        <f aca="false">B28*B29</f>
        <v>3.19611252821662</v>
      </c>
      <c r="C30" s="20" t="n">
        <f aca="false">C28*C29</f>
        <v>2.93544570339936</v>
      </c>
      <c r="D30" s="20" t="n">
        <f aca="false">D28*D29</f>
        <v>3.22272784602069</v>
      </c>
      <c r="E30" s="20" t="n">
        <f aca="false">E28*E29</f>
        <v>3.48669075476395</v>
      </c>
      <c r="F30" s="20" t="n">
        <f aca="false">F28*F29</f>
        <v>3.55730457952915</v>
      </c>
      <c r="G30" s="20" t="n">
        <f aca="false">G28*G29</f>
        <v>3.41961372986095</v>
      </c>
      <c r="H30" s="20" t="n">
        <f aca="false">H28*H29</f>
        <v>3.26220359637615</v>
      </c>
      <c r="I30" s="20" t="n">
        <f aca="false">I28*I29</f>
        <v>3.0881437853908</v>
      </c>
      <c r="J30" s="20" t="n">
        <f aca="false">J28*J29</f>
        <v>2.90075092743944</v>
      </c>
      <c r="K30" s="20" t="n">
        <f aca="false">K28*K29</f>
        <v>2.70348193082841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77.1563906637323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38.8142762926079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27.9167516744334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135.17044339531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-0.545805872228927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23.4</v>
      </c>
      <c r="C38" s="13" t="n">
        <v>24.6</v>
      </c>
      <c r="D38" s="13" t="n">
        <v>25.8</v>
      </c>
      <c r="E38" s="13" t="n">
        <v>27.2</v>
      </c>
      <c r="F38" s="13" t="n">
        <v>28.6</v>
      </c>
      <c r="G38" s="20" t="n">
        <f aca="false">F38*(1+$F39+($L39-$F39)*G$17/5)</f>
        <v>29.8634470588235</v>
      </c>
      <c r="H38" s="20" t="n">
        <f aca="false">G38*(1+$F39+($L39-$F39)*H$17/5)</f>
        <v>30.9648812532872</v>
      </c>
      <c r="I38" s="20" t="n">
        <f aca="false">H38*(1+$F39+($L39-$F39)*I$17/5)</f>
        <v>31.8810774456639</v>
      </c>
      <c r="J38" s="20" t="n">
        <f aca="false">I38*(1+$F39+($L39-$F39)*J$17/5)</f>
        <v>32.5918379369525</v>
      </c>
      <c r="K38" s="20" t="n">
        <f aca="false">J38*(1+$F39+($L39-$F39)*K$17/5)</f>
        <v>33.0807155060068</v>
      </c>
      <c r="L38" s="20" t="n">
        <f aca="false">K38*(1+L39)</f>
        <v>33.5769262385969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0.0353982300884954</v>
      </c>
      <c r="C39" s="7" t="n">
        <f aca="false">C38/B38-1</f>
        <v>0.0512820512820513</v>
      </c>
      <c r="D39" s="7" t="n">
        <f aca="false">D38/C38-1</f>
        <v>0.0487804878048781</v>
      </c>
      <c r="E39" s="7" t="n">
        <f aca="false">E38/D38-1</f>
        <v>0.0542635658914727</v>
      </c>
      <c r="F39" s="7" t="n">
        <f aca="false">F38/E38-1</f>
        <v>0.0514705882352942</v>
      </c>
      <c r="G39" s="7" t="n">
        <f aca="false">G38/F38-1</f>
        <v>0.0441764705882353</v>
      </c>
      <c r="H39" s="7" t="n">
        <f aca="false">H38/G38-1</f>
        <v>0.0368823529411766</v>
      </c>
      <c r="I39" s="7" t="n">
        <f aca="false">I38/H38-1</f>
        <v>0.0295882352941177</v>
      </c>
      <c r="J39" s="7" t="n">
        <f aca="false">J38/I38-1</f>
        <v>0.0222941176470588</v>
      </c>
      <c r="K39" s="7" t="n">
        <f aca="false">K38/J38-1</f>
        <v>0.0149999999999999</v>
      </c>
      <c r="L39" s="21" t="n">
        <v>0.015</v>
      </c>
    </row>
    <row r="40" customFormat="false" ht="15" hidden="false" customHeight="true" outlineLevel="0" collapsed="false">
      <c r="A40" s="1" t="s">
        <v>59</v>
      </c>
      <c r="B40" s="22" t="n">
        <v>0.31</v>
      </c>
      <c r="C40" s="22" t="n">
        <v>0.31</v>
      </c>
      <c r="D40" s="22" t="n">
        <v>0.31</v>
      </c>
      <c r="E40" s="22" t="n">
        <v>0.31</v>
      </c>
      <c r="F40" s="22" t="n">
        <v>0.31</v>
      </c>
      <c r="G40" s="7" t="n">
        <f aca="false">$F40+($L40-$F40)*G$17/5</f>
        <v>0.306</v>
      </c>
      <c r="H40" s="7" t="n">
        <f aca="false">$F40+($L40-$F40)*H$17/5</f>
        <v>0.302</v>
      </c>
      <c r="I40" s="7" t="n">
        <f aca="false">$F40+($L40-$F40)*I$17/5</f>
        <v>0.298</v>
      </c>
      <c r="J40" s="7" t="n">
        <f aca="false">$F40+($L40-$F40)*J$17/5</f>
        <v>0.294</v>
      </c>
      <c r="K40" s="7" t="n">
        <f aca="false">$F40+($L40-$F40)*K$17/5</f>
        <v>0.29</v>
      </c>
      <c r="L40" s="21" t="n">
        <v>0.29</v>
      </c>
    </row>
    <row r="41" customFormat="false" ht="15" hidden="false" customHeight="true" outlineLevel="0" collapsed="false">
      <c r="A41" s="1" t="s">
        <v>60</v>
      </c>
      <c r="B41" s="20" t="n">
        <f aca="false">B38*B40</f>
        <v>7.254</v>
      </c>
      <c r="C41" s="20" t="n">
        <f aca="false">C38*C40</f>
        <v>7.626</v>
      </c>
      <c r="D41" s="20" t="n">
        <f aca="false">D38*D40</f>
        <v>7.998</v>
      </c>
      <c r="E41" s="20" t="n">
        <f aca="false">E38*E40</f>
        <v>8.432</v>
      </c>
      <c r="F41" s="20" t="n">
        <f aca="false">F38*F40</f>
        <v>8.866</v>
      </c>
      <c r="G41" s="20" t="n">
        <f aca="false">G38*G40</f>
        <v>9.1382148</v>
      </c>
      <c r="H41" s="20" t="n">
        <f aca="false">H38*H40</f>
        <v>9.35139413849274</v>
      </c>
      <c r="I41" s="20" t="n">
        <f aca="false">I38*I40</f>
        <v>9.50056107880784</v>
      </c>
      <c r="J41" s="20" t="n">
        <f aca="false">J38*J40</f>
        <v>9.58200035346404</v>
      </c>
      <c r="K41" s="20" t="n">
        <f aca="false">K38*K40</f>
        <v>9.59340749674197</v>
      </c>
      <c r="L41" s="20" t="n">
        <f aca="false">L38*L40</f>
        <v>9.7373086091931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5.94828</v>
      </c>
      <c r="C42" s="20" t="n">
        <f aca="false">C41*(1-$B$9)</f>
        <v>6.25332</v>
      </c>
      <c r="D42" s="20" t="n">
        <f aca="false">D41*(1-$B$9)</f>
        <v>6.55836</v>
      </c>
      <c r="E42" s="20" t="n">
        <f aca="false">E41*(1-$B$9)</f>
        <v>6.91424</v>
      </c>
      <c r="F42" s="20" t="n">
        <f aca="false">F41*(1-$B$9)</f>
        <v>7.27012</v>
      </c>
      <c r="G42" s="20" t="n">
        <f aca="false">G41*(1-$B$9)</f>
        <v>7.493336136</v>
      </c>
      <c r="H42" s="20" t="n">
        <f aca="false">H41*(1-$B$9)</f>
        <v>7.66814319356404</v>
      </c>
      <c r="I42" s="20" t="n">
        <f aca="false">I41*(1-$B$9)</f>
        <v>7.79046008462243</v>
      </c>
      <c r="J42" s="20" t="n">
        <f aca="false">J41*(1-$B$9)</f>
        <v>7.85724028984051</v>
      </c>
      <c r="K42" s="20" t="n">
        <f aca="false">K41*(1-$B$9)</f>
        <v>7.86659414732841</v>
      </c>
      <c r="L42" s="20" t="n">
        <f aca="false">L41*(1-$B$9)</f>
        <v>7.98459305953834</v>
      </c>
    </row>
    <row r="43" customFormat="false" ht="15" hidden="false" customHeight="true" outlineLevel="0" collapsed="false">
      <c r="A43" s="1" t="s">
        <v>62</v>
      </c>
      <c r="B43" s="22" t="n">
        <v>0.08</v>
      </c>
      <c r="C43" s="22" t="n">
        <v>0.07</v>
      </c>
      <c r="D43" s="22" t="n">
        <v>0.05</v>
      </c>
      <c r="E43" s="22" t="n">
        <v>0.03</v>
      </c>
      <c r="F43" s="22" t="n">
        <v>0.02</v>
      </c>
      <c r="G43" s="7" t="n">
        <f aca="false">$F43+($L43-$F43)*G$17/5</f>
        <v>0.019</v>
      </c>
      <c r="H43" s="7" t="n">
        <f aca="false">$F43+($L43-$F43)*H$17/5</f>
        <v>0.018</v>
      </c>
      <c r="I43" s="7" t="n">
        <f aca="false">$F43+($L43-$F43)*I$17/5</f>
        <v>0.017</v>
      </c>
      <c r="J43" s="7" t="n">
        <f aca="false">$F43+($L43-$F43)*J$17/5</f>
        <v>0.016</v>
      </c>
      <c r="K43" s="7" t="n">
        <f aca="false">$F43+($L43-$F43)*K$17/5</f>
        <v>0.015</v>
      </c>
      <c r="L43" s="21" t="n">
        <v>0.015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1.872</v>
      </c>
      <c r="C44" s="20" t="n">
        <f aca="false">C38*C43</f>
        <v>1.722</v>
      </c>
      <c r="D44" s="20" t="n">
        <f aca="false">D38*D43</f>
        <v>1.29</v>
      </c>
      <c r="E44" s="20" t="n">
        <f aca="false">E38*E43</f>
        <v>0.816</v>
      </c>
      <c r="F44" s="20" t="n">
        <f aca="false">F38*F43</f>
        <v>0.572</v>
      </c>
      <c r="G44" s="20" t="n">
        <f aca="false">G38*G43</f>
        <v>0.567405494117647</v>
      </c>
      <c r="H44" s="20" t="n">
        <f aca="false">H38*H43</f>
        <v>0.55736786255917</v>
      </c>
      <c r="I44" s="20" t="n">
        <f aca="false">I38*I43</f>
        <v>0.541978316576286</v>
      </c>
      <c r="J44" s="20" t="n">
        <f aca="false">J38*J43</f>
        <v>0.52146940699124</v>
      </c>
      <c r="K44" s="20" t="n">
        <f aca="false">K38*K43</f>
        <v>0.496210732590102</v>
      </c>
      <c r="L44" s="20" t="n">
        <f aca="false">L38*L43</f>
        <v>0.503653893578953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4.07628</v>
      </c>
      <c r="C46" s="20" t="n">
        <f aca="false">C42-C44-C45</f>
        <v>4.53132</v>
      </c>
      <c r="D46" s="20" t="n">
        <f aca="false">D42-D44-D45</f>
        <v>5.26836</v>
      </c>
      <c r="E46" s="20" t="n">
        <f aca="false">E42-E44-E45</f>
        <v>6.09824</v>
      </c>
      <c r="F46" s="20" t="n">
        <f aca="false">F42-F44-F45</f>
        <v>6.69812</v>
      </c>
      <c r="G46" s="20" t="n">
        <f aca="false">G42-G44-G45</f>
        <v>6.92593064188235</v>
      </c>
      <c r="H46" s="20" t="n">
        <f aca="false">H42-H44-H45</f>
        <v>7.11077533100487</v>
      </c>
      <c r="I46" s="20" t="n">
        <f aca="false">I42-I44-I45</f>
        <v>7.24848176804614</v>
      </c>
      <c r="J46" s="20" t="n">
        <f aca="false">J42-J44-J45</f>
        <v>7.33577088284927</v>
      </c>
      <c r="K46" s="20" t="n">
        <f aca="false">K42-K44-K45</f>
        <v>7.37038341473831</v>
      </c>
      <c r="L46" s="20" t="n">
        <f aca="false">L42-L44-L45</f>
        <v>7.48093916595939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0.964485644340824</v>
      </c>
      <c r="C47" s="23" t="n">
        <f aca="false">1/(1+$B$10)^C$16</f>
        <v>0.897195948224023</v>
      </c>
      <c r="D47" s="23" t="n">
        <f aca="false">1/(1+$B$10)^D$16</f>
        <v>0.834600882068858</v>
      </c>
      <c r="E47" s="23" t="n">
        <f aca="false">1/(1+$B$10)^E$16</f>
        <v>0.776372913552426</v>
      </c>
      <c r="F47" s="23" t="n">
        <f aca="false">1/(1+$B$10)^F$16</f>
        <v>0.722207361444118</v>
      </c>
      <c r="G47" s="23" t="n">
        <f aca="false">1/(1+$B$10)^G$16</f>
        <v>0.671820801343365</v>
      </c>
      <c r="H47" s="23" t="n">
        <f aca="false">1/(1+$B$10)^H$16</f>
        <v>0.624949582644991</v>
      </c>
      <c r="I47" s="23" t="n">
        <f aca="false">1/(1+$B$10)^I$16</f>
        <v>0.581348448972085</v>
      </c>
      <c r="J47" s="23" t="n">
        <f aca="false">1/(1+$B$10)^J$16</f>
        <v>0.540789254857753</v>
      </c>
      <c r="K47" s="23" t="n">
        <f aca="false">1/(1+$B$10)^K$16</f>
        <v>0.503059771960701</v>
      </c>
    </row>
    <row r="48" customFormat="false" ht="15" hidden="false" customHeight="true" outlineLevel="0" collapsed="false">
      <c r="A48" s="1" t="s">
        <v>67</v>
      </c>
      <c r="B48" s="20" t="n">
        <f aca="false">B46*B47</f>
        <v>3.93151354231362</v>
      </c>
      <c r="C48" s="20" t="n">
        <f aca="false">C46*C47</f>
        <v>4.06548194410648</v>
      </c>
      <c r="D48" s="20" t="n">
        <f aca="false">D46*D47</f>
        <v>4.39697790305629</v>
      </c>
      <c r="E48" s="20" t="n">
        <f aca="false">E46*E47</f>
        <v>4.73450835634195</v>
      </c>
      <c r="F48" s="20" t="n">
        <f aca="false">F46*F47</f>
        <v>4.83743157183607</v>
      </c>
      <c r="G48" s="20" t="n">
        <f aca="false">G46*G47</f>
        <v>4.65298427387797</v>
      </c>
      <c r="H48" s="20" t="n">
        <f aca="false">H46*H47</f>
        <v>4.44387607539379</v>
      </c>
      <c r="I48" s="20" t="n">
        <f aca="false">I46*I47</f>
        <v>4.21389363325606</v>
      </c>
      <c r="J48" s="20" t="n">
        <f aca="false">J46*J47</f>
        <v>3.96710606954326</v>
      </c>
      <c r="K48" s="20" t="n">
        <f aca="false">K46*K47</f>
        <v>3.70774339988118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124.682319432656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62.7226591813234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63.0041759509301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305.060649546943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0.0250521649399122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24</v>
      </c>
      <c r="C56" s="13" t="n">
        <v>26</v>
      </c>
      <c r="D56" s="13" t="n">
        <v>28</v>
      </c>
      <c r="E56" s="13" t="n">
        <v>30</v>
      </c>
      <c r="F56" s="13" t="n">
        <v>32</v>
      </c>
      <c r="G56" s="20" t="n">
        <f aca="false">F56*(1+$F57+($L57-$F57)*G$17/5)</f>
        <v>33.8346666666667</v>
      </c>
      <c r="H56" s="20" t="n">
        <f aca="false">G56*(1+$F57+($L57-$F57)*H$17/5)</f>
        <v>35.4587306666667</v>
      </c>
      <c r="I56" s="20" t="n">
        <f aca="false">H56*(1+$F57+($L57-$F57)*I$17/5)</f>
        <v>36.8298015857778</v>
      </c>
      <c r="J56" s="20" t="n">
        <f aca="false">I56*(1+$F57+($L57-$F57)*J$17/5)</f>
        <v>37.9101424322939</v>
      </c>
      <c r="K56" s="20" t="n">
        <f aca="false">J56*(1+$F57+($L57-$F57)*K$17/5)</f>
        <v>38.6683452809398</v>
      </c>
      <c r="L56" s="20" t="n">
        <f aca="false">K56*(1+L57)</f>
        <v>39.4417121865586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0.0619469026548671</v>
      </c>
      <c r="C57" s="7" t="n">
        <f aca="false">C56/B56-1</f>
        <v>0.0833333333333333</v>
      </c>
      <c r="D57" s="7" t="n">
        <f aca="false">D56/C56-1</f>
        <v>0.0769230769230769</v>
      </c>
      <c r="E57" s="7" t="n">
        <f aca="false">E56/D56-1</f>
        <v>0.0714285714285714</v>
      </c>
      <c r="F57" s="7" t="n">
        <f aca="false">F56/E56-1</f>
        <v>0.0666666666666667</v>
      </c>
      <c r="G57" s="7" t="n">
        <f aca="false">G56/F56-1</f>
        <v>0.0573333333333332</v>
      </c>
      <c r="H57" s="7" t="n">
        <f aca="false">H56/G56-1</f>
        <v>0.048</v>
      </c>
      <c r="I57" s="7" t="n">
        <f aca="false">I56/H56-1</f>
        <v>0.0386666666666666</v>
      </c>
      <c r="J57" s="7" t="n">
        <f aca="false">J56/I56-1</f>
        <v>0.0293333333333334</v>
      </c>
      <c r="K57" s="7" t="n">
        <f aca="false">K56/J56-1</f>
        <v>0.02</v>
      </c>
      <c r="L57" s="21" t="n">
        <v>0.02</v>
      </c>
    </row>
    <row r="58" customFormat="false" ht="15" hidden="false" customHeight="true" outlineLevel="0" collapsed="false">
      <c r="A58" s="1" t="s">
        <v>59</v>
      </c>
      <c r="B58" s="22" t="n">
        <v>0.32</v>
      </c>
      <c r="C58" s="22" t="n">
        <v>0.32</v>
      </c>
      <c r="D58" s="22" t="n">
        <v>0.33</v>
      </c>
      <c r="E58" s="22" t="n">
        <v>0.33</v>
      </c>
      <c r="F58" s="22" t="n">
        <v>0.33</v>
      </c>
      <c r="G58" s="7" t="n">
        <f aca="false">$F58+($L58-$F58)*G$17/5</f>
        <v>0.326</v>
      </c>
      <c r="H58" s="7" t="n">
        <f aca="false">$F58+($L58-$F58)*H$17/5</f>
        <v>0.322</v>
      </c>
      <c r="I58" s="7" t="n">
        <f aca="false">$F58+($L58-$F58)*I$17/5</f>
        <v>0.318</v>
      </c>
      <c r="J58" s="7" t="n">
        <f aca="false">$F58+($L58-$F58)*J$17/5</f>
        <v>0.314</v>
      </c>
      <c r="K58" s="7" t="n">
        <f aca="false">$F58+($L58-$F58)*K$17/5</f>
        <v>0.31</v>
      </c>
      <c r="L58" s="21" t="n">
        <v>0.31</v>
      </c>
    </row>
    <row r="59" customFormat="false" ht="15" hidden="false" customHeight="true" outlineLevel="0" collapsed="false">
      <c r="A59" s="1" t="s">
        <v>60</v>
      </c>
      <c r="B59" s="20" t="n">
        <f aca="false">B56*B58</f>
        <v>7.68</v>
      </c>
      <c r="C59" s="20" t="n">
        <f aca="false">C56*C58</f>
        <v>8.32</v>
      </c>
      <c r="D59" s="20" t="n">
        <f aca="false">D56*D58</f>
        <v>9.24</v>
      </c>
      <c r="E59" s="20" t="n">
        <f aca="false">E56*E58</f>
        <v>9.9</v>
      </c>
      <c r="F59" s="20" t="n">
        <f aca="false">F56*F58</f>
        <v>10.56</v>
      </c>
      <c r="G59" s="20" t="n">
        <f aca="false">G56*G58</f>
        <v>11.0301013333333</v>
      </c>
      <c r="H59" s="20" t="n">
        <f aca="false">H56*H58</f>
        <v>11.4177112746667</v>
      </c>
      <c r="I59" s="20" t="n">
        <f aca="false">I56*I58</f>
        <v>11.7118769042773</v>
      </c>
      <c r="J59" s="20" t="n">
        <f aca="false">J56*J58</f>
        <v>11.9037847237403</v>
      </c>
      <c r="K59" s="20" t="n">
        <f aca="false">K56*K58</f>
        <v>11.9871870370913</v>
      </c>
      <c r="L59" s="20" t="n">
        <f aca="false">L56*L58</f>
        <v>12.2269307778332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6.2976</v>
      </c>
      <c r="C60" s="20" t="n">
        <f aca="false">C59*(1-$B$9)</f>
        <v>6.8224</v>
      </c>
      <c r="D60" s="20" t="n">
        <f aca="false">D59*(1-$B$9)</f>
        <v>7.5768</v>
      </c>
      <c r="E60" s="20" t="n">
        <f aca="false">E59*(1-$B$9)</f>
        <v>8.118</v>
      </c>
      <c r="F60" s="20" t="n">
        <f aca="false">F59*(1-$B$9)</f>
        <v>8.6592</v>
      </c>
      <c r="G60" s="20" t="n">
        <f aca="false">G59*(1-$B$9)</f>
        <v>9.04468309333333</v>
      </c>
      <c r="H60" s="20" t="n">
        <f aca="false">H59*(1-$B$9)</f>
        <v>9.36252324522667</v>
      </c>
      <c r="I60" s="20" t="n">
        <f aca="false">I59*(1-$B$9)</f>
        <v>9.60373906150742</v>
      </c>
      <c r="J60" s="20" t="n">
        <f aca="false">J59*(1-$B$9)</f>
        <v>9.76110347346704</v>
      </c>
      <c r="K60" s="20" t="n">
        <f aca="false">K59*(1-$B$9)</f>
        <v>9.8294933704149</v>
      </c>
      <c r="L60" s="20" t="n">
        <f aca="false">L59*(1-$B$9)</f>
        <v>10.0260832378232</v>
      </c>
    </row>
    <row r="61" customFormat="false" ht="15" hidden="false" customHeight="true" outlineLevel="0" collapsed="false">
      <c r="A61" s="1" t="s">
        <v>62</v>
      </c>
      <c r="B61" s="22" t="n">
        <v>0.09</v>
      </c>
      <c r="C61" s="22" t="n">
        <v>0.08</v>
      </c>
      <c r="D61" s="22" t="n">
        <v>0.06</v>
      </c>
      <c r="E61" s="22" t="n">
        <v>0.04</v>
      </c>
      <c r="F61" s="22" t="n">
        <v>0.03</v>
      </c>
      <c r="G61" s="7" t="n">
        <f aca="false">$F61+($L61-$F61)*G$17/5</f>
        <v>0.028</v>
      </c>
      <c r="H61" s="7" t="n">
        <f aca="false">$F61+($L61-$F61)*H$17/5</f>
        <v>0.026</v>
      </c>
      <c r="I61" s="7" t="n">
        <f aca="false">$F61+($L61-$F61)*I$17/5</f>
        <v>0.024</v>
      </c>
      <c r="J61" s="7" t="n">
        <f aca="false">$F61+($L61-$F61)*J$17/5</f>
        <v>0.022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63</v>
      </c>
      <c r="B62" s="20" t="n">
        <f aca="false">B56*B61</f>
        <v>2.16</v>
      </c>
      <c r="C62" s="20" t="n">
        <f aca="false">C56*C61</f>
        <v>2.08</v>
      </c>
      <c r="D62" s="20" t="n">
        <f aca="false">D56*D61</f>
        <v>1.68</v>
      </c>
      <c r="E62" s="20" t="n">
        <f aca="false">E56*E61</f>
        <v>1.2</v>
      </c>
      <c r="F62" s="20" t="n">
        <f aca="false">F56*F61</f>
        <v>0.96</v>
      </c>
      <c r="G62" s="20" t="n">
        <f aca="false">G56*G61</f>
        <v>0.947370666666667</v>
      </c>
      <c r="H62" s="20" t="n">
        <f aca="false">H56*H61</f>
        <v>0.921926997333333</v>
      </c>
      <c r="I62" s="20" t="n">
        <f aca="false">I56*I61</f>
        <v>0.883915238058667</v>
      </c>
      <c r="J62" s="20" t="n">
        <f aca="false">J56*J61</f>
        <v>0.834023133510466</v>
      </c>
      <c r="K62" s="20" t="n">
        <f aca="false">K56*K61</f>
        <v>0.773366905618796</v>
      </c>
      <c r="L62" s="20" t="n">
        <f aca="false">L56*L61</f>
        <v>0.788834243731172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4.1376</v>
      </c>
      <c r="C64" s="20" t="n">
        <f aca="false">C60-C62-C63</f>
        <v>4.7424</v>
      </c>
      <c r="D64" s="20" t="n">
        <f aca="false">D60-D62-D63</f>
        <v>5.8968</v>
      </c>
      <c r="E64" s="20" t="n">
        <f aca="false">E60-E62-E63</f>
        <v>6.918</v>
      </c>
      <c r="F64" s="20" t="n">
        <f aca="false">F60-F62-F63</f>
        <v>7.6992</v>
      </c>
      <c r="G64" s="20" t="n">
        <f aca="false">G60-G62-G63</f>
        <v>8.09731242666667</v>
      </c>
      <c r="H64" s="20" t="n">
        <f aca="false">H60-H62-H63</f>
        <v>8.44059624789333</v>
      </c>
      <c r="I64" s="20" t="n">
        <f aca="false">I60-I62-I63</f>
        <v>8.71982382344875</v>
      </c>
      <c r="J64" s="20" t="n">
        <f aca="false">J60-J62-J63</f>
        <v>8.92708033995658</v>
      </c>
      <c r="K64" s="20" t="n">
        <f aca="false">K60-K62-K63</f>
        <v>9.05612646479611</v>
      </c>
      <c r="L64" s="20" t="n">
        <f aca="false">L60-L62-L63</f>
        <v>9.23724899409203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0.964485644340824</v>
      </c>
      <c r="C65" s="23" t="n">
        <f aca="false">1/(1+$B$10)^C$16</f>
        <v>0.897195948224023</v>
      </c>
      <c r="D65" s="23" t="n">
        <f aca="false">1/(1+$B$10)^D$16</f>
        <v>0.834600882068858</v>
      </c>
      <c r="E65" s="23" t="n">
        <f aca="false">1/(1+$B$10)^E$16</f>
        <v>0.776372913552426</v>
      </c>
      <c r="F65" s="23" t="n">
        <f aca="false">1/(1+$B$10)^F$16</f>
        <v>0.722207361444118</v>
      </c>
      <c r="G65" s="23" t="n">
        <f aca="false">1/(1+$B$10)^G$16</f>
        <v>0.671820801343365</v>
      </c>
      <c r="H65" s="23" t="n">
        <f aca="false">1/(1+$B$10)^H$16</f>
        <v>0.624949582644991</v>
      </c>
      <c r="I65" s="23" t="n">
        <f aca="false">1/(1+$B$10)^I$16</f>
        <v>0.581348448972085</v>
      </c>
      <c r="J65" s="23" t="n">
        <f aca="false">1/(1+$B$10)^J$16</f>
        <v>0.540789254857753</v>
      </c>
      <c r="K65" s="23" t="n">
        <f aca="false">1/(1+$B$10)^K$16</f>
        <v>0.503059771960701</v>
      </c>
    </row>
    <row r="66" customFormat="false" ht="15" hidden="false" customHeight="true" outlineLevel="0" collapsed="false">
      <c r="A66" s="1" t="s">
        <v>67</v>
      </c>
      <c r="B66" s="20" t="n">
        <f aca="false">B64*B65</f>
        <v>3.99065580202459</v>
      </c>
      <c r="C66" s="20" t="n">
        <f aca="false">C64*C65</f>
        <v>4.25486206485761</v>
      </c>
      <c r="D66" s="20" t="n">
        <f aca="false">D64*D65</f>
        <v>4.92147448138364</v>
      </c>
      <c r="E66" s="20" t="n">
        <f aca="false">E64*E65</f>
        <v>5.37094781595569</v>
      </c>
      <c r="F66" s="20" t="n">
        <f aca="false">F64*F65</f>
        <v>5.56041891723055</v>
      </c>
      <c r="G66" s="20" t="n">
        <f aca="false">G64*G65</f>
        <v>5.43994292321079</v>
      </c>
      <c r="H66" s="20" t="n">
        <f aca="false">H64*H65</f>
        <v>5.27494710239581</v>
      </c>
      <c r="I66" s="20" t="n">
        <f aca="false">I64*I65</f>
        <v>5.06925605507176</v>
      </c>
      <c r="J66" s="20" t="n">
        <f aca="false">J64*J65</f>
        <v>4.82766912510041</v>
      </c>
      <c r="K66" s="20" t="n">
        <f aca="false">K64*K65</f>
        <v>4.55577291422759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167.949981710764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84.4888795002209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91.0848267016793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441.024677778915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0.481912863624317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135.17044339531</v>
      </c>
      <c r="C75" s="7" t="n">
        <f aca="false">B75/$B$4-1</f>
        <v>-0.545805872228927</v>
      </c>
    </row>
    <row r="76" customFormat="false" ht="15" hidden="false" customHeight="true" outlineLevel="0" collapsed="false">
      <c r="A76" s="1" t="s">
        <v>78</v>
      </c>
      <c r="B76" s="8" t="n">
        <f aca="false">B52</f>
        <v>305.060649546943</v>
      </c>
      <c r="C76" s="7" t="n">
        <f aca="false">B76/$B$4-1</f>
        <v>0.0250521649399122</v>
      </c>
    </row>
    <row r="77" customFormat="false" ht="15" hidden="false" customHeight="true" outlineLevel="0" collapsed="false">
      <c r="A77" s="1" t="s">
        <v>79</v>
      </c>
      <c r="B77" s="8" t="n">
        <f aca="false">B70</f>
        <v>441.024677778915</v>
      </c>
      <c r="C77" s="7" t="n">
        <f aca="false">B77/$B$4-1</f>
        <v>0.481912863624317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305.060649546943</v>
      </c>
      <c r="C78" s="7" t="n">
        <f aca="false">B78/$B$4-1</f>
        <v>0.0250521649399122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0.593547653595603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678.564795340189</v>
      </c>
      <c r="C83" s="8" t="n">
        <f aca="false">IF(C82&gt;$L39,(SUMPRODUCT($B46:$K46/(1+C82)^$B$16:$K$16)+$L46/(C82-$L39)/(1+C82)^$K$16+$B$7+$B$8)/$B$6,"n/a")</f>
        <v>479.257586455029</v>
      </c>
      <c r="D83" s="8" t="n">
        <f aca="false">IF(D82&gt;$L39,(SUMPRODUCT($B46:$K46/(1+D82)^$B$16:$K$16)+$L46/(D82-$L39)/(1+D82)^$K$16+$B$7+$B$8)/$B$6,"n/a")</f>
        <v>352.541019348523</v>
      </c>
      <c r="E83" s="8" t="n">
        <f aca="false">IF(E82&gt;$L39,(SUMPRODUCT($B46:$K46/(1+E82)^$B$16:$K$16)+$L46/(E82-$L39)/(1+E82)^$K$16+$B$7+$B$8)/$B$6,"n/a")</f>
        <v>264.907928570543</v>
      </c>
      <c r="F83" s="8" t="n">
        <f aca="false">IF(F82&gt;$L39,(SUMPRODUCT($B46:$K46/(1+F82)^$B$16:$K$16)+$L46/(F82-$L39)/(1+F82)^$K$16+$B$7+$B$8)/$B$6,"n/a")</f>
        <v>200.721745461392</v>
      </c>
      <c r="G83" s="8" t="n">
        <f aca="false">IF(G82&gt;$L39,(SUMPRODUCT($B46:$K46/(1+G82)^$B$16:$K$16)+$L46/(G82-$L39)/(1+G82)^$K$16+$B$7+$B$8)/$B$6,"n/a")</f>
        <v>151.70438330211</v>
      </c>
      <c r="H83" s="8" t="n">
        <f aca="false">IF(H82&gt;$L39,(SUMPRODUCT($B46:$K46/(1+H82)^$B$16:$K$16)+$L46/(H82-$L39)/(1+H82)^$K$16+$B$7+$B$8)/$B$6,"n/a")</f>
        <v>113.063352117941</v>
      </c>
      <c r="I83" s="8" t="n">
        <f aca="false">IF(I82&gt;$L39,(SUMPRODUCT($B46:$K46/(1+I82)^$B$16:$K$16)+$L46/(I82-$L39)/(1+I82)^$K$16+$B$7+$B$8)/$B$6,"n/a")</f>
        <v>81.8319501680315</v>
      </c>
      <c r="J83" s="8" t="n">
        <f aca="false">IF(J82&gt;$L39,(SUMPRODUCT($B46:$K46/(1+J82)^$B$16:$K$16)+$L46/(J82-$L39)/(1+J82)^$K$16+$B$7+$B$8)/$B$6,"n/a")</f>
        <v>56.0754420679196</v>
      </c>
      <c r="K83" s="8" t="n">
        <f aca="false">IF(K82&gt;$L39,(SUMPRODUCT($B46:$K46/(1+K82)^$B$16:$K$16)+$L46/(K82-$L39)/(1+K82)^$K$16+$B$7+$B$8)/$B$6,"n/a")</f>
        <v>34.4782711100344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1.28008533237072</v>
      </c>
      <c r="C84" s="7" t="n">
        <f aca="false">IFERROR(C83/$B$4-1,"n/a")</f>
        <v>0.610381500495722</v>
      </c>
      <c r="D84" s="7" t="n">
        <f aca="false">IFERROR(D83/$B$4-1,"n/a")</f>
        <v>0.184593737835461</v>
      </c>
      <c r="E84" s="7" t="n">
        <f aca="false">IFERROR(E83/$B$4-1,"n/a")</f>
        <v>-0.109867345741694</v>
      </c>
      <c r="F84" s="7" t="n">
        <f aca="false">IFERROR(F83/$B$4-1,"n/a")</f>
        <v>-0.325543100884084</v>
      </c>
      <c r="G84" s="7" t="n">
        <f aca="false">IFERROR(G83/$B$4-1,"n/a")</f>
        <v>-0.490249211867711</v>
      </c>
      <c r="H84" s="7" t="n">
        <f aca="false">IFERROR(H83/$B$4-1,"n/a")</f>
        <v>-0.620089205094199</v>
      </c>
      <c r="I84" s="7" t="n">
        <f aca="false">IFERROR(I83/$B$4-1,"n/a")</f>
        <v>-0.725031668930188</v>
      </c>
      <c r="J84" s="7" t="n">
        <f aca="false">IFERROR(J83/$B$4-1,"n/a")</f>
        <v>-0.811577621115507</v>
      </c>
      <c r="K84" s="7" t="n">
        <f aca="false">IFERROR(K83/$B$4-1,"n/a")</f>
        <v>-0.884147540834212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0.0762688670296594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0.0531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0.06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7" t="n">
        <v>0.8</v>
      </c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0.866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0.866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0.0964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LNG!B9</f>
        <v>0.18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0.053382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LNG!B4*LNG!B6</f>
        <v>61.46436065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27.97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0.687256667384696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0.312743332615304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0.0829464073175549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0.075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0.075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IF(B27&gt;MAX(LNG!L21,LNG!L39,LNG!L57),"OK","WACC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0.075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2026-10-28T13:32:40Z</dcterms:created>
  <dc:creator>openpyxl</dc:creator>
  <dc:description/>
  <dc:language>en-US</dc:language>
  <cp:lastModifiedBy/>
  <dcterms:modified xsi:type="dcterms:W3CDTF">2026-10-28T16:14:13Z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