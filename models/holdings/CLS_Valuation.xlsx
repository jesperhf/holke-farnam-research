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S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<sst xmlns="http://schemas.openxmlformats.org/spreadsheetml/2006/main" count="166" uniqueCount="128">
  <si>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Celestica (CLS):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</si>
  <si>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</si>
  <si>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</si>
  <si>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</si>
  <si>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</si>
  <si>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</si>
  <si>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</si>
  <si>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</si>
  <si>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</si>
  <si>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</si>
  <si>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</si>
  <si>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</si>
  <si>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Celestica (CLS)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</si>
  <si>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</si>
  <si>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</si>
  <si>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</si>
  <si>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</si>
  <si>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</si>
  <si>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a major hyperscaler cuts capex, or if 2027 revenue guidance comes in below 2026. The first position to cut if a contraction starts.</t>
  </si>
  <si>
    <t xml:space="preserve">Celestica (CLS):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</si>
  <si>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</si>
  <si>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</si>
  <si>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26, 2026 close (before results)</t>
  </si>
  <si>
    <t xml:space="preserve">Price date</t>
  </si>
  <si>
    <t xml:space="preserve">Text</t>
  </si>
  <si>
    <t xml:space="preserve">Shares outstanding (billions)</t>
  </si>
  <si>
    <t xml:space="preserve">126.1M shares at Sep 30, 2026, after the August offering of 11.1M shares at $310 (Q3 2026 release)</t>
  </si>
  <si>
    <t xml:space="preserve">Net cash, negative = net debt</t>
  </si>
  <si>
    <t xml:space="preserve">Q3 2026 release: cash $3,961M less borrowings and leases $819M</t>
  </si>
  <si>
    <t xml:space="preserve">Other non-operating assets, less outside claims</t>
  </si>
  <si>
    <t xml:space="preserve">None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</si>
  <si>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</si>
  <si>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</si>
  <si>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</si>
  <si>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</si>
  <si>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</si>
  <si>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</si>
  <si>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</si>
  <si>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 outlook $21.0B (raised from $20.5B, Q3 2026 release). 2027 outlook: $40.0B revenue, 9.0% adjusted operating margin, $21.50 adjusted EPS, $1.5B to $2.0B capex. Margins here are after stock pay, about 0.4 points below adjusted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</si>
  <si>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</si>
  <si>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</si>
  <si>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</si>
  <si>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</si>
  <si>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</si>
  <si>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</si>
  <si>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</si>
  <si>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</si>
  <si>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</si>
  <si>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</si>
  <si>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</si>
  <si>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</si>
  <si>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</si>
  <si>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</si>
  <si>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</si>
  <si>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</si>
  <si>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a large customer pauses, 2027 misses and 2028 falls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</si>
  <si>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</si>
  <si>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</si>
  <si>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</si>
  <si>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</si>
  <si>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</si>
  <si>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</si>
  <si>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</si>
  <si>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</si>
  <si>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</si>
  <si>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</si>
  <si>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</si>
  <si>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</si>
  <si>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</si>
  <si>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</si>
  <si>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</si>
  <si>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</si>
  <si>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2027 lands 8% below the outlook, 2028 grows, 2029 digests</t>
  </si>
  <si>
    <t xml:space="preserve">Bull: the $40B outlook is met and 2028 is meaningfully higher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</si>
  <si>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</si>
  <si>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</si>
  <si>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</si>
  <si>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</si>
  <si>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</si>
  <si>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</si>
  <si>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</si>
  <si>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</si>
  <si>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</si>
  <si>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</si>
  <si>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</si>
  <si>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</si>
  <si>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</si>
  <si>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</si>
  <si>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</si>
  <si>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</si>
  <si>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</si>
  <si>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</si>
  <si>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</si>
  <si>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</si>
  <si>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</si>
  <si>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</si>
  <si>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</si>
  <si>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CLS</t>
  </si>
  <si>
    <t xml:space="preserve">Source / note</t>
  </si>
  <si>
    <t xml:space="preserve">Raw beta (5-year)</t>
  </si>
  <si>
    <t xml:space="preserve">Stock Analysis statistics, Oct 23, 2026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</si>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</sst>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CLS!B4</f>
        <v>246.65</v>
      </c>
      <c r="D5" s="6" t="n">
        <f aca="false">CLS!B10</f>
        <v>0.1022</v>
      </c>
      <c r="E5" s="5" t="n">
        <f aca="false">CLS!B75</f>
        <v>129.931741754143</v>
      </c>
      <c r="F5" s="5" t="n">
        <f aca="false">CLS!B76</f>
        <v>205.816793903173</v>
      </c>
      <c r="G5" s="5" t="n">
        <f aca="false">CLS!B77</f>
        <v>330.540892930063</v>
      </c>
      <c r="H5" s="7" t="n">
        <f aca="false">F5/C5-1</f>
        <v>-0.165551210609473</v>
      </c>
      <c r="I5" s="6" t="n">
        <f aca="false">CLS!B86</f>
        <v>0.0895586861589185</v>
      </c>
      <c r="J5" s="8" t="n">
        <f aca="false">IF(F5&lt;10,ROUND(F5*4,0)/4,IF(F5&lt;100,ROUND(F5,0),ROUND(F5/5,0)*5))</f>
        <v>205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200</v>
      </c>
    </row>
    <row r="10" customFormat="false" ht="15" hidden="false" customHeight="true" outlineLevel="0" collapsed="false">
      <c r="A10" s="1" t="s">
        <v>15</v>
      </c>
      <c r="C10" s="8" t="n">
        <v>315</v>
      </c>
    </row>
    <row r="11" customFormat="false" ht="15" hidden="false" customHeight="true" outlineLevel="0" collapsed="false">
      <c r="A11" s="1" t="s">
        <v>16</v>
      </c>
      <c r="C11" s="8" t="n">
        <v>160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246.65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22</v>
      </c>
      <c r="C5" s="3" t="s">
        <v>24</v>
      </c>
    </row>
    <row r="6" customFormat="false" ht="15" hidden="false" customHeight="true" outlineLevel="0" collapsed="false">
      <c r="A6" s="1" t="s">
        <v>25</v>
      </c>
      <c r="B6" s="12" t="n">
        <v>0.1261</v>
      </c>
      <c r="C6" s="3" t="s">
        <v>26</v>
      </c>
    </row>
    <row r="7" customFormat="false" ht="15" hidden="false" customHeight="true" outlineLevel="0" collapsed="false">
      <c r="A7" s="1" t="s">
        <v>27</v>
      </c>
      <c r="B7" s="13" t="n">
        <v>3.1425</v>
      </c>
      <c r="C7" s="3" t="s">
        <v>28</v>
      </c>
    </row>
    <row r="8" customFormat="false" ht="15" hidden="false" customHeight="true" outlineLevel="0" collapsed="false">
      <c r="A8" s="1" t="s">
        <v>29</v>
      </c>
      <c r="B8" s="13" t="n">
        <v>0</v>
      </c>
      <c r="C8" s="3" t="s">
        <v>30</v>
      </c>
    </row>
    <row r="9" customFormat="false" ht="15" hidden="false" customHeight="true" outlineLevel="0" collapsed="false">
      <c r="A9" s="1" t="s">
        <v>31</v>
      </c>
      <c r="B9" s="14" t="n">
        <v>0.21</v>
      </c>
      <c r="C9" s="3" t="s">
        <v>32</v>
      </c>
    </row>
    <row r="10" customFormat="false" ht="15" hidden="false" customHeight="true" outlineLevel="0" collapsed="false">
      <c r="A10" s="1" t="s">
        <v>33</v>
      </c>
      <c r="B10" s="15" t="n">
        <f aca="false">WACC!B29</f>
        <v>0.1022</v>
      </c>
      <c r="C10" s="3" t="s">
        <v>34</v>
      </c>
    </row>
    <row r="11" customFormat="false" ht="15" hidden="false" customHeight="true" outlineLevel="0" collapsed="false">
      <c r="A11" s="1" t="s">
        <v>35</v>
      </c>
      <c r="B11" s="14" t="n">
        <v>0.1</v>
      </c>
      <c r="C11" s="3" t="s">
        <v>36</v>
      </c>
    </row>
    <row r="12" customFormat="false" ht="15" hidden="false" customHeight="true" outlineLevel="0" collapsed="false">
      <c r="A12" s="1" t="s">
        <v>37</v>
      </c>
      <c r="B12" s="13" t="n">
        <v>21</v>
      </c>
      <c r="C12" s="3" t="s">
        <v>38</v>
      </c>
    </row>
    <row r="13" customFormat="false" ht="15" hidden="false" customHeight="true" outlineLevel="0" collapsed="false">
      <c r="A13" s="1" t="s">
        <v>39</v>
      </c>
      <c r="B13" s="16" t="n">
        <v>2</v>
      </c>
      <c r="C13" s="3" t="s">
        <v>40</v>
      </c>
    </row>
    <row r="15" customFormat="false" ht="15" hidden="false" customHeight="true" outlineLevel="0" collapsed="false">
      <c r="A15" s="9" t="s">
        <v>41</v>
      </c>
      <c r="B15" s="17" t="s">
        <v>42</v>
      </c>
      <c r="C15" s="17" t="s">
        <v>43</v>
      </c>
      <c r="D15" s="17" t="s">
        <v>44</v>
      </c>
      <c r="E15" s="17" t="s">
        <v>45</v>
      </c>
      <c r="F15" s="17" t="s">
        <v>46</v>
      </c>
      <c r="G15" s="17" t="s">
        <v>47</v>
      </c>
      <c r="H15" s="17" t="s">
        <v>48</v>
      </c>
      <c r="I15" s="17" t="s">
        <v>49</v>
      </c>
      <c r="J15" s="17" t="s">
        <v>50</v>
      </c>
      <c r="K15" s="17" t="s">
        <v>51</v>
      </c>
      <c r="L15" s="9" t="s">
        <v>52</v>
      </c>
    </row>
    <row r="16" customFormat="false" ht="15" hidden="false" customHeight="true" outlineLevel="0" collapsed="false">
      <c r="A16" s="1" t="s">
        <v>53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56</v>
      </c>
      <c r="B20" s="13" t="n">
        <v>33</v>
      </c>
      <c r="C20" s="13" t="n">
        <v>28</v>
      </c>
      <c r="D20" s="13" t="n">
        <v>27</v>
      </c>
      <c r="E20" s="13" t="n">
        <v>29</v>
      </c>
      <c r="F20" s="13" t="n">
        <v>31</v>
      </c>
      <c r="G20" s="20" t="n">
        <f aca="false">F20*(1+$F21+($L21-$F21)*G$17/5)</f>
        <v>32.8653448275862</v>
      </c>
      <c r="H20" s="20" t="n">
        <f aca="false">G20*(1+$F21+($L21-$F21)*H$17/5)</f>
        <v>34.5539435790725</v>
      </c>
      <c r="I20" s="20" t="n">
        <f aca="false">H20*(1+$F21+($L21-$F21)*I$17/5)</f>
        <v>36.0254649694227</v>
      </c>
      <c r="J20" s="20" t="n">
        <f aca="false">I20*(1+$F21+($L21-$F21)*J$17/5)</f>
        <v>37.2428772339066</v>
      </c>
      <c r="K20" s="20" t="n">
        <f aca="false">J20*(1+$F21+($L21-$F21)*K$17/5)</f>
        <v>38.1739491647543</v>
      </c>
      <c r="L20" s="20" t="n">
        <f aca="false">K20*(1+L21)</f>
        <v>39.1282978938731</v>
      </c>
    </row>
    <row r="21" customFormat="false" ht="15" hidden="false" customHeight="true" outlineLevel="0" collapsed="false">
      <c r="A21" s="1" t="s">
        <v>57</v>
      </c>
      <c r="B21" s="7" t="n">
        <f aca="false">B20/$B$12-1</f>
        <v>0.571428571428571</v>
      </c>
      <c r="C21" s="7" t="n">
        <f aca="false">C20/B20-1</f>
        <v>-0.151515151515152</v>
      </c>
      <c r="D21" s="7" t="n">
        <f aca="false">D20/C20-1</f>
        <v>-0.0357142857142857</v>
      </c>
      <c r="E21" s="7" t="n">
        <f aca="false">E20/D20-1</f>
        <v>0.0740740740740742</v>
      </c>
      <c r="F21" s="7" t="n">
        <f aca="false">F20/E20-1</f>
        <v>0.0689655172413792</v>
      </c>
      <c r="G21" s="7" t="n">
        <f aca="false">G20/F20-1</f>
        <v>0.0601724137931035</v>
      </c>
      <c r="H21" s="7" t="n">
        <f aca="false">H20/G20-1</f>
        <v>0.0513793103448275</v>
      </c>
      <c r="I21" s="7" t="n">
        <f aca="false">I20/H20-1</f>
        <v>0.0425862068965517</v>
      </c>
      <c r="J21" s="7" t="n">
        <f aca="false">J20/I20-1</f>
        <v>0.0337931034482759</v>
      </c>
      <c r="K21" s="7" t="n">
        <f aca="false">K20/J20-1</f>
        <v>0.0249999999999999</v>
      </c>
      <c r="L21" s="21" t="n">
        <v>0.025</v>
      </c>
    </row>
    <row r="22" customFormat="false" ht="15" hidden="false" customHeight="true" outlineLevel="0" collapsed="false">
      <c r="A22" s="1" t="s">
        <v>58</v>
      </c>
      <c r="B22" s="22" t="n">
        <v>0.08</v>
      </c>
      <c r="C22" s="22" t="n">
        <v>0.07</v>
      </c>
      <c r="D22" s="22" t="n">
        <v>0.065</v>
      </c>
      <c r="E22" s="22" t="n">
        <v>0.065</v>
      </c>
      <c r="F22" s="22" t="n">
        <v>0.065</v>
      </c>
      <c r="G22" s="7" t="n">
        <f aca="false">$F22+($L22-$F22)*G$17/5</f>
        <v>0.064</v>
      </c>
      <c r="H22" s="7" t="n">
        <f aca="false">$F22+($L22-$F22)*H$17/5</f>
        <v>0.063</v>
      </c>
      <c r="I22" s="7" t="n">
        <f aca="false">$F22+($L22-$F22)*I$17/5</f>
        <v>0.062</v>
      </c>
      <c r="J22" s="7" t="n">
        <f aca="false">$F22+($L22-$F22)*J$17/5</f>
        <v>0.061</v>
      </c>
      <c r="K22" s="7" t="n">
        <f aca="false">$F22+($L22-$F22)*K$17/5</f>
        <v>0.06</v>
      </c>
      <c r="L22" s="21" t="n">
        <v>0.06</v>
      </c>
    </row>
    <row r="23" customFormat="false" ht="15" hidden="false" customHeight="true" outlineLevel="0" collapsed="false">
      <c r="A23" s="1" t="s">
        <v>59</v>
      </c>
      <c r="B23" s="20" t="n">
        <f aca="false">B20*B22</f>
        <v>2.64</v>
      </c>
      <c r="C23" s="20" t="n">
        <f aca="false">C20*C22</f>
        <v>1.96</v>
      </c>
      <c r="D23" s="20" t="n">
        <f aca="false">D20*D22</f>
        <v>1.755</v>
      </c>
      <c r="E23" s="20" t="n">
        <f aca="false">E20*E22</f>
        <v>1.885</v>
      </c>
      <c r="F23" s="20" t="n">
        <f aca="false">F20*F22</f>
        <v>2.015</v>
      </c>
      <c r="G23" s="20" t="n">
        <f aca="false">G20*G22</f>
        <v>2.10338206896552</v>
      </c>
      <c r="H23" s="20" t="n">
        <f aca="false">H20*H22</f>
        <v>2.17689844548157</v>
      </c>
      <c r="I23" s="20" t="n">
        <f aca="false">I20*I22</f>
        <v>2.23357882810421</v>
      </c>
      <c r="J23" s="20" t="n">
        <f aca="false">J20*J22</f>
        <v>2.2718155112683</v>
      </c>
      <c r="K23" s="20" t="n">
        <f aca="false">K20*K22</f>
        <v>2.29043694988526</v>
      </c>
      <c r="L23" s="20" t="n">
        <f aca="false">L20*L22</f>
        <v>2.34769787363239</v>
      </c>
    </row>
    <row r="24" customFormat="false" ht="15" hidden="false" customHeight="true" outlineLevel="0" collapsed="false">
      <c r="A24" s="1" t="s">
        <v>60</v>
      </c>
      <c r="B24" s="20" t="n">
        <f aca="false">B23*(1-$B$9)</f>
        <v>2.0856</v>
      </c>
      <c r="C24" s="20" t="n">
        <f aca="false">C23*(1-$B$9)</f>
        <v>1.5484</v>
      </c>
      <c r="D24" s="20" t="n">
        <f aca="false">D23*(1-$B$9)</f>
        <v>1.38645</v>
      </c>
      <c r="E24" s="20" t="n">
        <f aca="false">E23*(1-$B$9)</f>
        <v>1.48915</v>
      </c>
      <c r="F24" s="20" t="n">
        <f aca="false">F23*(1-$B$9)</f>
        <v>1.59185</v>
      </c>
      <c r="G24" s="20" t="n">
        <f aca="false">G23*(1-$B$9)</f>
        <v>1.66167183448276</v>
      </c>
      <c r="H24" s="20" t="n">
        <f aca="false">H23*(1-$B$9)</f>
        <v>1.71974977193044</v>
      </c>
      <c r="I24" s="20" t="n">
        <f aca="false">I23*(1-$B$9)</f>
        <v>1.76452727420232</v>
      </c>
      <c r="J24" s="20" t="n">
        <f aca="false">J23*(1-$B$9)</f>
        <v>1.79473425390196</v>
      </c>
      <c r="K24" s="20" t="n">
        <f aca="false">K23*(1-$B$9)</f>
        <v>1.80944519040935</v>
      </c>
      <c r="L24" s="20" t="n">
        <f aca="false">L23*(1-$B$9)</f>
        <v>1.85468132016959</v>
      </c>
    </row>
    <row r="25" customFormat="false" ht="15" hidden="false" customHeight="true" outlineLevel="0" collapsed="false">
      <c r="A25" s="1" t="s">
        <v>61</v>
      </c>
      <c r="B25" s="22" t="n">
        <v>0.035</v>
      </c>
      <c r="C25" s="22" t="n">
        <v>0.02</v>
      </c>
      <c r="D25" s="22" t="n">
        <v>0.012</v>
      </c>
      <c r="E25" s="22" t="n">
        <v>0.012</v>
      </c>
      <c r="F25" s="22" t="n">
        <v>0.012</v>
      </c>
      <c r="G25" s="7" t="n">
        <f aca="false">$F25+($L25-$F25)*G$17/5</f>
        <v>0.0116</v>
      </c>
      <c r="H25" s="7" t="n">
        <f aca="false">$F25+($L25-$F25)*H$17/5</f>
        <v>0.0112</v>
      </c>
      <c r="I25" s="7" t="n">
        <f aca="false">$F25+($L25-$F25)*I$17/5</f>
        <v>0.0108</v>
      </c>
      <c r="J25" s="7" t="n">
        <f aca="false">$F25+($L25-$F25)*J$17/5</f>
        <v>0.0104</v>
      </c>
      <c r="K25" s="7" t="n">
        <f aca="false">$F25+($L25-$F25)*K$17/5</f>
        <v>0.01</v>
      </c>
      <c r="L25" s="21" t="n">
        <v>0.01</v>
      </c>
    </row>
    <row r="26" customFormat="false" ht="15" hidden="false" customHeight="true" outlineLevel="0" collapsed="false">
      <c r="A26" s="1" t="s">
        <v>62</v>
      </c>
      <c r="B26" s="20" t="n">
        <f aca="false">B20*B25</f>
        <v>1.155</v>
      </c>
      <c r="C26" s="20" t="n">
        <f aca="false">C20*C25</f>
        <v>0.56</v>
      </c>
      <c r="D26" s="20" t="n">
        <f aca="false">D20*D25</f>
        <v>0.324</v>
      </c>
      <c r="E26" s="20" t="n">
        <f aca="false">E20*E25</f>
        <v>0.348</v>
      </c>
      <c r="F26" s="20" t="n">
        <f aca="false">F20*F25</f>
        <v>0.372</v>
      </c>
      <c r="G26" s="20" t="n">
        <f aca="false">G20*G25</f>
        <v>0.381238</v>
      </c>
      <c r="H26" s="20" t="n">
        <f aca="false">H20*H25</f>
        <v>0.387004168085612</v>
      </c>
      <c r="I26" s="20" t="n">
        <f aca="false">I20*I25</f>
        <v>0.389075021669765</v>
      </c>
      <c r="J26" s="20" t="n">
        <f aca="false">J20*J25</f>
        <v>0.387325923232629</v>
      </c>
      <c r="K26" s="20" t="n">
        <f aca="false">K20*K25</f>
        <v>0.381739491647543</v>
      </c>
      <c r="L26" s="20" t="n">
        <f aca="false">L20*L25</f>
        <v>0.391282978938732</v>
      </c>
    </row>
    <row r="27" customFormat="false" ht="15" hidden="false" customHeight="true" outlineLevel="0" collapsed="false">
      <c r="A27" s="1" t="s">
        <v>63</v>
      </c>
      <c r="B27" s="20" t="n">
        <f aca="false">$B$11*(B20-$B$12)</f>
        <v>1.2</v>
      </c>
      <c r="C27" s="20" t="n">
        <f aca="false">$B$11*(C20-B20)</f>
        <v>-0.5</v>
      </c>
      <c r="D27" s="20" t="n">
        <f aca="false">$B$11*(D20-C20)</f>
        <v>-0.1</v>
      </c>
      <c r="E27" s="20" t="n">
        <f aca="false">$B$11*(E20-D20)</f>
        <v>0.2</v>
      </c>
      <c r="F27" s="20" t="n">
        <f aca="false">$B$11*(F20-E20)</f>
        <v>0.2</v>
      </c>
      <c r="G27" s="20" t="n">
        <f aca="false">$B$11*(G20-F20)</f>
        <v>0.186534482758621</v>
      </c>
      <c r="H27" s="20" t="n">
        <f aca="false">$B$11*(H20-G20)</f>
        <v>0.168859875148632</v>
      </c>
      <c r="I27" s="20" t="n">
        <f aca="false">$B$11*(I20-H20)</f>
        <v>0.147152139035016</v>
      </c>
      <c r="J27" s="20" t="n">
        <f aca="false">$B$11*(J20-I20)</f>
        <v>0.121741226448394</v>
      </c>
      <c r="K27" s="20" t="n">
        <f aca="false">$B$11*(K20-J20)</f>
        <v>0.0931071930847665</v>
      </c>
      <c r="L27" s="20" t="n">
        <f aca="false">$B$11*(L20-K20)</f>
        <v>0.0954348729118856</v>
      </c>
    </row>
    <row r="28" customFormat="false" ht="15" hidden="false" customHeight="true" outlineLevel="0" collapsed="false">
      <c r="A28" s="1" t="s">
        <v>64</v>
      </c>
      <c r="B28" s="20" t="n">
        <f aca="false">B24-B26-B27</f>
        <v>-0.2694</v>
      </c>
      <c r="C28" s="20" t="n">
        <f aca="false">C24-C26-C27</f>
        <v>1.4884</v>
      </c>
      <c r="D28" s="20" t="n">
        <f aca="false">D24-D26-D27</f>
        <v>1.16245</v>
      </c>
      <c r="E28" s="20" t="n">
        <f aca="false">E24-E26-E27</f>
        <v>0.94115</v>
      </c>
      <c r="F28" s="20" t="n">
        <f aca="false">F24-F26-F27</f>
        <v>1.01985</v>
      </c>
      <c r="G28" s="20" t="n">
        <f aca="false">G24-G26-G27</f>
        <v>1.09389935172414</v>
      </c>
      <c r="H28" s="20" t="n">
        <f aca="false">H24-H26-H27</f>
        <v>1.1638857286962</v>
      </c>
      <c r="I28" s="20" t="n">
        <f aca="false">I24-I26-I27</f>
        <v>1.22830011349754</v>
      </c>
      <c r="J28" s="20" t="n">
        <f aca="false">J24-J26-J27</f>
        <v>1.28566710422094</v>
      </c>
      <c r="K28" s="20" t="n">
        <f aca="false">K24-K26-K27</f>
        <v>1.33459850567704</v>
      </c>
      <c r="L28" s="20" t="n">
        <f aca="false">L24-L26-L27</f>
        <v>1.36796346831897</v>
      </c>
    </row>
    <row r="29" customFormat="false" ht="15" hidden="false" customHeight="true" outlineLevel="0" collapsed="false">
      <c r="A29" s="1" t="s">
        <v>65</v>
      </c>
      <c r="B29" s="23" t="n">
        <f aca="false">1/(1+$B$10)^B$16</f>
        <v>0.952510554470738</v>
      </c>
      <c r="C29" s="23" t="n">
        <f aca="false">1/(1+$B$10)^C$16</f>
        <v>0.864190305271945</v>
      </c>
      <c r="D29" s="23" t="n">
        <f aca="false">1/(1+$B$10)^D$16</f>
        <v>0.784059431384454</v>
      </c>
      <c r="E29" s="23" t="n">
        <f aca="false">1/(1+$B$10)^E$16</f>
        <v>0.711358584090414</v>
      </c>
      <c r="F29" s="23" t="n">
        <f aca="false">1/(1+$B$10)^F$16</f>
        <v>0.645398824251872</v>
      </c>
      <c r="G29" s="23" t="n">
        <f aca="false">1/(1+$B$10)^G$16</f>
        <v>0.585555093677982</v>
      </c>
      <c r="H29" s="23" t="n">
        <f aca="false">1/(1+$B$10)^H$16</f>
        <v>0.531260291850828</v>
      </c>
      <c r="I29" s="23" t="n">
        <f aca="false">1/(1+$B$10)^I$16</f>
        <v>0.481999901878813</v>
      </c>
      <c r="J29" s="23" t="n">
        <f aca="false">1/(1+$B$10)^J$16</f>
        <v>0.437307114751237</v>
      </c>
      <c r="K29" s="23" t="n">
        <f aca="false">1/(1+$B$10)^K$16</f>
        <v>0.396758405689745</v>
      </c>
    </row>
    <row r="30" customFormat="false" ht="15" hidden="false" customHeight="true" outlineLevel="0" collapsed="false">
      <c r="A30" s="1" t="s">
        <v>66</v>
      </c>
      <c r="B30" s="20" t="n">
        <f aca="false">B28*B29</f>
        <v>-0.256606343374417</v>
      </c>
      <c r="C30" s="20" t="n">
        <f aca="false">C28*C29</f>
        <v>1.28626085036676</v>
      </c>
      <c r="D30" s="20" t="n">
        <f aca="false">D28*D29</f>
        <v>0.911429886012859</v>
      </c>
      <c r="E30" s="20" t="n">
        <f aca="false">E28*E29</f>
        <v>0.669495131416693</v>
      </c>
      <c r="F30" s="20" t="n">
        <f aca="false">F28*F29</f>
        <v>0.658209990913272</v>
      </c>
      <c r="G30" s="20" t="n">
        <f aca="false">G28*G29</f>
        <v>0.640538337373112</v>
      </c>
      <c r="H30" s="20" t="n">
        <f aca="false">H28*H29</f>
        <v>0.618326271908154</v>
      </c>
      <c r="I30" s="20" t="n">
        <f aca="false">I28*I29</f>
        <v>0.592040534183551</v>
      </c>
      <c r="J30" s="20" t="n">
        <f aca="false">J28*J29</f>
        <v>0.562231371877436</v>
      </c>
      <c r="K30" s="20" t="n">
        <f aca="false">K28*K29</f>
        <v>0.52951317534834</v>
      </c>
      <c r="L30" s="20"/>
    </row>
    <row r="31" customFormat="false" ht="15" hidden="false" customHeight="true" outlineLevel="0" collapsed="false">
      <c r="A31" s="1" t="s">
        <v>67</v>
      </c>
      <c r="B31" s="20" t="n">
        <f aca="false">L28/($B$10-L21)</f>
        <v>17.7197340455825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68</v>
      </c>
      <c r="B32" s="20" t="n">
        <f aca="false">B31/(1+$B$10)^$K$16</f>
        <v>7.03045342917161</v>
      </c>
    </row>
    <row r="33" customFormat="false" ht="15" hidden="false" customHeight="true" outlineLevel="0" collapsed="false">
      <c r="A33" s="1" t="s">
        <v>69</v>
      </c>
      <c r="B33" s="20" t="n">
        <f aca="false">SUM(B30:K30)+B32+$B$7+$B$8</f>
        <v>16.3843926351974</v>
      </c>
    </row>
    <row r="34" customFormat="false" ht="15" hidden="false" customHeight="true" outlineLevel="0" collapsed="false">
      <c r="A34" s="1" t="s">
        <v>70</v>
      </c>
      <c r="B34" s="24" t="n">
        <f aca="false">B33/$B$6</f>
        <v>129.931741754143</v>
      </c>
    </row>
    <row r="35" customFormat="false" ht="15" hidden="false" customHeight="true" outlineLevel="0" collapsed="false">
      <c r="A35" s="1" t="s">
        <v>71</v>
      </c>
      <c r="B35" s="7" t="n">
        <f aca="false">B34/$B$4-1</f>
        <v>-0.473214101949554</v>
      </c>
    </row>
    <row r="37" customFormat="false" ht="15" hidden="false" customHeight="true" outlineLevel="0" collapsed="false">
      <c r="A37" s="18" t="s">
        <v>72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56</v>
      </c>
      <c r="B38" s="13" t="n">
        <v>37</v>
      </c>
      <c r="C38" s="13" t="n">
        <v>42</v>
      </c>
      <c r="D38" s="13" t="n">
        <v>40</v>
      </c>
      <c r="E38" s="13" t="n">
        <v>42</v>
      </c>
      <c r="F38" s="13" t="n">
        <v>44</v>
      </c>
      <c r="G38" s="20" t="n">
        <f aca="false">F38*(1+$F39+($L39-$F39)*G$17/5)</f>
        <v>45.9401904761905</v>
      </c>
      <c r="H38" s="20" t="n">
        <f aca="false">G38*(1+$F39+($L39-$F39)*H$17/5)</f>
        <v>47.8040496326531</v>
      </c>
      <c r="I38" s="20" t="n">
        <f aca="false">H38*(1+$F39+($L39-$F39)*I$17/5)</f>
        <v>49.5750758523771</v>
      </c>
      <c r="J38" s="20" t="n">
        <f aca="false">I38*(1+$F39+($L39-$F39)*J$17/5)</f>
        <v>51.2370212523806</v>
      </c>
      <c r="K38" s="20" t="n">
        <f aca="false">J38*(1+$F39+($L39-$F39)*K$17/5)</f>
        <v>52.774131889952</v>
      </c>
      <c r="L38" s="20" t="n">
        <f aca="false">K38*(1+L39)</f>
        <v>54.3573558466505</v>
      </c>
    </row>
    <row r="39" customFormat="false" ht="15" hidden="false" customHeight="true" outlineLevel="0" collapsed="false">
      <c r="A39" s="1" t="s">
        <v>57</v>
      </c>
      <c r="B39" s="7" t="n">
        <f aca="false">B38/$B$12-1</f>
        <v>0.761904761904762</v>
      </c>
      <c r="C39" s="7" t="n">
        <f aca="false">C38/B38-1</f>
        <v>0.135135135135135</v>
      </c>
      <c r="D39" s="7" t="n">
        <f aca="false">D38/C38-1</f>
        <v>-0.0476190476190477</v>
      </c>
      <c r="E39" s="7" t="n">
        <f aca="false">E38/D38-1</f>
        <v>0.05</v>
      </c>
      <c r="F39" s="7" t="n">
        <f aca="false">F38/E38-1</f>
        <v>0.0476190476190477</v>
      </c>
      <c r="G39" s="7" t="n">
        <f aca="false">G38/F38-1</f>
        <v>0.0440952380952382</v>
      </c>
      <c r="H39" s="7" t="n">
        <f aca="false">H38/G38-1</f>
        <v>0.0405714285714287</v>
      </c>
      <c r="I39" s="7" t="n">
        <f aca="false">I38/H38-1</f>
        <v>0.037047619047619</v>
      </c>
      <c r="J39" s="7" t="n">
        <f aca="false">J38/I38-1</f>
        <v>0.0335238095238095</v>
      </c>
      <c r="K39" s="7" t="n">
        <f aca="false">K38/J38-1</f>
        <v>0.03</v>
      </c>
      <c r="L39" s="21" t="n">
        <v>0.03</v>
      </c>
    </row>
    <row r="40" customFormat="false" ht="15" hidden="false" customHeight="true" outlineLevel="0" collapsed="false">
      <c r="A40" s="1" t="s">
        <v>58</v>
      </c>
      <c r="B40" s="22" t="n">
        <v>0.086</v>
      </c>
      <c r="C40" s="22" t="n">
        <v>0.086</v>
      </c>
      <c r="D40" s="22" t="n">
        <v>0.082</v>
      </c>
      <c r="E40" s="22" t="n">
        <v>0.08</v>
      </c>
      <c r="F40" s="22" t="n">
        <v>0.08</v>
      </c>
      <c r="G40" s="7" t="n">
        <f aca="false">$F40+($L40-$F40)*G$17/5</f>
        <v>0.078</v>
      </c>
      <c r="H40" s="7" t="n">
        <f aca="false">$F40+($L40-$F40)*H$17/5</f>
        <v>0.076</v>
      </c>
      <c r="I40" s="7" t="n">
        <f aca="false">$F40+($L40-$F40)*I$17/5</f>
        <v>0.074</v>
      </c>
      <c r="J40" s="7" t="n">
        <f aca="false">$F40+($L40-$F40)*J$17/5</f>
        <v>0.072</v>
      </c>
      <c r="K40" s="7" t="n">
        <f aca="false">$F40+($L40-$F40)*K$17/5</f>
        <v>0.07</v>
      </c>
      <c r="L40" s="21" t="n">
        <v>0.07</v>
      </c>
    </row>
    <row r="41" customFormat="false" ht="15" hidden="false" customHeight="true" outlineLevel="0" collapsed="false">
      <c r="A41" s="1" t="s">
        <v>59</v>
      </c>
      <c r="B41" s="20" t="n">
        <f aca="false">B38*B40</f>
        <v>3.182</v>
      </c>
      <c r="C41" s="20" t="n">
        <f aca="false">C38*C40</f>
        <v>3.612</v>
      </c>
      <c r="D41" s="20" t="n">
        <f aca="false">D38*D40</f>
        <v>3.28</v>
      </c>
      <c r="E41" s="20" t="n">
        <f aca="false">E38*E40</f>
        <v>3.36</v>
      </c>
      <c r="F41" s="20" t="n">
        <f aca="false">F38*F40</f>
        <v>3.52</v>
      </c>
      <c r="G41" s="20" t="n">
        <f aca="false">G38*G40</f>
        <v>3.58333485714286</v>
      </c>
      <c r="H41" s="20" t="n">
        <f aca="false">H38*H40</f>
        <v>3.63310777208163</v>
      </c>
      <c r="I41" s="20" t="n">
        <f aca="false">I38*I40</f>
        <v>3.6685556130759</v>
      </c>
      <c r="J41" s="20" t="n">
        <f aca="false">J38*J40</f>
        <v>3.6890655301714</v>
      </c>
      <c r="K41" s="20" t="n">
        <f aca="false">K38*K40</f>
        <v>3.69418923229664</v>
      </c>
      <c r="L41" s="20" t="n">
        <f aca="false">L38*L40</f>
        <v>3.80501490926554</v>
      </c>
    </row>
    <row r="42" customFormat="false" ht="15" hidden="false" customHeight="true" outlineLevel="0" collapsed="false">
      <c r="A42" s="1" t="s">
        <v>60</v>
      </c>
      <c r="B42" s="20" t="n">
        <f aca="false">B41*(1-$B$9)</f>
        <v>2.51378</v>
      </c>
      <c r="C42" s="20" t="n">
        <f aca="false">C41*(1-$B$9)</f>
        <v>2.85348</v>
      </c>
      <c r="D42" s="20" t="n">
        <f aca="false">D41*(1-$B$9)</f>
        <v>2.5912</v>
      </c>
      <c r="E42" s="20" t="n">
        <f aca="false">E41*(1-$B$9)</f>
        <v>2.6544</v>
      </c>
      <c r="F42" s="20" t="n">
        <f aca="false">F41*(1-$B$9)</f>
        <v>2.7808</v>
      </c>
      <c r="G42" s="20" t="n">
        <f aca="false">G41*(1-$B$9)</f>
        <v>2.83083453714286</v>
      </c>
      <c r="H42" s="20" t="n">
        <f aca="false">H41*(1-$B$9)</f>
        <v>2.87015513994449</v>
      </c>
      <c r="I42" s="20" t="n">
        <f aca="false">I41*(1-$B$9)</f>
        <v>2.89815893432996</v>
      </c>
      <c r="J42" s="20" t="n">
        <f aca="false">J41*(1-$B$9)</f>
        <v>2.91436176883541</v>
      </c>
      <c r="K42" s="20" t="n">
        <f aca="false">K41*(1-$B$9)</f>
        <v>2.91840949351435</v>
      </c>
      <c r="L42" s="20" t="n">
        <f aca="false">L41*(1-$B$9)</f>
        <v>3.00596177831978</v>
      </c>
    </row>
    <row r="43" customFormat="false" ht="15" hidden="false" customHeight="true" outlineLevel="0" collapsed="false">
      <c r="A43" s="1" t="s">
        <v>61</v>
      </c>
      <c r="B43" s="22" t="n">
        <v>0.035</v>
      </c>
      <c r="C43" s="22" t="n">
        <v>0.025</v>
      </c>
      <c r="D43" s="22" t="n">
        <v>0.015</v>
      </c>
      <c r="E43" s="22" t="n">
        <v>0.015</v>
      </c>
      <c r="F43" s="22" t="n">
        <v>0.015</v>
      </c>
      <c r="G43" s="7" t="n">
        <f aca="false">$F43+($L43-$F43)*G$17/5</f>
        <v>0.014</v>
      </c>
      <c r="H43" s="7" t="n">
        <f aca="false">$F43+($L43-$F43)*H$17/5</f>
        <v>0.013</v>
      </c>
      <c r="I43" s="7" t="n">
        <f aca="false">$F43+($L43-$F43)*I$17/5</f>
        <v>0.012</v>
      </c>
      <c r="J43" s="7" t="n">
        <f aca="false">$F43+($L43-$F43)*J$17/5</f>
        <v>0.011</v>
      </c>
      <c r="K43" s="7" t="n">
        <f aca="false">$F43+($L43-$F43)*K$17/5</f>
        <v>0.01</v>
      </c>
      <c r="L43" s="21" t="n">
        <v>0.01</v>
      </c>
    </row>
    <row r="44" customFormat="false" ht="15" hidden="false" customHeight="true" outlineLevel="0" collapsed="false">
      <c r="A44" s="1" t="s">
        <v>62</v>
      </c>
      <c r="B44" s="20" t="n">
        <f aca="false">B38*B43</f>
        <v>1.295</v>
      </c>
      <c r="C44" s="20" t="n">
        <f aca="false">C38*C43</f>
        <v>1.05</v>
      </c>
      <c r="D44" s="20" t="n">
        <f aca="false">D38*D43</f>
        <v>0.6</v>
      </c>
      <c r="E44" s="20" t="n">
        <f aca="false">E38*E43</f>
        <v>0.63</v>
      </c>
      <c r="F44" s="20" t="n">
        <f aca="false">F38*F43</f>
        <v>0.66</v>
      </c>
      <c r="G44" s="20" t="n">
        <f aca="false">G38*G43</f>
        <v>0.643162666666667</v>
      </c>
      <c r="H44" s="20" t="n">
        <f aca="false">H38*H43</f>
        <v>0.62145264522449</v>
      </c>
      <c r="I44" s="20" t="n">
        <f aca="false">I38*I43</f>
        <v>0.594900910228525</v>
      </c>
      <c r="J44" s="20" t="n">
        <f aca="false">J38*J43</f>
        <v>0.563607233776186</v>
      </c>
      <c r="K44" s="20" t="n">
        <f aca="false">K38*K43</f>
        <v>0.52774131889952</v>
      </c>
      <c r="L44" s="20" t="n">
        <f aca="false">L38*L43</f>
        <v>0.543573558466506</v>
      </c>
    </row>
    <row r="45" customFormat="false" ht="15" hidden="false" customHeight="true" outlineLevel="0" collapsed="false">
      <c r="A45" s="1" t="s">
        <v>63</v>
      </c>
      <c r="B45" s="20" t="n">
        <f aca="false">$B$11*(B38-$B$12)</f>
        <v>1.6</v>
      </c>
      <c r="C45" s="20" t="n">
        <f aca="false">$B$11*(C38-B38)</f>
        <v>0.5</v>
      </c>
      <c r="D45" s="20" t="n">
        <f aca="false">$B$11*(D38-C38)</f>
        <v>-0.2</v>
      </c>
      <c r="E45" s="20" t="n">
        <f aca="false">$B$11*(E38-D38)</f>
        <v>0.2</v>
      </c>
      <c r="F45" s="20" t="n">
        <f aca="false">$B$11*(F38-E38)</f>
        <v>0.2</v>
      </c>
      <c r="G45" s="20" t="n">
        <f aca="false">$B$11*(G38-F38)</f>
        <v>0.194019047619048</v>
      </c>
      <c r="H45" s="20" t="n">
        <f aca="false">$B$11*(H38-G38)</f>
        <v>0.186385915646259</v>
      </c>
      <c r="I45" s="20" t="n">
        <f aca="false">$B$11*(I38-H38)</f>
        <v>0.1771026219724</v>
      </c>
      <c r="J45" s="20" t="n">
        <f aca="false">$B$11*(J38-I38)</f>
        <v>0.16619454000035</v>
      </c>
      <c r="K45" s="20" t="n">
        <f aca="false">$B$11*(K38-J38)</f>
        <v>0.153711063757142</v>
      </c>
      <c r="L45" s="20" t="n">
        <f aca="false">$B$11*(L38-K38)</f>
        <v>0.158322395669856</v>
      </c>
    </row>
    <row r="46" customFormat="false" ht="15" hidden="false" customHeight="true" outlineLevel="0" collapsed="false">
      <c r="A46" s="1" t="s">
        <v>64</v>
      </c>
      <c r="B46" s="20" t="n">
        <f aca="false">B42-B44-B45</f>
        <v>-0.38122</v>
      </c>
      <c r="C46" s="20" t="n">
        <f aca="false">C42-C44-C45</f>
        <v>1.30348</v>
      </c>
      <c r="D46" s="20" t="n">
        <f aca="false">D42-D44-D45</f>
        <v>2.1912</v>
      </c>
      <c r="E46" s="20" t="n">
        <f aca="false">E42-E44-E45</f>
        <v>1.8244</v>
      </c>
      <c r="F46" s="20" t="n">
        <f aca="false">F42-F44-F45</f>
        <v>1.9208</v>
      </c>
      <c r="G46" s="20" t="n">
        <f aca="false">G42-G44-G45</f>
        <v>1.99365282285714</v>
      </c>
      <c r="H46" s="20" t="n">
        <f aca="false">H42-H44-H45</f>
        <v>2.06231657907374</v>
      </c>
      <c r="I46" s="20" t="n">
        <f aca="false">I42-I44-I45</f>
        <v>2.12615540212904</v>
      </c>
      <c r="J46" s="20" t="n">
        <f aca="false">J42-J44-J45</f>
        <v>2.18455999505887</v>
      </c>
      <c r="K46" s="20" t="n">
        <f aca="false">K42-K44-K45</f>
        <v>2.23695711085768</v>
      </c>
      <c r="L46" s="20" t="n">
        <f aca="false">L42-L44-L45</f>
        <v>2.30406582418341</v>
      </c>
    </row>
    <row r="47" customFormat="false" ht="15" hidden="false" customHeight="true" outlineLevel="0" collapsed="false">
      <c r="A47" s="1" t="s">
        <v>65</v>
      </c>
      <c r="B47" s="23" t="n">
        <f aca="false">1/(1+$B$10)^B$16</f>
        <v>0.952510554470738</v>
      </c>
      <c r="C47" s="23" t="n">
        <f aca="false">1/(1+$B$10)^C$16</f>
        <v>0.864190305271945</v>
      </c>
      <c r="D47" s="23" t="n">
        <f aca="false">1/(1+$B$10)^D$16</f>
        <v>0.784059431384454</v>
      </c>
      <c r="E47" s="23" t="n">
        <f aca="false">1/(1+$B$10)^E$16</f>
        <v>0.711358584090414</v>
      </c>
      <c r="F47" s="23" t="n">
        <f aca="false">1/(1+$B$10)^F$16</f>
        <v>0.645398824251872</v>
      </c>
      <c r="G47" s="23" t="n">
        <f aca="false">1/(1+$B$10)^G$16</f>
        <v>0.585555093677982</v>
      </c>
      <c r="H47" s="23" t="n">
        <f aca="false">1/(1+$B$10)^H$16</f>
        <v>0.531260291850828</v>
      </c>
      <c r="I47" s="23" t="n">
        <f aca="false">1/(1+$B$10)^I$16</f>
        <v>0.481999901878813</v>
      </c>
      <c r="J47" s="23" t="n">
        <f aca="false">1/(1+$B$10)^J$16</f>
        <v>0.437307114751237</v>
      </c>
      <c r="K47" s="23" t="n">
        <f aca="false">1/(1+$B$10)^K$16</f>
        <v>0.396758405689745</v>
      </c>
    </row>
    <row r="48" customFormat="false" ht="15" hidden="false" customHeight="true" outlineLevel="0" collapsed="false">
      <c r="A48" s="1" t="s">
        <v>66</v>
      </c>
      <c r="B48" s="20" t="n">
        <f aca="false">B46*B47</f>
        <v>-0.363116073575335</v>
      </c>
      <c r="C48" s="20" t="n">
        <f aca="false">C46*C47</f>
        <v>1.12645477911588</v>
      </c>
      <c r="D48" s="20" t="n">
        <f aca="false">D46*D47</f>
        <v>1.71803102604962</v>
      </c>
      <c r="E48" s="20" t="n">
        <f aca="false">E46*E47</f>
        <v>1.29780260081455</v>
      </c>
      <c r="F48" s="20" t="n">
        <f aca="false">F46*F47</f>
        <v>1.239682061623</v>
      </c>
      <c r="G48" s="20" t="n">
        <f aca="false">G46*G47</f>
        <v>1.16739356544949</v>
      </c>
      <c r="H48" s="20" t="n">
        <f aca="false">H46*H47</f>
        <v>1.09562690768752</v>
      </c>
      <c r="I48" s="20" t="n">
        <f aca="false">I46*I47</f>
        <v>1.02480669520531</v>
      </c>
      <c r="J48" s="20" t="n">
        <f aca="false">J46*J47</f>
        <v>0.955323628440171</v>
      </c>
      <c r="K48" s="20" t="n">
        <f aca="false">K46*K47</f>
        <v>0.887531536900232</v>
      </c>
      <c r="L48" s="20"/>
    </row>
    <row r="49" customFormat="false" ht="15" hidden="false" customHeight="true" outlineLevel="0" collapsed="false">
      <c r="A49" s="1" t="s">
        <v>67</v>
      </c>
      <c r="B49" s="20" t="n">
        <f aca="false">L46/($B$10-L39)</f>
        <v>31.9122690330113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68</v>
      </c>
      <c r="B50" s="20" t="n">
        <f aca="false">B49/(1+$B$10)^$K$16</f>
        <v>12.6614609834798</v>
      </c>
    </row>
    <row r="51" customFormat="false" ht="15" hidden="false" customHeight="true" outlineLevel="0" collapsed="false">
      <c r="A51" s="1" t="s">
        <v>69</v>
      </c>
      <c r="B51" s="20" t="n">
        <f aca="false">SUM(B48:K48)+B50+$B$7+$B$8</f>
        <v>25.9534977111902</v>
      </c>
    </row>
    <row r="52" customFormat="false" ht="15" hidden="false" customHeight="true" outlineLevel="0" collapsed="false">
      <c r="A52" s="1" t="s">
        <v>70</v>
      </c>
      <c r="B52" s="24" t="n">
        <f aca="false">B51/$B$6</f>
        <v>205.816793903173</v>
      </c>
    </row>
    <row r="53" customFormat="false" ht="15" hidden="false" customHeight="true" outlineLevel="0" collapsed="false">
      <c r="A53" s="1" t="s">
        <v>71</v>
      </c>
      <c r="B53" s="7" t="n">
        <f aca="false">B52/$B$4-1</f>
        <v>-0.165551210609473</v>
      </c>
    </row>
    <row r="55" customFormat="false" ht="15" hidden="false" customHeight="true" outlineLevel="0" collapsed="false">
      <c r="A55" s="18" t="s">
        <v>73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56</v>
      </c>
      <c r="B56" s="13" t="n">
        <v>40</v>
      </c>
      <c r="C56" s="13" t="n">
        <v>50</v>
      </c>
      <c r="D56" s="13" t="n">
        <v>54</v>
      </c>
      <c r="E56" s="13" t="n">
        <v>58</v>
      </c>
      <c r="F56" s="13" t="n">
        <v>62</v>
      </c>
      <c r="G56" s="20" t="n">
        <f aca="false">F56*(1+$F57+($L57-$F57)*G$17/5)</f>
        <v>65.8546896551724</v>
      </c>
      <c r="H56" s="20" t="n">
        <f aca="false">G56*(1+$F57+($L57-$F57)*H$17/5)</f>
        <v>69.5016769512485</v>
      </c>
      <c r="I56" s="20" t="n">
        <f aca="false">H56*(1+$F57+($L57-$F57)*I$17/5)</f>
        <v>72.8784998072592</v>
      </c>
      <c r="J56" s="20" t="n">
        <f aca="false">I56*(1+$F57+($L57-$F57)*J$17/5)</f>
        <v>75.9243184888591</v>
      </c>
      <c r="K56" s="20" t="n">
        <f aca="false">J56*(1+$F57+($L57-$F57)*K$17/5)</f>
        <v>78.5816696359692</v>
      </c>
      <c r="L56" s="20" t="n">
        <f aca="false">K56*(1+L57)</f>
        <v>81.3320280732281</v>
      </c>
    </row>
    <row r="57" customFormat="false" ht="15" hidden="false" customHeight="true" outlineLevel="0" collapsed="false">
      <c r="A57" s="1" t="s">
        <v>57</v>
      </c>
      <c r="B57" s="7" t="n">
        <f aca="false">B56/$B$12-1</f>
        <v>0.904761904761905</v>
      </c>
      <c r="C57" s="7" t="n">
        <f aca="false">C56/B56-1</f>
        <v>0.25</v>
      </c>
      <c r="D57" s="7" t="n">
        <f aca="false">D56/C56-1</f>
        <v>0.0800000000000001</v>
      </c>
      <c r="E57" s="7" t="n">
        <f aca="false">E56/D56-1</f>
        <v>0.0740740740740742</v>
      </c>
      <c r="F57" s="7" t="n">
        <f aca="false">F56/E56-1</f>
        <v>0.0689655172413792</v>
      </c>
      <c r="G57" s="7" t="n">
        <f aca="false">G56/F56-1</f>
        <v>0.0621724137931035</v>
      </c>
      <c r="H57" s="7" t="n">
        <f aca="false">H56/G56-1</f>
        <v>0.0553793103448275</v>
      </c>
      <c r="I57" s="7" t="n">
        <f aca="false">I56/H56-1</f>
        <v>0.0485862068965517</v>
      </c>
      <c r="J57" s="7" t="n">
        <f aca="false">J56/I56-1</f>
        <v>0.0417931034482759</v>
      </c>
      <c r="K57" s="7" t="n">
        <f aca="false">K56/J56-1</f>
        <v>0.0349999999999999</v>
      </c>
      <c r="L57" s="21" t="n">
        <v>0.035</v>
      </c>
    </row>
    <row r="58" customFormat="false" ht="15" hidden="false" customHeight="true" outlineLevel="0" collapsed="false">
      <c r="A58" s="1" t="s">
        <v>58</v>
      </c>
      <c r="B58" s="22" t="n">
        <v>0.088</v>
      </c>
      <c r="C58" s="22" t="n">
        <v>0.09</v>
      </c>
      <c r="D58" s="22" t="n">
        <v>0.09</v>
      </c>
      <c r="E58" s="22" t="n">
        <v>0.09</v>
      </c>
      <c r="F58" s="22" t="n">
        <v>0.088</v>
      </c>
      <c r="G58" s="7" t="n">
        <f aca="false">$F58+($L58-$F58)*G$17/5</f>
        <v>0.0864</v>
      </c>
      <c r="H58" s="7" t="n">
        <f aca="false">$F58+($L58-$F58)*H$17/5</f>
        <v>0.0848</v>
      </c>
      <c r="I58" s="7" t="n">
        <f aca="false">$F58+($L58-$F58)*I$17/5</f>
        <v>0.0832</v>
      </c>
      <c r="J58" s="7" t="n">
        <f aca="false">$F58+($L58-$F58)*J$17/5</f>
        <v>0.0816</v>
      </c>
      <c r="K58" s="7" t="n">
        <f aca="false">$F58+($L58-$F58)*K$17/5</f>
        <v>0.08</v>
      </c>
      <c r="L58" s="21" t="n">
        <v>0.08</v>
      </c>
    </row>
    <row r="59" customFormat="false" ht="15" hidden="false" customHeight="true" outlineLevel="0" collapsed="false">
      <c r="A59" s="1" t="s">
        <v>59</v>
      </c>
      <c r="B59" s="20" t="n">
        <f aca="false">B56*B58</f>
        <v>3.52</v>
      </c>
      <c r="C59" s="20" t="n">
        <f aca="false">C56*C58</f>
        <v>4.5</v>
      </c>
      <c r="D59" s="20" t="n">
        <f aca="false">D56*D58</f>
        <v>4.86</v>
      </c>
      <c r="E59" s="20" t="n">
        <f aca="false">E56*E58</f>
        <v>5.22</v>
      </c>
      <c r="F59" s="20" t="n">
        <f aca="false">F56*F58</f>
        <v>5.456</v>
      </c>
      <c r="G59" s="20" t="n">
        <f aca="false">G56*G58</f>
        <v>5.6898451862069</v>
      </c>
      <c r="H59" s="20" t="n">
        <f aca="false">H56*H58</f>
        <v>5.89374220546587</v>
      </c>
      <c r="I59" s="20" t="n">
        <f aca="false">I56*I58</f>
        <v>6.06349118396396</v>
      </c>
      <c r="J59" s="20" t="n">
        <f aca="false">J56*J58</f>
        <v>6.1954243886909</v>
      </c>
      <c r="K59" s="20" t="n">
        <f aca="false">K56*K58</f>
        <v>6.28653357087753</v>
      </c>
      <c r="L59" s="20" t="n">
        <f aca="false">L56*L58</f>
        <v>6.50656224585825</v>
      </c>
    </row>
    <row r="60" customFormat="false" ht="15" hidden="false" customHeight="true" outlineLevel="0" collapsed="false">
      <c r="A60" s="1" t="s">
        <v>60</v>
      </c>
      <c r="B60" s="20" t="n">
        <f aca="false">B59*(1-$B$9)</f>
        <v>2.7808</v>
      </c>
      <c r="C60" s="20" t="n">
        <f aca="false">C59*(1-$B$9)</f>
        <v>3.555</v>
      </c>
      <c r="D60" s="20" t="n">
        <f aca="false">D59*(1-$B$9)</f>
        <v>3.8394</v>
      </c>
      <c r="E60" s="20" t="n">
        <f aca="false">E59*(1-$B$9)</f>
        <v>4.1238</v>
      </c>
      <c r="F60" s="20" t="n">
        <f aca="false">F59*(1-$B$9)</f>
        <v>4.31024</v>
      </c>
      <c r="G60" s="20" t="n">
        <f aca="false">G59*(1-$B$9)</f>
        <v>4.49497769710345</v>
      </c>
      <c r="H60" s="20" t="n">
        <f aca="false">H59*(1-$B$9)</f>
        <v>4.65605634231804</v>
      </c>
      <c r="I60" s="20" t="n">
        <f aca="false">I59*(1-$B$9)</f>
        <v>4.79015803533153</v>
      </c>
      <c r="J60" s="20" t="n">
        <f aca="false">J59*(1-$B$9)</f>
        <v>4.89438526706581</v>
      </c>
      <c r="K60" s="20" t="n">
        <f aca="false">K59*(1-$B$9)</f>
        <v>4.96636152099325</v>
      </c>
      <c r="L60" s="20" t="n">
        <f aca="false">L59*(1-$B$9)</f>
        <v>5.14018417422802</v>
      </c>
    </row>
    <row r="61" customFormat="false" ht="15" hidden="false" customHeight="true" outlineLevel="0" collapsed="false">
      <c r="A61" s="1" t="s">
        <v>61</v>
      </c>
      <c r="B61" s="22" t="n">
        <v>0.04</v>
      </c>
      <c r="C61" s="22" t="n">
        <v>0.03</v>
      </c>
      <c r="D61" s="22" t="n">
        <v>0.02</v>
      </c>
      <c r="E61" s="22" t="n">
        <v>0.015</v>
      </c>
      <c r="F61" s="22" t="n">
        <v>0.015</v>
      </c>
      <c r="G61" s="7" t="n">
        <f aca="false">$F61+($L61-$F61)*G$17/5</f>
        <v>0.014</v>
      </c>
      <c r="H61" s="7" t="n">
        <f aca="false">$F61+($L61-$F61)*H$17/5</f>
        <v>0.013</v>
      </c>
      <c r="I61" s="7" t="n">
        <f aca="false">$F61+($L61-$F61)*I$17/5</f>
        <v>0.012</v>
      </c>
      <c r="J61" s="7" t="n">
        <f aca="false">$F61+($L61-$F61)*J$17/5</f>
        <v>0.011</v>
      </c>
      <c r="K61" s="7" t="n">
        <f aca="false">$F61+($L61-$F61)*K$17/5</f>
        <v>0.01</v>
      </c>
      <c r="L61" s="21" t="n">
        <v>0.01</v>
      </c>
    </row>
    <row r="62" customFormat="false" ht="15" hidden="false" customHeight="true" outlineLevel="0" collapsed="false">
      <c r="A62" s="1" t="s">
        <v>62</v>
      </c>
      <c r="B62" s="20" t="n">
        <f aca="false">B56*B61</f>
        <v>1.6</v>
      </c>
      <c r="C62" s="20" t="n">
        <f aca="false">C56*C61</f>
        <v>1.5</v>
      </c>
      <c r="D62" s="20" t="n">
        <f aca="false">D56*D61</f>
        <v>1.08</v>
      </c>
      <c r="E62" s="20" t="n">
        <f aca="false">E56*E61</f>
        <v>0.87</v>
      </c>
      <c r="F62" s="20" t="n">
        <f aca="false">F56*F61</f>
        <v>0.93</v>
      </c>
      <c r="G62" s="20" t="n">
        <f aca="false">G56*G61</f>
        <v>0.921965655172414</v>
      </c>
      <c r="H62" s="20" t="n">
        <f aca="false">H56*H61</f>
        <v>0.90352180036623</v>
      </c>
      <c r="I62" s="20" t="n">
        <f aca="false">I56*I61</f>
        <v>0.87454199768711</v>
      </c>
      <c r="J62" s="20" t="n">
        <f aca="false">J56*J61</f>
        <v>0.83516750337745</v>
      </c>
      <c r="K62" s="20" t="n">
        <f aca="false">K56*K61</f>
        <v>0.785816696359692</v>
      </c>
      <c r="L62" s="20" t="n">
        <f aca="false">L56*L61</f>
        <v>0.813320280732281</v>
      </c>
    </row>
    <row r="63" customFormat="false" ht="15" hidden="false" customHeight="true" outlineLevel="0" collapsed="false">
      <c r="A63" s="1" t="s">
        <v>63</v>
      </c>
      <c r="B63" s="20" t="n">
        <f aca="false">$B$11*(B56-$B$12)</f>
        <v>1.9</v>
      </c>
      <c r="C63" s="20" t="n">
        <f aca="false">$B$11*(C56-B56)</f>
        <v>1</v>
      </c>
      <c r="D63" s="20" t="n">
        <f aca="false">$B$11*(D56-C56)</f>
        <v>0.4</v>
      </c>
      <c r="E63" s="20" t="n">
        <f aca="false">$B$11*(E56-D56)</f>
        <v>0.4</v>
      </c>
      <c r="F63" s="20" t="n">
        <f aca="false">$B$11*(F56-E56)</f>
        <v>0.4</v>
      </c>
      <c r="G63" s="20" t="n">
        <f aca="false">$B$11*(G56-F56)</f>
        <v>0.385468965517241</v>
      </c>
      <c r="H63" s="20" t="n">
        <f aca="false">$B$11*(H56-G56)</f>
        <v>0.364698729607609</v>
      </c>
      <c r="I63" s="20" t="n">
        <f aca="false">$B$11*(I56-H56)</f>
        <v>0.337682285601066</v>
      </c>
      <c r="J63" s="20" t="n">
        <f aca="false">$B$11*(J56-I56)</f>
        <v>0.304581868159994</v>
      </c>
      <c r="K63" s="20" t="n">
        <f aca="false">$B$11*(K56-J56)</f>
        <v>0.265735114711006</v>
      </c>
      <c r="L63" s="20" t="n">
        <f aca="false">$B$11*(L56-K56)</f>
        <v>0.275035843725891</v>
      </c>
    </row>
    <row r="64" customFormat="false" ht="15" hidden="false" customHeight="true" outlineLevel="0" collapsed="false">
      <c r="A64" s="1" t="s">
        <v>64</v>
      </c>
      <c r="B64" s="20" t="n">
        <f aca="false">B60-B62-B63</f>
        <v>-0.719200000000001</v>
      </c>
      <c r="C64" s="20" t="n">
        <f aca="false">C60-C62-C63</f>
        <v>1.055</v>
      </c>
      <c r="D64" s="20" t="n">
        <f aca="false">D60-D62-D63</f>
        <v>2.3594</v>
      </c>
      <c r="E64" s="20" t="n">
        <f aca="false">E60-E62-E63</f>
        <v>2.8538</v>
      </c>
      <c r="F64" s="20" t="n">
        <f aca="false">F60-F62-F63</f>
        <v>2.98024</v>
      </c>
      <c r="G64" s="20" t="n">
        <f aca="false">G60-G62-G63</f>
        <v>3.18754307641379</v>
      </c>
      <c r="H64" s="20" t="n">
        <f aca="false">H60-H62-H63</f>
        <v>3.3878358123442</v>
      </c>
      <c r="I64" s="20" t="n">
        <f aca="false">I60-I62-I63</f>
        <v>3.57793375204335</v>
      </c>
      <c r="J64" s="20" t="n">
        <f aca="false">J60-J62-J63</f>
        <v>3.75463589552837</v>
      </c>
      <c r="K64" s="20" t="n">
        <f aca="false">K60-K62-K63</f>
        <v>3.91480970992255</v>
      </c>
      <c r="L64" s="20" t="n">
        <f aca="false">L60-L62-L63</f>
        <v>4.05182804976984</v>
      </c>
    </row>
    <row r="65" customFormat="false" ht="15" hidden="false" customHeight="true" outlineLevel="0" collapsed="false">
      <c r="A65" s="1" t="s">
        <v>65</v>
      </c>
      <c r="B65" s="23" t="n">
        <f aca="false">1/(1+$B$10)^B$16</f>
        <v>0.952510554470738</v>
      </c>
      <c r="C65" s="23" t="n">
        <f aca="false">1/(1+$B$10)^C$16</f>
        <v>0.864190305271945</v>
      </c>
      <c r="D65" s="23" t="n">
        <f aca="false">1/(1+$B$10)^D$16</f>
        <v>0.784059431384454</v>
      </c>
      <c r="E65" s="23" t="n">
        <f aca="false">1/(1+$B$10)^E$16</f>
        <v>0.711358584090414</v>
      </c>
      <c r="F65" s="23" t="n">
        <f aca="false">1/(1+$B$10)^F$16</f>
        <v>0.645398824251872</v>
      </c>
      <c r="G65" s="23" t="n">
        <f aca="false">1/(1+$B$10)^G$16</f>
        <v>0.585555093677982</v>
      </c>
      <c r="H65" s="23" t="n">
        <f aca="false">1/(1+$B$10)^H$16</f>
        <v>0.531260291850828</v>
      </c>
      <c r="I65" s="23" t="n">
        <f aca="false">1/(1+$B$10)^I$16</f>
        <v>0.481999901878813</v>
      </c>
      <c r="J65" s="23" t="n">
        <f aca="false">1/(1+$B$10)^J$16</f>
        <v>0.437307114751237</v>
      </c>
      <c r="K65" s="23" t="n">
        <f aca="false">1/(1+$B$10)^K$16</f>
        <v>0.396758405689745</v>
      </c>
    </row>
    <row r="66" customFormat="false" ht="15" hidden="false" customHeight="true" outlineLevel="0" collapsed="false">
      <c r="A66" s="1" t="s">
        <v>66</v>
      </c>
      <c r="B66" s="20" t="n">
        <f aca="false">B64*B65</f>
        <v>-0.685045590775355</v>
      </c>
      <c r="C66" s="20" t="n">
        <f aca="false">C64*C65</f>
        <v>0.911720772061902</v>
      </c>
      <c r="D66" s="20" t="n">
        <f aca="false">D64*D65</f>
        <v>1.84990982240848</v>
      </c>
      <c r="E66" s="20" t="n">
        <f aca="false">E64*E65</f>
        <v>2.03007512727722</v>
      </c>
      <c r="F66" s="20" t="n">
        <f aca="false">F64*F65</f>
        <v>1.9234433919884</v>
      </c>
      <c r="G66" s="20" t="n">
        <f aca="false">G64*G65</f>
        <v>1.86648208471208</v>
      </c>
      <c r="H66" s="20" t="n">
        <f aca="false">H64*H65</f>
        <v>1.79982264240867</v>
      </c>
      <c r="I66" s="20" t="n">
        <f aca="false">I64*I65</f>
        <v>1.72456371741379</v>
      </c>
      <c r="J66" s="20" t="n">
        <f aca="false">J64*J65</f>
        <v>1.64192899041494</v>
      </c>
      <c r="K66" s="20" t="n">
        <f aca="false">K64*K65</f>
        <v>1.5532336590876</v>
      </c>
      <c r="L66" s="20"/>
    </row>
    <row r="67" customFormat="false" ht="15" hidden="false" customHeight="true" outlineLevel="0" collapsed="false">
      <c r="A67" s="1" t="s">
        <v>67</v>
      </c>
      <c r="B67" s="20" t="n">
        <f aca="false">L64/($B$10-L57)</f>
        <v>60.2950602644322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68</v>
      </c>
      <c r="B68" s="20" t="n">
        <f aca="false">B67/(1+$B$10)^$K$16</f>
        <v>23.9225719814832</v>
      </c>
    </row>
    <row r="69" customFormat="false" ht="15" hidden="false" customHeight="true" outlineLevel="0" collapsed="false">
      <c r="A69" s="1" t="s">
        <v>69</v>
      </c>
      <c r="B69" s="20" t="n">
        <f aca="false">SUM(B66:K66)+B68+$B$7+$B$8</f>
        <v>41.6812065984809</v>
      </c>
    </row>
    <row r="70" customFormat="false" ht="15" hidden="false" customHeight="true" outlineLevel="0" collapsed="false">
      <c r="A70" s="1" t="s">
        <v>70</v>
      </c>
      <c r="B70" s="24" t="n">
        <f aca="false">B69/$B$6</f>
        <v>330.540892930063</v>
      </c>
    </row>
    <row r="71" customFormat="false" ht="15" hidden="false" customHeight="true" outlineLevel="0" collapsed="false">
      <c r="A71" s="1" t="s">
        <v>71</v>
      </c>
      <c r="B71" s="7" t="n">
        <f aca="false">B70/$B$4-1</f>
        <v>0.34012119574321</v>
      </c>
    </row>
    <row r="74" customFormat="false" ht="15" hidden="false" customHeight="true" outlineLevel="0" collapsed="false">
      <c r="A74" s="18" t="s">
        <v>74</v>
      </c>
      <c r="B74" s="19"/>
      <c r="C74" s="18" t="s">
        <v>75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76</v>
      </c>
      <c r="B75" s="8" t="n">
        <f aca="false">B34</f>
        <v>129.931741754143</v>
      </c>
      <c r="C75" s="7" t="n">
        <f aca="false">B75/$B$4-1</f>
        <v>-0.473214101949554</v>
      </c>
    </row>
    <row r="76" customFormat="false" ht="15" hidden="false" customHeight="true" outlineLevel="0" collapsed="false">
      <c r="A76" s="1" t="s">
        <v>77</v>
      </c>
      <c r="B76" s="8" t="n">
        <f aca="false">B52</f>
        <v>205.816793903173</v>
      </c>
      <c r="C76" s="7" t="n">
        <f aca="false">B76/$B$4-1</f>
        <v>-0.165551210609473</v>
      </c>
    </row>
    <row r="77" customFormat="false" ht="15" hidden="false" customHeight="true" outlineLevel="0" collapsed="false">
      <c r="A77" s="1" t="s">
        <v>78</v>
      </c>
      <c r="B77" s="8" t="n">
        <f aca="false">B70</f>
        <v>330.540892930063</v>
      </c>
      <c r="C77" s="7" t="n">
        <f aca="false">B77/$B$4-1</f>
        <v>0.34012119574321</v>
      </c>
    </row>
    <row r="78" customFormat="false" ht="15" hidden="false" customHeight="true" outlineLevel="0" collapsed="false">
      <c r="A78" s="1" t="s">
        <v>79</v>
      </c>
      <c r="B78" s="8" t="n">
        <f aca="false">INDEX(B34:B70,1+($B$13-1)*18)</f>
        <v>205.816793903173</v>
      </c>
      <c r="C78" s="7" t="n">
        <f aca="false">B78/$B$4-1</f>
        <v>-0.165551210609473</v>
      </c>
    </row>
    <row r="79" customFormat="false" ht="15" hidden="false" customHeight="true" outlineLevel="0" collapsed="false">
      <c r="A79" s="1" t="s">
        <v>80</v>
      </c>
      <c r="B79" s="25" t="n">
        <f aca="false">B50/(SUM(B48:K48)+B50)</f>
        <v>0.555059499973934</v>
      </c>
    </row>
    <row r="81" customFormat="false" ht="15" hidden="false" customHeight="true" outlineLevel="0" collapsed="false">
      <c r="A81" s="9" t="s">
        <v>81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77</v>
      </c>
      <c r="B83" s="8" t="n">
        <f aca="false">IF(B82&gt;$L39,(SUMPRODUCT($B46:$K46/(1+B82)^$B$16:$K$16)+$L46/(B82-$L39)/(1+B82)^$K$16+$B$7+$B$8)/$B$6,"n/a")</f>
        <v>704.39451039781</v>
      </c>
      <c r="C83" s="8" t="n">
        <f aca="false">IF(C82&gt;$L39,(SUMPRODUCT($B46:$K46/(1+C82)^$B$16:$K$16)+$L46/(C82-$L39)/(1+C82)^$K$16+$B$7+$B$8)/$B$6,"n/a")</f>
        <v>474.46434067676</v>
      </c>
      <c r="D83" s="8" t="n">
        <f aca="false">IF(D82&gt;$L39,(SUMPRODUCT($B46:$K46/(1+D82)^$B$16:$K$16)+$L46/(D82-$L39)/(1+D82)^$K$16+$B$7+$B$8)/$B$6,"n/a")</f>
        <v>359.520959051058</v>
      </c>
      <c r="E83" s="8" t="n">
        <f aca="false">IF(E82&gt;$L39,(SUMPRODUCT($B46:$K46/(1+E82)^$B$16:$K$16)+$L46/(E82-$L39)/(1+E82)^$K$16+$B$7+$B$8)/$B$6,"n/a")</f>
        <v>290.572659028855</v>
      </c>
      <c r="F83" s="8" t="n">
        <f aca="false">IF(F82&gt;$L39,(SUMPRODUCT($B46:$K46/(1+F82)^$B$16:$K$16)+$L46/(F82-$L39)/(1+F82)^$K$16+$B$7+$B$8)/$B$6,"n/a")</f>
        <v>244.622139994527</v>
      </c>
      <c r="G83" s="8" t="n">
        <f aca="false">IF(G82&gt;$L39,(SUMPRODUCT($B46:$K46/(1+G82)^$B$16:$K$16)+$L46/(G82-$L39)/(1+G82)^$K$16+$B$7+$B$8)/$B$6,"n/a")</f>
        <v>211.813367100302</v>
      </c>
      <c r="H83" s="8" t="n">
        <f aca="false">IF(H82&gt;$L39,(SUMPRODUCT($B46:$K46/(1+H82)^$B$16:$K$16)+$L46/(H82-$L39)/(1+H82)^$K$16+$B$7+$B$8)/$B$6,"n/a")</f>
        <v>187.218285496945</v>
      </c>
      <c r="I83" s="8" t="n">
        <f aca="false">IF(I82&gt;$L39,(SUMPRODUCT($B46:$K46/(1+I82)^$B$16:$K$16)+$L46/(I82-$L39)/(1+I82)^$K$16+$B$7+$B$8)/$B$6,"n/a")</f>
        <v>168.099057834869</v>
      </c>
      <c r="J83" s="8" t="n">
        <f aca="false">IF(J82&gt;$L39,(SUMPRODUCT($B46:$K46/(1+J82)^$B$16:$K$16)+$L46/(J82-$L39)/(1+J82)^$K$16+$B$7+$B$8)/$B$6,"n/a")</f>
        <v>152.812958811803</v>
      </c>
      <c r="K83" s="8" t="n">
        <f aca="false">IF(K82&gt;$L39,(SUMPRODUCT($B46:$K46/(1+K82)^$B$16:$K$16)+$L46/(K82-$L39)/(1+K82)^$K$16+$B$7+$B$8)/$B$6,"n/a")</f>
        <v>140.314599607172</v>
      </c>
    </row>
    <row r="84" customFormat="false" ht="15" hidden="false" customHeight="true" outlineLevel="0" collapsed="false">
      <c r="A84" s="1" t="s">
        <v>82</v>
      </c>
      <c r="B84" s="7" t="n">
        <f aca="false">IFERROR(B83/$B$4-1,"n/a")</f>
        <v>1.85584638312512</v>
      </c>
      <c r="C84" s="7" t="n">
        <f aca="false">IFERROR(C83/$B$4-1,"n/a")</f>
        <v>0.923634059098967</v>
      </c>
      <c r="D84" s="7" t="n">
        <f aca="false">IFERROR(D83/$B$4-1,"n/a")</f>
        <v>0.457615889118419</v>
      </c>
      <c r="E84" s="7" t="n">
        <f aca="false">IFERROR(E83/$B$4-1,"n/a")</f>
        <v>0.178076866121449</v>
      </c>
      <c r="F84" s="7" t="n">
        <f aca="false">IFERROR(F83/$B$4-1,"n/a")</f>
        <v>-0.00822160959040197</v>
      </c>
      <c r="G84" s="7" t="n">
        <f aca="false">IFERROR(G83/$B$4-1,"n/a")</f>
        <v>-0.141239136021482</v>
      </c>
      <c r="H84" s="7" t="n">
        <f aca="false">IFERROR(H83/$B$4-1,"n/a")</f>
        <v>-0.240955663908595</v>
      </c>
      <c r="I84" s="7" t="n">
        <f aca="false">IFERROR(I83/$B$4-1,"n/a")</f>
        <v>-0.318471283864304</v>
      </c>
      <c r="J84" s="7" t="n">
        <f aca="false">IFERROR(J83/$B$4-1,"n/a")</f>
        <v>-0.380446143069925</v>
      </c>
      <c r="K84" s="7" t="n">
        <f aca="false">IFERROR(K83/$B$4-1,"n/a")</f>
        <v>-0.431118590686511</v>
      </c>
    </row>
    <row r="86" customFormat="false" ht="15" hidden="false" customHeight="true" outlineLevel="0" collapsed="false">
      <c r="A86" s="9" t="s">
        <v>83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0.0895586861589185</v>
      </c>
      <c r="C86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85</v>
      </c>
    </row>
    <row r="2" customFormat="false" ht="15" hidden="false" customHeight="true" outlineLevel="0" collapsed="false">
      <c r="A2" s="3" t="s">
        <v>86</v>
      </c>
    </row>
    <row r="5" customFormat="false" ht="15" hidden="false" customHeight="true" outlineLevel="0" collapsed="false">
      <c r="A5" s="1" t="s">
        <v>87</v>
      </c>
      <c r="B5" s="16" t="n">
        <v>2</v>
      </c>
      <c r="C5" s="3" t="s">
        <v>88</v>
      </c>
    </row>
    <row r="6" customFormat="false" ht="15" hidden="false" customHeight="true" outlineLevel="0" collapsed="false">
      <c r="A6" s="1" t="s">
        <v>89</v>
      </c>
      <c r="B6" s="16" t="n">
        <v>2</v>
      </c>
      <c r="C6" s="3" t="s">
        <v>90</v>
      </c>
    </row>
    <row r="7" customFormat="false" ht="15" hidden="false" customHeight="true" outlineLevel="0" collapsed="false">
      <c r="A7" s="1" t="s">
        <v>91</v>
      </c>
      <c r="B7" s="14" t="n">
        <v>0.0503</v>
      </c>
      <c r="C7" s="3" t="s">
        <v>92</v>
      </c>
    </row>
    <row r="8" customFormat="false" ht="15" hidden="false" customHeight="true" outlineLevel="0" collapsed="false">
      <c r="A8" s="1" t="s">
        <v>93</v>
      </c>
      <c r="B8" s="14" t="n">
        <v>0.05</v>
      </c>
      <c r="C8" s="3" t="s">
        <v>36</v>
      </c>
    </row>
    <row r="9" customFormat="false" ht="15" hidden="false" customHeight="true" outlineLevel="0" collapsed="false">
      <c r="A9" s="1" t="s">
        <v>94</v>
      </c>
      <c r="B9" s="14" t="n">
        <v>0.012</v>
      </c>
      <c r="C9" s="3" t="s">
        <v>95</v>
      </c>
    </row>
    <row r="12" customFormat="false" ht="15" hidden="false" customHeight="true" outlineLevel="0" collapsed="false">
      <c r="A12" s="18" t="s">
        <v>96</v>
      </c>
      <c r="B12" s="18" t="s">
        <v>97</v>
      </c>
      <c r="C12" s="18" t="s">
        <v>98</v>
      </c>
    </row>
    <row r="13" customFormat="false" ht="15" hidden="false" customHeight="true" outlineLevel="0" collapsed="false">
      <c r="A13" s="1" t="s">
        <v>99</v>
      </c>
      <c r="B13" s="27" t="n">
        <v>1.32</v>
      </c>
      <c r="C13" s="3" t="s">
        <v>100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1.2144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1.2144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0.11102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0.0623</v>
      </c>
      <c r="C18" s="3" t="s">
        <v>110</v>
      </c>
    </row>
    <row r="19" customFormat="false" ht="15" hidden="false" customHeight="true" outlineLevel="0" collapsed="false">
      <c r="A19" s="1" t="s">
        <v>31</v>
      </c>
      <c r="B19" s="6" t="n">
        <f aca="false">CLS!B9</f>
        <v>0.21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0.049217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CLS!B4*CLS!B6</f>
        <v>31.102565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0.8188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0.974349467825076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0.0256505321749242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0.109434720159993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0.1022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0.1022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IF(B27&gt;MAX(CLS!L21,CLS!L39,CLS!L57),"OK","WACC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0.1022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2026-10-28T13:32:43Z</dcterms:created>
  <dc:creator>openpyxl</dc:creator>
  <dc:description/>
  <dc:language>en-US</dc:language>
  <cp:lastModifiedBy/>
  <dcterms:modified xsi:type="dcterms:W3CDTF">2026-10-28T20:30:30Z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